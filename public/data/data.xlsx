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.xml" ContentType="application/vnd.openxmlformats-officedocument.drawingml.chart+xml"/>
  <Override PartName="/xl/charts/chart20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15.xml" ContentType="application/vnd.ms-office.chartcolorstyle+xml"/>
  <Override PartName="/xl/charts/colors16.xml" ContentType="application/vnd.ms-office.chartcolorstyle+xml"/>
  <Override PartName="/xl/charts/colors17.xml" ContentType="application/vnd.ms-office.chartcolorstyle+xml"/>
  <Override PartName="/xl/charts/colors18.xml" ContentType="application/vnd.ms-office.chartcolorstyle+xml"/>
  <Override PartName="/xl/charts/colors19.xml" ContentType="application/vnd.ms-office.chartcolorstyle+xml"/>
  <Override PartName="/xl/charts/colors2.xml" ContentType="application/vnd.ms-office.chartcolorstyle+xml"/>
  <Override PartName="/xl/charts/colors20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15.xml" ContentType="application/vnd.ms-office.chartstyle+xml"/>
  <Override PartName="/xl/charts/style16.xml" ContentType="application/vnd.ms-office.chartstyle+xml"/>
  <Override PartName="/xl/charts/style17.xml" ContentType="application/vnd.ms-office.chartstyle+xml"/>
  <Override PartName="/xl/charts/style18.xml" ContentType="application/vnd.ms-office.chartstyle+xml"/>
  <Override PartName="/xl/charts/style19.xml" ContentType="application/vnd.ms-office.chartstyle+xml"/>
  <Override PartName="/xl/charts/style2.xml" ContentType="application/vnd.ms-office.chartstyle+xml"/>
  <Override PartName="/xl/charts/style20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ctrlProps/ctrlProp1.xml" ContentType="application/vnd.ms-excel.controlproperties+xml"/>
  <Override PartName="/xl/ctrlProps/ctrlProp2.xml" ContentType="application/vnd.ms-excel.control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 hidePivotFieldList="1"/>
  <bookViews>
    <workbookView windowWidth="23040" windowHeight="8555" firstSheet="1" activeTab="11"/>
  </bookViews>
  <sheets>
    <sheet name="Output Dashboard (option 1)" sheetId="5" state="hidden" r:id="rId1"/>
    <sheet name="selector" sheetId="18" r:id="rId2"/>
    <sheet name="Output Dashboard Debt" sheetId="14" state="hidden" r:id="rId3"/>
    <sheet name="Macro1" sheetId="16" state="hidden" r:id="rId4"/>
    <sheet name="PPT Attributes" sheetId="15" state="hidden" r:id="rId5"/>
    <sheet name="performace_data" sheetId="6" r:id="rId6"/>
    <sheet name="Drop Downs" sheetId="4" state="hidden" r:id="rId7"/>
    <sheet name="sheet_2" sheetId="8" r:id="rId8"/>
    <sheet name="Output Dashboard " sheetId="10" r:id="rId9"/>
    <sheet name="Selector Sheet " sheetId="1" state="hidden" r:id="rId10"/>
    <sheet name="source_data" sheetId="2" r:id="rId11"/>
    <sheet name="Sheet5" sheetId="20" r:id="rId12"/>
  </sheets>
  <externalReferences>
    <externalReference r:id="rId16"/>
  </externalReferences>
  <definedNames>
    <definedName name="_xlchart.v2.0" hidden="1">'Output Dashboard (option 1)'!$A$89:$A$108</definedName>
    <definedName name="_xlchart.v2.1" hidden="1">'Output Dashboard (option 1)'!$B$88</definedName>
    <definedName name="_xlchart.v2.2" hidden="1">'Output Dashboard (option 1)'!$B$89:$B$108</definedName>
    <definedName name="_xlchart.v2.3" hidden="1">'Output Dashboard (option 1)'!$S$5:$S$24</definedName>
    <definedName name="_xlchart.v2.4" hidden="1">'Output Dashboard (option 1)'!$T$3:$T$4</definedName>
    <definedName name="_xlchart.v2.5" hidden="1">'Output Dashboard (option 1)'!$T$5:$T$24</definedName>
    <definedName name="VisibleFunds">'PPT Attributes'!#REF!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<sst xmlns="http://schemas.openxmlformats.org/spreadsheetml/2006/main" count="13953" uniqueCount="2186">
  <si>
    <t>Portfolio</t>
  </si>
  <si>
    <t xml:space="preserve">Selected Funds </t>
  </si>
  <si>
    <t>Allocation</t>
  </si>
  <si>
    <t xml:space="preserve">Large </t>
  </si>
  <si>
    <t>Mid</t>
  </si>
  <si>
    <t>Small</t>
  </si>
  <si>
    <t xml:space="preserve">Stock Exposure </t>
  </si>
  <si>
    <t>Position Concentration</t>
  </si>
  <si>
    <t xml:space="preserve">Equity Sector Exposure </t>
  </si>
  <si>
    <t xml:space="preserve">Fund </t>
  </si>
  <si>
    <t>Returns</t>
  </si>
  <si>
    <t>Year</t>
  </si>
  <si>
    <t xml:space="preserve">Equity </t>
  </si>
  <si>
    <t xml:space="preserve">Name </t>
  </si>
  <si>
    <t xml:space="preserve">Percentage </t>
  </si>
  <si>
    <t xml:space="preserve">Top 3 </t>
  </si>
  <si>
    <t>Expense Ratio</t>
  </si>
  <si>
    <t>1 month</t>
  </si>
  <si>
    <t>3 months</t>
  </si>
  <si>
    <t>6 months</t>
  </si>
  <si>
    <t>1 Year</t>
  </si>
  <si>
    <t>2 Year</t>
  </si>
  <si>
    <t>3 Year</t>
  </si>
  <si>
    <t>5 Year</t>
  </si>
  <si>
    <t>10 Year</t>
  </si>
  <si>
    <t>CY 2025</t>
  </si>
  <si>
    <t>Top5</t>
  </si>
  <si>
    <t>Top 10</t>
  </si>
  <si>
    <t xml:space="preserve">Top 20 </t>
  </si>
  <si>
    <t xml:space="preserve">Market Cap Exposure </t>
  </si>
  <si>
    <t xml:space="preserve">Portfolio </t>
  </si>
  <si>
    <t>Equity</t>
  </si>
  <si>
    <t xml:space="preserve">Mid </t>
  </si>
  <si>
    <t xml:space="preserve">Small </t>
  </si>
  <si>
    <t>Returns Summary</t>
  </si>
  <si>
    <t xml:space="preserve">Backtested Retruns </t>
  </si>
  <si>
    <t xml:space="preserve">Portfolio Details </t>
  </si>
  <si>
    <t xml:space="preserve">Market Cap Allocation </t>
  </si>
  <si>
    <t>N1</t>
  </si>
  <si>
    <t>N2</t>
  </si>
  <si>
    <t>N3</t>
  </si>
  <si>
    <t>Large Cap</t>
  </si>
  <si>
    <t>Renaissance Opportunities Fund PMS</t>
  </si>
  <si>
    <t>Nippon India Large Cap Fund(G)</t>
  </si>
  <si>
    <t>ICICI Pru Bluechip Fund(G)</t>
  </si>
  <si>
    <t>Kotak Bluechip Fund(G)</t>
  </si>
  <si>
    <t>Canara Rob Bluechip Equity Fund-Reg(G)</t>
  </si>
  <si>
    <t xml:space="preserve">Large -Mid Cap </t>
  </si>
  <si>
    <t>SBI Large &amp; Midcap Fund-Reg(G)</t>
  </si>
  <si>
    <t>ICICI Pru Large &amp; Mid Cap Fund(G)</t>
  </si>
  <si>
    <t>Canara Rob Emerg Equities Fund-Reg(G)</t>
  </si>
  <si>
    <t>Mid/Small cap</t>
  </si>
  <si>
    <t>AAA IOP PMS / AIF</t>
  </si>
  <si>
    <t>Nippon India Multi Cap Fund(G)</t>
  </si>
  <si>
    <t>SBI Contra Fund-Reg(G)</t>
  </si>
  <si>
    <t>Abakkus All Cap PMS</t>
  </si>
  <si>
    <t>Renaissance India Next Portfolio</t>
  </si>
  <si>
    <t>Parag Parikh Flexi Cap Fund-Reg(G)</t>
  </si>
  <si>
    <t>Bouyant Oppurtunites PMS</t>
  </si>
  <si>
    <t>UTI Flexi Cap Fund-Reg(G)</t>
  </si>
  <si>
    <t>ASK IEP PMS / AIF</t>
  </si>
  <si>
    <t>Hybrid</t>
  </si>
  <si>
    <t>sub category</t>
  </si>
  <si>
    <t>ICICI Pru Balanced Advantage Fund(G)</t>
  </si>
  <si>
    <t>Tata Balanced Adv Fund-Reg(G)</t>
  </si>
  <si>
    <t>Kotak Balanced Advantage Fund-Reg(G)</t>
  </si>
  <si>
    <t>Edelweiss Balanced Advantage Fund-Reg(G)</t>
  </si>
  <si>
    <t>Debt</t>
  </si>
  <si>
    <t>Debt Alternatives</t>
  </si>
  <si>
    <t>Altacura AI Absolute Return Fund LLP</t>
  </si>
  <si>
    <t>ASK Absolute Return Fund</t>
  </si>
  <si>
    <t>White Space Alpha Fund 2</t>
  </si>
  <si>
    <t>Inquant Debt Plus AIF</t>
  </si>
  <si>
    <t>AlphaMine Absolute Return Fund</t>
  </si>
  <si>
    <t>MasterTrust Irage PMS</t>
  </si>
  <si>
    <t>Private Credit</t>
  </si>
  <si>
    <t>Vivriti Short-term Debt AIF</t>
  </si>
  <si>
    <t>ICICI CCOF 3</t>
  </si>
  <si>
    <t>Vivriti Diversified Bond Fund II</t>
  </si>
  <si>
    <t>UTI SDOF 4</t>
  </si>
  <si>
    <t>Multi Asset Allocation</t>
  </si>
  <si>
    <t>Edelweiss Multi Asset Allocation Fund</t>
  </si>
  <si>
    <t xml:space="preserve">Alternative </t>
  </si>
  <si>
    <t>Private Equity/Venture Capital</t>
  </si>
  <si>
    <t>Oister X Tribe Ace Fund 2</t>
  </si>
  <si>
    <t>International</t>
  </si>
  <si>
    <t>Kristal.AI VCC- Client Associates Global FOF</t>
  </si>
  <si>
    <t>Aditya Birla SL Global Emerging Market Fund (IFSC)</t>
  </si>
  <si>
    <t xml:space="preserve">Debt </t>
  </si>
  <si>
    <t>1 Month</t>
  </si>
  <si>
    <t>3 Months</t>
  </si>
  <si>
    <t>6 Months</t>
  </si>
  <si>
    <t>3 Years</t>
  </si>
  <si>
    <t>5 Years</t>
  </si>
  <si>
    <t>C:\Users\mriganksahi\Desktop\Dynamic Client PPT.pptx</t>
  </si>
  <si>
    <t>Percentage</t>
  </si>
  <si>
    <t>Portfolio Attribution</t>
  </si>
  <si>
    <t>As on 31st March'2025</t>
  </si>
  <si>
    <t>Large-Cap Funds</t>
  </si>
  <si>
    <t>Corpus</t>
  </si>
  <si>
    <t>CY Year Returns</t>
  </si>
  <si>
    <t>Banking and PSU Fund</t>
  </si>
  <si>
    <t>Risk Return</t>
  </si>
  <si>
    <t>Yearly Performance</t>
  </si>
  <si>
    <t>Month End</t>
  </si>
  <si>
    <t>AUM (Cr.)</t>
  </si>
  <si>
    <t>Sharpe Ratio</t>
  </si>
  <si>
    <t>Beta</t>
  </si>
  <si>
    <t>PE</t>
  </si>
  <si>
    <t>PB</t>
  </si>
  <si>
    <t>Ratio</t>
  </si>
  <si>
    <t>10 Years</t>
  </si>
  <si>
    <t>Aditya Birla SL Frontline Equity Fund(G)</t>
  </si>
  <si>
    <t>NA</t>
  </si>
  <si>
    <t>Axis Bluechip Fund-Reg(G)</t>
  </si>
  <si>
    <t>Bandhan Large Cap Fund-Reg(G)</t>
  </si>
  <si>
    <t>DSP Top 100 Equity Fund-Reg(G)</t>
  </si>
  <si>
    <t>Edelweiss Large Cap Fund-Reg(G)</t>
  </si>
  <si>
    <t>Franklin India Bluechip Fund(G)</t>
  </si>
  <si>
    <t>HDFC Top 100 Fund(G)</t>
  </si>
  <si>
    <t>HSBC Large Cap Fund(G)</t>
  </si>
  <si>
    <t>Invesco India Largecap Fund(G)</t>
  </si>
  <si>
    <t>Aditya Birla SL Banking &amp; PSU Debt(G)</t>
  </si>
  <si>
    <t>Mirae Asset Large Cap Fund-Reg(G)</t>
  </si>
  <si>
    <t>Axis Banking &amp; PSU Debt Fund-Reg(G)</t>
  </si>
  <si>
    <t>Motilal Oswal Focused Fund-Reg(G)</t>
  </si>
  <si>
    <t>Bajaj Finserv Banking and PSU Fund-Reg(G)</t>
  </si>
  <si>
    <t>Bandhan Banking &amp; PSU Debt Fund-Reg(G)</t>
  </si>
  <si>
    <t>Quant Large Cap Fund-Reg(G)</t>
  </si>
  <si>
    <t>Baroda BNP Paribas Banking and PSU Bond Fund-Reg(G)</t>
  </si>
  <si>
    <t>SBI BlueChip Fund-Reg(G)</t>
  </si>
  <si>
    <t>Canara Rob Banking and PSU Debt Fund-Reg(G)</t>
  </si>
  <si>
    <t>Tata Large Cap Fund-Reg(G)</t>
  </si>
  <si>
    <t>DSP Banking &amp; PSU Debt Fund-Reg(G)</t>
  </si>
  <si>
    <t>UTI Mastershare-Reg(G)</t>
  </si>
  <si>
    <t>Edelweiss Banking and PSU Debt Fund-Reg(G)</t>
  </si>
  <si>
    <t>UTI Nifty 50 ETF</t>
  </si>
  <si>
    <t>Franklin India Banking &amp; PSU Debt Fund(G)</t>
  </si>
  <si>
    <t>S&amp;P BSE 100</t>
  </si>
  <si>
    <t>HDFC Banking and PSU Debt Fund-Reg(G)</t>
  </si>
  <si>
    <t>S&amp;P BSE SENSEX</t>
  </si>
  <si>
    <t>HSBC Banking and PSU Debt Fund-Reg(G)</t>
  </si>
  <si>
    <t>NIFTY 50</t>
  </si>
  <si>
    <t>ICICI Pru Banking &amp; PSU Debt Fund(G)</t>
  </si>
  <si>
    <t>NIFTY NEXT 50</t>
  </si>
  <si>
    <t>Invesco India Banking and PSU Fund(G)</t>
  </si>
  <si>
    <t>Category Average</t>
  </si>
  <si>
    <t>ITI Banking &amp; PSU Debt Fund-Reg(G)</t>
  </si>
  <si>
    <t>Kotak Banking and PSU Debt Fund(G)</t>
  </si>
  <si>
    <t>LIC MF Banking &amp; PSU Fund-Reg(G)</t>
  </si>
  <si>
    <t xml:space="preserve">Large-Mid </t>
  </si>
  <si>
    <t>Mirae Asset Banking and PSU Fund-Reg(G)</t>
  </si>
  <si>
    <t>Nippon India Banking &amp; PSU Debt Fund(G)</t>
  </si>
  <si>
    <t>Aditya Birla SL Equity Advantage Fund(G)</t>
  </si>
  <si>
    <t>SBI Banking and PSU Fund-Reg(G)</t>
  </si>
  <si>
    <t>Axis Growth Opp Fund-Reg(G)</t>
  </si>
  <si>
    <t>Sundaram Banking &amp; PSU Fund(G)</t>
  </si>
  <si>
    <t>Bandhan Core Equity Fund-Reg(G)</t>
  </si>
  <si>
    <t>TRUSTMF Banking &amp; PSU Fund-Reg(G)</t>
  </si>
  <si>
    <t>UTI Banking &amp; PSU Fund-Reg(G)</t>
  </si>
  <si>
    <t>DSP Equity Opportunities Fund-Reg(G)</t>
  </si>
  <si>
    <t>Edelweiss Large &amp; Mid Cap Fund-Reg(G)</t>
  </si>
  <si>
    <t>Crisil Short Term Fund</t>
  </si>
  <si>
    <t>Franklin India Equity Advantage Fund(G)</t>
  </si>
  <si>
    <t>HDFC Large and Mid Cap Fund-Reg(G)</t>
  </si>
  <si>
    <t xml:space="preserve"> Corporate Bond</t>
  </si>
  <si>
    <t>HSBC Large &amp; Mid Cap Fund-Reg(G)</t>
  </si>
  <si>
    <t>Aditya Birla SL Corp Bond Fund(G)</t>
  </si>
  <si>
    <t>Invesco India Growth Opp Fund(G)</t>
  </si>
  <si>
    <t>Aditya Birla SL CRISIL IBX 60:40 SDL + AAA PSU - Apr 2025 Index Fund-Reg(G)</t>
  </si>
  <si>
    <t>Kotak Equity Opp Fund(G)</t>
  </si>
  <si>
    <t>Aditya Birla SL CRISIL IBX 60:40 SDL + AAA PSU - Apr 2027 Index Fund-Reg(G)</t>
  </si>
  <si>
    <t>Mirae Asset Emerging Bluechip-Reg(G)</t>
  </si>
  <si>
    <t>Aditya Birla SL CRISIL IBX 60:40 SDL + AAA PSU Apr 2026 Index Fund-Reg(G)</t>
  </si>
  <si>
    <t>Motilal Oswal Large &amp; Midcap Fund-Reg(G)</t>
  </si>
  <si>
    <t>Aditya Birla SL Nifty SDL Plus PSU Bond Sep 2026 60:40 Index Fund-Reg(G)</t>
  </si>
  <si>
    <t>Nippon India Vision Fund(G)</t>
  </si>
  <si>
    <t>Axis Corp Bond Fund-Reg(G)</t>
  </si>
  <si>
    <t>Quant Large &amp; Mid Cap Fund(G)</t>
  </si>
  <si>
    <t>Axis CRISIL IBX 70:30 CPSE Plus SDL April 2025 Index Fund-Reg(G)</t>
  </si>
  <si>
    <t>Bandhan Corp Bond Fund-Reg(G)</t>
  </si>
  <si>
    <t>Tata Large &amp; Mid Cap Fund(G)</t>
  </si>
  <si>
    <t>Baroda BNP Paribas Corp Bond Fund(G)</t>
  </si>
  <si>
    <t>UTI Core Equity Fund-Reg(G)</t>
  </si>
  <si>
    <t>Canara Rob Corp Bond Fund-Reg(G)</t>
  </si>
  <si>
    <t>S&amp;P BSE 200</t>
  </si>
  <si>
    <t>DSP Corp Bond Fund-Reg(G)</t>
  </si>
  <si>
    <t>Edelweiss CRISIL PSU Plus SDL 50:50 Oct 2025 Index Fund-Reg(G)</t>
  </si>
  <si>
    <t>Edelweiss Nifty PSU Bond Plus SDL Apr 2026 50:50 Index Fund-Reg(G)</t>
  </si>
  <si>
    <t>Edelweiss Nifty PSU Bond Plus SDL Apr 2027 50:50 Index Fund-Reg(G)</t>
  </si>
  <si>
    <t>Multi-Cap / Flexi Cap</t>
  </si>
  <si>
    <t>Franklin India Corp Debt Fund-A(G)</t>
  </si>
  <si>
    <t>HDFC Corp Bond Fund(G)</t>
  </si>
  <si>
    <t>Aditya Birla SL Flexi Cap Fund(G)</t>
  </si>
  <si>
    <t>HSBC Corporate Bond Fund-Reg(G)</t>
  </si>
  <si>
    <t>Axis Flexi Cap Fund-Reg(G)</t>
  </si>
  <si>
    <t>ICICI Pru Corp Bond Fund(G)</t>
  </si>
  <si>
    <t>Bandhan Flexi Cap Fund-Reg(G)</t>
  </si>
  <si>
    <t>ICICI Pru Nifty PSU Bond Plus SDL Sep 2027 40:60 Index Fund-Reg(G)</t>
  </si>
  <si>
    <t>Canara Rob Flexi Cap Fund-Reg(G)</t>
  </si>
  <si>
    <t>Invesco India Corporate Bond Fund(G)</t>
  </si>
  <si>
    <t>DSP Flexi Cap Fund-Reg(G)</t>
  </si>
  <si>
    <t>Kotak Corporate Bond Fund(G)</t>
  </si>
  <si>
    <t>Edelweiss Flexi Cap Fund-Reg(G)</t>
  </si>
  <si>
    <t>Kotak Nifty AAA Bond Jun 2025 HTM Index Fund-Reg(G)</t>
  </si>
  <si>
    <t>Franklin India Flexi Cap Fund(G)</t>
  </si>
  <si>
    <t>Kotak Nifty SDL Apr 2027 Top 12 Equal Weight Index Fund-Reg(G)</t>
  </si>
  <si>
    <t>HDFC Flexi Cap Fund(G)</t>
  </si>
  <si>
    <t>Kotak Nifty SDL Apr 2032 Top 12 Equal Weight Index Fund-Reg(G)</t>
  </si>
  <si>
    <t>HSBC Flexi Cap Fund-Reg(G)</t>
  </si>
  <si>
    <t>Kotak Nifty SDL Plus AAA PSU Bond Jul 2028 60:40 Index Fund-Reg(G)</t>
  </si>
  <si>
    <t>ICICI Pru Flexicap Fund(G)</t>
  </si>
  <si>
    <t>Mirae Asset Corp Bond Fund-Reg(G)</t>
  </si>
  <si>
    <t>Invesco India Flexi Cap Fund-Reg(G)</t>
  </si>
  <si>
    <t>Mirae Asset Nifty AAA PSU Bond Plus SDL Apr 2026 50:50 Index Fund-Reg(G)</t>
  </si>
  <si>
    <t>Kotak Flexicap Fund(G)</t>
  </si>
  <si>
    <t>Nippon India Corp Bond Fund(G)</t>
  </si>
  <si>
    <t>Motilal Oswal Flexi Cap Fund-Reg(G)</t>
  </si>
  <si>
    <t>Nippon India CRISIL-IBX AAA Financial Services - Dec 2026 Index Fund-Reg(G)</t>
  </si>
  <si>
    <t>Nippon India Flexi Cap Fund-Reg(G)</t>
  </si>
  <si>
    <t>Nippon India CRISIL-IBX AAA Financial Services - Jan 2028 Index Fund-Reg(G)</t>
  </si>
  <si>
    <t>Nippon India Nifty AAA CPSE Bond Plus SDL - Apr 2027 Maturity 60:40 Index Fund(G)</t>
  </si>
  <si>
    <t>Nippon India Nifty AAA PSU Bond Plus SDL - Sep 2026 Maturity 50:50 Index Fund-Reg(G)</t>
  </si>
  <si>
    <t>Quant Active Fund(G)</t>
  </si>
  <si>
    <t>PGIM India Corp Bond Fund(G)</t>
  </si>
  <si>
    <t>Quant Flexi Cap Fund(G)</t>
  </si>
  <si>
    <t>SBI Corp Bond Fund-Reg(G)</t>
  </si>
  <si>
    <t>SBI Flexicap Fund-Reg(G)</t>
  </si>
  <si>
    <t>SBI CPSE Bond Plus SDL Sep 2026 50:50 Index Fund-Reg(G)</t>
  </si>
  <si>
    <t>Tata Flexi Cap Fund-Reg(G)</t>
  </si>
  <si>
    <t>Sundaram Corp Bond Fund(G)</t>
  </si>
  <si>
    <t>Tata Corp Bond Fund-Reg(G)</t>
  </si>
  <si>
    <t>WOC Flexi Cap Fund-Reg(G)</t>
  </si>
  <si>
    <t>Tata Nifty SDL Plus AAA PSU Bond Dec 2027 60:40 Index Fund-Reg(G)</t>
  </si>
  <si>
    <t>S&amp;P BSE 500</t>
  </si>
  <si>
    <t>TRUSTMF Corporate Bond Fund-Reg(G)</t>
  </si>
  <si>
    <t>Union Corporate Bond Fund-Reg(G)</t>
  </si>
  <si>
    <t>UTI Corporate Bond Fund-Reg(G)</t>
  </si>
  <si>
    <t>Value</t>
  </si>
  <si>
    <t>Aditya Birla SL Pure Value Fund(G)</t>
  </si>
  <si>
    <t>HDFC Capital Builder Value Fund(G)</t>
  </si>
  <si>
    <t>Credit Risk Fund</t>
  </si>
  <si>
    <t>HSBC Value Fund-Reg(G)</t>
  </si>
  <si>
    <t>ICICI Pru Value Discovery Fund(G)</t>
  </si>
  <si>
    <t>Aditya Birla SL Credit Risk Fund-Reg(G)</t>
  </si>
  <si>
    <t>Invesco India Contra Fund(G)</t>
  </si>
  <si>
    <t>Axis Credit Risk Fund-Reg(G)</t>
  </si>
  <si>
    <t>Kotak India EQ Contra Fund(G)</t>
  </si>
  <si>
    <t>Bandhan Credit Risk Fund-Reg(G)</t>
  </si>
  <si>
    <t>Nippon India Value Fund(G)</t>
  </si>
  <si>
    <t>Bank of India Credit Risk Fund-Reg(G)</t>
  </si>
  <si>
    <t>Quant Value Fund-Reg(G)</t>
  </si>
  <si>
    <t>Baroda BNP Paribas Credit Risk Fund-Reg(G)</t>
  </si>
  <si>
    <t>DSP Credit Risk Fund-Reg(G)</t>
  </si>
  <si>
    <t>Tata Equity P/E Fund(G)</t>
  </si>
  <si>
    <t>HDFC Credit Risk Debt Fund-(G)</t>
  </si>
  <si>
    <t>Templeton India Value Fund(G)</t>
  </si>
  <si>
    <t>HSBC Credit Risk Fund-Reg(G)</t>
  </si>
  <si>
    <t>UTI Value Opp Fund-Reg(G)</t>
  </si>
  <si>
    <t>ICICI Pru Credit Risk Fund(G)</t>
  </si>
  <si>
    <t>Invesco India Credit Risk Fund(G)</t>
  </si>
  <si>
    <t>Kotak Credit Risk Fund(G)</t>
  </si>
  <si>
    <t>SBI Credit Risk Fund-Reg(G)</t>
  </si>
  <si>
    <t>Mid-Cap</t>
  </si>
  <si>
    <t>UTI Credit Risk Fund-Reg(G)</t>
  </si>
  <si>
    <t>Aditya Birla SL Midcap Fund(G)</t>
  </si>
  <si>
    <t>Axis Midcap Fund-Reg(G)</t>
  </si>
  <si>
    <t>DSP Midcap Fund-Reg(G)</t>
  </si>
  <si>
    <t xml:space="preserve"> Dynamic Bond</t>
  </si>
  <si>
    <t>Edelweiss Mid Cap Fund-Reg(G)</t>
  </si>
  <si>
    <t>Franklin India Prima Fund(G)</t>
  </si>
  <si>
    <t>360 ONE Dynamic Bond Fund-Reg(G)</t>
  </si>
  <si>
    <t>HDFC Mid-Cap Opportunities Fund(G)</t>
  </si>
  <si>
    <t>Aditya Birla SL Dynamic Bond Fund-Reg(G)</t>
  </si>
  <si>
    <t>HSBC Midcap Fund-Reg(G)</t>
  </si>
  <si>
    <t>Axis Dynamic Bond Fund-Reg(G)</t>
  </si>
  <si>
    <t>ICICI Pru Midcap Fund(G)</t>
  </si>
  <si>
    <t>Bandhan Dynamic Bond Fund-Reg(G)</t>
  </si>
  <si>
    <t>Invesco India Midcap Fund(G)</t>
  </si>
  <si>
    <t>Baroda BNP Paribas Dynamic Bond Fund(G)</t>
  </si>
  <si>
    <t>Kotak Emerging Equity Fund(G)</t>
  </si>
  <si>
    <t>Canara Rob Dynamic Bond Fund-Reg(G)</t>
  </si>
  <si>
    <t>Motilal Oswal Midcap Fund-Reg(G)</t>
  </si>
  <si>
    <t>DSP Strategic Bond Fund-Reg(G)</t>
  </si>
  <si>
    <t>Nippon India Growth Fund(G)</t>
  </si>
  <si>
    <t>Groww Dynamic Bond Fund-Reg(G)</t>
  </si>
  <si>
    <t>Quant Mid Cap Fund(G)</t>
  </si>
  <si>
    <t>HDFC Dynamic Debt Fund(G)</t>
  </si>
  <si>
    <t>SBI Magnum Midcap Fund-Reg(G)</t>
  </si>
  <si>
    <t>HSBC Dynamic Bond Fund-Reg(G)</t>
  </si>
  <si>
    <t>Sundaram Mid Cap Fund-Reg(G)</t>
  </si>
  <si>
    <t>ICICI Pru All Seasons Bond Fund(G)</t>
  </si>
  <si>
    <t>Tata Mid Cap Growth Fund-Reg(G)</t>
  </si>
  <si>
    <t>ITI Dynamic Bond Fund-Reg(G)</t>
  </si>
  <si>
    <t>UTI Mid Cap Fund-Reg(G)</t>
  </si>
  <si>
    <t>JM Dynamic Bond Fund-Reg(G)</t>
  </si>
  <si>
    <t>S&amp;P BSE Mid-Cap</t>
  </si>
  <si>
    <t>Kotak Dynamic Bond Fund-Reg(G)</t>
  </si>
  <si>
    <t>Nifty Midcap 100</t>
  </si>
  <si>
    <t>Mahindra Manulife Dynamic Bond Fund-Reg(G)</t>
  </si>
  <si>
    <t>Nifty Midcap 150</t>
  </si>
  <si>
    <t>Mirae Asset Dynamic Bond Fund-Reg(G)</t>
  </si>
  <si>
    <t>Nippon India Dynamic Bond Fund(G)</t>
  </si>
  <si>
    <t>PGIM India Dynamic Bond Fund(G)</t>
  </si>
  <si>
    <t>Quantum Dynamic Bond Fund-Reg(G)</t>
  </si>
  <si>
    <t>Small-Cap</t>
  </si>
  <si>
    <t>SBI Dynamic Bond Fund-Reg(G)</t>
  </si>
  <si>
    <t>Union Dynamic Bond Fund(G)</t>
  </si>
  <si>
    <t>Aditya Birla SL Small Cap Fund(G)</t>
  </si>
  <si>
    <t>UTI Dynamic Bond Fund-Reg(G)</t>
  </si>
  <si>
    <t>Axis Small Cap Fund-Reg(G)</t>
  </si>
  <si>
    <t>DSP Small Cap Fund-Reg(G)</t>
  </si>
  <si>
    <t>Franklin India Smaller Cos Fund(G)</t>
  </si>
  <si>
    <t>HDFC Small Cap Fund-Reg(G)</t>
  </si>
  <si>
    <t xml:space="preserve"> Floating Rate Bond</t>
  </si>
  <si>
    <t>HSBC Small Cap Fund-Reg(G)</t>
  </si>
  <si>
    <t>ICICI Pru Smallcap Fund(G)</t>
  </si>
  <si>
    <t>Aditya Birla SL Floating Rate Fund(G)</t>
  </si>
  <si>
    <t>Invesco India Smallcap Fund-Reg(G)</t>
  </si>
  <si>
    <t>Axis Floater Fund-Reg(G)</t>
  </si>
  <si>
    <t>Kotak Small Cap Fund(G)</t>
  </si>
  <si>
    <t>Bandhan Floating Rate Fund-Reg(G)</t>
  </si>
  <si>
    <t>Motilal Oswal Nifty Smallcap 250 Index Fund-Reg(G)</t>
  </si>
  <si>
    <t>DSP Floater Fund-Reg(G)</t>
  </si>
  <si>
    <t>Nippon India Small Cap Fund(G)</t>
  </si>
  <si>
    <t>Franklin India Floating Rate Fund(G)</t>
  </si>
  <si>
    <t>Quant Small Cap Fund(G)</t>
  </si>
  <si>
    <t>HDFC Floating Rate Debt Fund(G)</t>
  </si>
  <si>
    <t>SBI Small Cap Fund-Reg(G)</t>
  </si>
  <si>
    <t>ICICI Pru Floating Interest Fund(G)</t>
  </si>
  <si>
    <t>S&amp;P BSE Small-Cap</t>
  </si>
  <si>
    <t>Kotak Floating Rate Fund-Reg(G)</t>
  </si>
  <si>
    <t>Nifty Smallcap 100</t>
  </si>
  <si>
    <t>Nippon India Floating Rate Fund(G)</t>
  </si>
  <si>
    <t>Nifty Smallcap 250</t>
  </si>
  <si>
    <t>SBI Floating Rate Debt Fund-Reg(G)</t>
  </si>
  <si>
    <t>Tata Floating Rate Fund-Reg(G)</t>
  </si>
  <si>
    <t>Focussed</t>
  </si>
  <si>
    <t>Aditya Birla SL Focused Equity Fund(G)</t>
  </si>
  <si>
    <t xml:space="preserve"> G-Sec</t>
  </si>
  <si>
    <t>Axis Focused 25 Fund-Reg(G)</t>
  </si>
  <si>
    <t>Bandhan Focused Equity Fund-Reg(G)</t>
  </si>
  <si>
    <t>Bandhan G-Sec-Constant Maturity Plan-Reg(G)</t>
  </si>
  <si>
    <t>DSP Focus Fund-Reg(G)</t>
  </si>
  <si>
    <t>DSP 10Y G-Sec Fund-Reg(G)</t>
  </si>
  <si>
    <t>Franklin India Focused Equity Fund(G)</t>
  </si>
  <si>
    <t>Edelweiss CRISIL IBX 50:50 Gilt Plus SDL April 2037 Index Fund-Reg(G)</t>
  </si>
  <si>
    <t>HDFC Focused 30 Fund(G)</t>
  </si>
  <si>
    <t>ICICI Pru Constant Maturity Gilt Fund(G)</t>
  </si>
  <si>
    <t>ICICI Pru Focused Equity Fund(G)</t>
  </si>
  <si>
    <t>SBI Magnum Constant Maturity Fund-Reg(G)</t>
  </si>
  <si>
    <t>Kotak Focused Equity Fund-Reg(G)</t>
  </si>
  <si>
    <t>UTI Gilt Fund with 10 year Constant Duration-Reg(G)</t>
  </si>
  <si>
    <t>Mirae Asset Focused Fund-Reg(G)</t>
  </si>
  <si>
    <t>Nippon India Focused Equity Fund(G)</t>
  </si>
  <si>
    <t>Quant Focused Fund(G)</t>
  </si>
  <si>
    <t>SBI Focused Equity Fund-Reg(G)</t>
  </si>
  <si>
    <t xml:space="preserve"> Liquid Fund</t>
  </si>
  <si>
    <t>360 ONE Liquid Fund-Reg(G)</t>
  </si>
  <si>
    <t>Aditya Birla SL Liquid Fund(G)</t>
  </si>
  <si>
    <t>Axis Liquid Fund-Reg(G)</t>
  </si>
  <si>
    <t>Bajaj Finserv Liquid Fund-Reg(G)</t>
  </si>
  <si>
    <t>Bandhan Liquid Fund-Reg(G)</t>
  </si>
  <si>
    <t>ELSS</t>
  </si>
  <si>
    <t>Bank of India Liquid Fund-Reg(G)</t>
  </si>
  <si>
    <t>Baroda BNP Paribas Liquid Fund(G)</t>
  </si>
  <si>
    <t>Axis Long Term Equity Fund-Reg(G)</t>
  </si>
  <si>
    <t>Canara Rob Liquid Fund-Reg(G)</t>
  </si>
  <si>
    <t>Bandhan Tax Advt(ELSS) Fund-Reg(G)</t>
  </si>
  <si>
    <t>DSP Liquidity Fund-Reg(G)</t>
  </si>
  <si>
    <t>Canara Rob Equity Tax Saver Fund-Reg(G)</t>
  </si>
  <si>
    <t>Edelweiss Liquid Fund-Reg(G)</t>
  </si>
  <si>
    <t>Edelweiss Long Term Equity Fund (Tax Savings)-Reg(G)</t>
  </si>
  <si>
    <t>Franklin India Liquid Fund-Super Inst(G)</t>
  </si>
  <si>
    <t>Franklin India Taxshield(G)</t>
  </si>
  <si>
    <t>Groww Liquid Fund-Reg(G)</t>
  </si>
  <si>
    <t>HDFC TaxSaver(G)</t>
  </si>
  <si>
    <t>HDFC Liquid Fund(G)</t>
  </si>
  <si>
    <t>ICICI Pru LT Equity Fund (Tax Saving)(G)</t>
  </si>
  <si>
    <t>HSBC Liquid Fund(G)</t>
  </si>
  <si>
    <t>Kotak Tax Saver Fund(G)</t>
  </si>
  <si>
    <t>ICICI Pru Liquid Fund(G)</t>
  </si>
  <si>
    <t>Mirae Asset Tax Saver Fund-Reg(G)</t>
  </si>
  <si>
    <t>Invesco India Liquid Fund(G)</t>
  </si>
  <si>
    <t>Motilal Oswal Long Term Equity Fund-Reg(G)</t>
  </si>
  <si>
    <t>ITI Liquid Fund-Reg(G)</t>
  </si>
  <si>
    <t>Nippon India Tax Saver (ELSS) Fund(G)</t>
  </si>
  <si>
    <t>JM Liquid Fund(G)</t>
  </si>
  <si>
    <t>Parag Parikh Tax Saver Fund-Reg(G)</t>
  </si>
  <si>
    <t>Kotak Liquid Fund-Reg(G)</t>
  </si>
  <si>
    <t>Quant Tax Plan(G)</t>
  </si>
  <si>
    <t>LIC MF Liquid Fund-Reg(G)</t>
  </si>
  <si>
    <t>SBI Long Term Equity Fund-Reg(G)</t>
  </si>
  <si>
    <t>Mahindra Manulife Liquid Fund-Reg(G)</t>
  </si>
  <si>
    <t>Tata India Tax Savings Fund-Reg(G)</t>
  </si>
  <si>
    <t>Mirae Asset Liquid Fund-Reg(G)</t>
  </si>
  <si>
    <t>Taurus Tax Shield Fund-Reg(G)</t>
  </si>
  <si>
    <t>Motilal Oswal Liquid Fund-Reg(G)</t>
  </si>
  <si>
    <t>UTI LT Equity Fund (Tax Saving)-Reg(G)</t>
  </si>
  <si>
    <t>Navi Liquid Fund-Reg(G)</t>
  </si>
  <si>
    <t>Nippon India Liquid Fund(G)</t>
  </si>
  <si>
    <t>Parag Parikh Liquid Fund-Reg(G)</t>
  </si>
  <si>
    <t>PGIM India Liquid Fund(G)</t>
  </si>
  <si>
    <t>Quant Liquid Plan(G)</t>
  </si>
  <si>
    <t>Quantum Liquid Fund - Unclaimed IDCW Plan Below 3Y</t>
  </si>
  <si>
    <t>Balanced Advantage Fund</t>
  </si>
  <si>
    <t>Quantum Liquid Fund - Unclaimed Redemption Plan Below 3Y</t>
  </si>
  <si>
    <t>YTD</t>
  </si>
  <si>
    <t>Quantum Liquid Fund-Reg(G)</t>
  </si>
  <si>
    <t>Aditya Birla SL Balanced Advantage Fund(G)</t>
  </si>
  <si>
    <t>SBI Liquid Fund-Reg(G)</t>
  </si>
  <si>
    <t>Axis Balanced Advantage Fund-Reg(G)</t>
  </si>
  <si>
    <t>Shriram Liquid Fund-Reg(G)</t>
  </si>
  <si>
    <t>Bajaj Finserv Balanced Advantage Fund-Reg(G)</t>
  </si>
  <si>
    <t>Sundaram Liquid Fund(G)</t>
  </si>
  <si>
    <t>Bandhan Balanced Advantage Fund-Reg(G)</t>
  </si>
  <si>
    <t>Tata Liquid Fund-Reg(G)</t>
  </si>
  <si>
    <t>Bank of India Balanced Advantage Fund-Reg(G)</t>
  </si>
  <si>
    <t>TRUSTMF Liquid Fund-Reg(G)</t>
  </si>
  <si>
    <t>Baroda BNP Paribas Balanced Advantage Fund-Reg(G)</t>
  </si>
  <si>
    <t>Union Liquid Fund(G)</t>
  </si>
  <si>
    <t>Canara Rob Balanced Advantage Fund-Reg(G)</t>
  </si>
  <si>
    <t>UTI Liquid Fund-Reg(G)</t>
  </si>
  <si>
    <t>HDFC Balanced Advantage Fund(G)</t>
  </si>
  <si>
    <t>WOC Liquid Fund-Reg(G)</t>
  </si>
  <si>
    <t>HSBC Balanced Advantage Fund-Reg(G)</t>
  </si>
  <si>
    <t>ITI Balanced Advantage Fund-Reg(G)</t>
  </si>
  <si>
    <t xml:space="preserve"> Long Duration Fund</t>
  </si>
  <si>
    <t>LIC MF Balanced Advantage Fund-Reg(G)</t>
  </si>
  <si>
    <t>Mahindra Manulife Balanced Advantage Fund-Reg(G)</t>
  </si>
  <si>
    <t>Aditya Birla SL Long Duration Fund-Reg(G)</t>
  </si>
  <si>
    <t>Nippon India Balanced Advantage Fund(G)</t>
  </si>
  <si>
    <t>Axis Long Duration Fund-Reg(G)</t>
  </si>
  <si>
    <t>NJ Balanced Advantage Fund-Reg(G)</t>
  </si>
  <si>
    <t>Bandhan Long Duration Fund-Reg(G)</t>
  </si>
  <si>
    <t>SBI Balanced Advantage Fund-Reg(G)</t>
  </si>
  <si>
    <t>Franklin India Long Duration Fund-Reg(G)</t>
  </si>
  <si>
    <t>HDFC Long Duration Debt Fund-Reg(G)</t>
  </si>
  <si>
    <t>Union Balanced Advantage Fund-Reg(G)</t>
  </si>
  <si>
    <t>ICICI Pru Long Term Bond Fund(G)</t>
  </si>
  <si>
    <t>WOC Balanced Advantage Fund-Reg(G)</t>
  </si>
  <si>
    <t>Kotak Long Duration Fund-Reg(G)</t>
  </si>
  <si>
    <t>DSP Dynamic Asset Allocation Fund-Reg(G)</t>
  </si>
  <si>
    <t>Mirae Asset Long Duration Fund-Reg(G)</t>
  </si>
  <si>
    <t>Nippon India Nivesh Lakshya Fund(G)</t>
  </si>
  <si>
    <t>Franklin India Balanced Advantage Fund-Reg(G)</t>
  </si>
  <si>
    <t>SBI Long Duration Fund-Reg(G)</t>
  </si>
  <si>
    <t>Helios Balanced Advantage Fund-Reg(G)</t>
  </si>
  <si>
    <t>UTI Long Duration Fund-Reg(G)</t>
  </si>
  <si>
    <t>Invesco India Balanced Advantage Fund(G)</t>
  </si>
  <si>
    <t>Mirae Asset Balanced Advantage Fund-Reg(G)</t>
  </si>
  <si>
    <t>Motilal Oswal Balanced Advantage Fund-Reg(G)</t>
  </si>
  <si>
    <t>Parag Parikh Dynamic Asset Allocation Fund-Reg(G)</t>
  </si>
  <si>
    <t>Low Duration</t>
  </si>
  <si>
    <t>PGIM India Balanced Advantage Fund-Reg(G)</t>
  </si>
  <si>
    <t>Quant Dynamic Asset Allocation Fund-Reg(G)</t>
  </si>
  <si>
    <t>Aditya Birla SL Low Duration Fund(G)</t>
  </si>
  <si>
    <t>Samco Dynamic Asset Allocation Fund-Reg(G)</t>
  </si>
  <si>
    <t>Axis Treasury Advantage Fund-Reg(G)</t>
  </si>
  <si>
    <t>Shriram Balanced Advantage Fund-Reg(G)</t>
  </si>
  <si>
    <t>Bandhan Low Duration Fund-Reg(G)</t>
  </si>
  <si>
    <t>Sundaram Balanced Advantage Fund(G)</t>
  </si>
  <si>
    <t>Baroda BNP Paribas Low Duration Fund(G)</t>
  </si>
  <si>
    <t>Unifi Dynamic Asset Allocation Fund-Reg(G)</t>
  </si>
  <si>
    <t>Canara Rob Savings Fund-Reg(G)</t>
  </si>
  <si>
    <t>UTI Balanced Advantage Fund-Reg(G)</t>
  </si>
  <si>
    <t>DSP Low Duration Fund-Reg(G)</t>
  </si>
  <si>
    <t>UTI ULIP(G)</t>
  </si>
  <si>
    <t>HDFC Low Duration Fund(G)</t>
  </si>
  <si>
    <t>HSBC Low Duration Fund-Reg(G)</t>
  </si>
  <si>
    <t>CA Blended Index</t>
  </si>
  <si>
    <t>ICICI Pru Savings Fund(G)</t>
  </si>
  <si>
    <t>Invesco India Low Duration Fund(G)</t>
  </si>
  <si>
    <t>1M</t>
  </si>
  <si>
    <t>3M</t>
  </si>
  <si>
    <t>6M</t>
  </si>
  <si>
    <t>1 Yr</t>
  </si>
  <si>
    <t>3 Yr</t>
  </si>
  <si>
    <t>5 Yr</t>
  </si>
  <si>
    <t>10 Yr</t>
  </si>
  <si>
    <t>2025 YTD</t>
  </si>
  <si>
    <t>JM Low Duration Fund(G)</t>
  </si>
  <si>
    <t>CA MFM Large Cap</t>
  </si>
  <si>
    <t>Kotak Low Duration Fund(G)</t>
  </si>
  <si>
    <t>AccuraCap Alpha 10</t>
  </si>
  <si>
    <t>LIC MF Low Duration Fund(G)</t>
  </si>
  <si>
    <t>Mahindra Manulife Low Duration Fund-Reg(G)</t>
  </si>
  <si>
    <t>3P Fund 1</t>
  </si>
  <si>
    <t>Mirae Asset Low Duration Fund-Reg Savings Plan(G)</t>
  </si>
  <si>
    <t xml:space="preserve">Marcellus Consistent Compounders </t>
  </si>
  <si>
    <t>Nippon India Low Duration Fund(G)</t>
  </si>
  <si>
    <t>Sage One Large Cap</t>
  </si>
  <si>
    <t>SBI Magnum Low Duration Fund-Reg(G)</t>
  </si>
  <si>
    <t>ICICI Large Cap</t>
  </si>
  <si>
    <t>Sundaram Low Duration Fund(G)</t>
  </si>
  <si>
    <t>Ambit Coffee Can</t>
  </si>
  <si>
    <t>Tata Treasury Advantage Fund-Reg(G)</t>
  </si>
  <si>
    <t>Sensex</t>
  </si>
  <si>
    <t>UTI Low Duration Fund-Reg(G)</t>
  </si>
  <si>
    <t>Nifty 50</t>
  </si>
  <si>
    <t>BSE 100</t>
  </si>
  <si>
    <t>Returns greater than 1 year are annulised in nature</t>
  </si>
  <si>
    <t>Medium Duration</t>
  </si>
  <si>
    <t>Absolute &amp; CAGR Returns</t>
  </si>
  <si>
    <t>Calendar Year Returns</t>
  </si>
  <si>
    <t>Aditya Birla SL Medium Term Plan-Reg(G)</t>
  </si>
  <si>
    <t>Multi-Cap Funds</t>
  </si>
  <si>
    <t>Axis Strategic Bond Fund-Reg(G)</t>
  </si>
  <si>
    <t>CA MFM Multi-Cap</t>
  </si>
  <si>
    <t>Bandhan Bond Fund - Medium Term Plan-Reg(G)</t>
  </si>
  <si>
    <t>DSP Bond Fund-Reg(G)</t>
  </si>
  <si>
    <t>White Oak Pioneers PMS</t>
  </si>
  <si>
    <t>HDFC Medium Term Debt Fund(G)</t>
  </si>
  <si>
    <t>AccuraCap Alpha Gen AIF</t>
  </si>
  <si>
    <t>HSBC Medium Duration Fund-Reg(G)</t>
  </si>
  <si>
    <t>Renaissance India Next Fund II (AIF)</t>
  </si>
  <si>
    <t>ICICI Pru Medium Term Bond Fund(G)</t>
  </si>
  <si>
    <t>ENAM IDEA</t>
  </si>
  <si>
    <t>Invesco India Medium Duration Fund-Reg(G)</t>
  </si>
  <si>
    <t>Kotak Medium Term Fund(G)</t>
  </si>
  <si>
    <t>AAA India Equity AIF</t>
  </si>
  <si>
    <t>Nippon India Strategic Debt Fund(G)</t>
  </si>
  <si>
    <t>Alpha Gen PMS</t>
  </si>
  <si>
    <t>SBI Magnum Medium Duration Fund-Reg(G)</t>
  </si>
  <si>
    <t>Sundaram Medium Duration Fund(G)</t>
  </si>
  <si>
    <t>UTI Medium Duration Fund-Reg(G)</t>
  </si>
  <si>
    <t>CA Equity Multi-Manager Portfolio</t>
  </si>
  <si>
    <t>Alchemy
 High Growth</t>
  </si>
  <si>
    <t>Alchemy High Growth Select</t>
  </si>
  <si>
    <t>Motilal Oswal NTDOP</t>
  </si>
  <si>
    <t>Medium to Long Duration</t>
  </si>
  <si>
    <t>ASK India Select</t>
  </si>
  <si>
    <t>ASK Strategic</t>
  </si>
  <si>
    <t>Aditya Birla SL Income Fund(G)</t>
  </si>
  <si>
    <t>Karma Capital Wealth Builder</t>
  </si>
  <si>
    <t>Bandhan Bond Fund - Income Plan-Reg(G)</t>
  </si>
  <si>
    <t>Kotak SSV</t>
  </si>
  <si>
    <t>Canara Rob Income Fund-Reg(G)</t>
  </si>
  <si>
    <t>Franklin India Medium to Long Duration Fund-Reg(G)</t>
  </si>
  <si>
    <t>Invesco Dawn</t>
  </si>
  <si>
    <t>HDFC Income Fund(G)</t>
  </si>
  <si>
    <t>Invesco RISE</t>
  </si>
  <si>
    <t>HSBC Medium to Long Duration Fund Fund(G)</t>
  </si>
  <si>
    <t>ASK Life</t>
  </si>
  <si>
    <t>ICICI Pru Bond Fund(G)</t>
  </si>
  <si>
    <t>Motilal Value</t>
  </si>
  <si>
    <t>JM Medium to Long Duration Fund-Reg(G)</t>
  </si>
  <si>
    <t>Girik Multi Cap Fund</t>
  </si>
  <si>
    <t>Kotak Bond Fund-Reg(G)</t>
  </si>
  <si>
    <t>Valentis Multi Cap Fund</t>
  </si>
  <si>
    <t>LIC MF Medium to Long Duration Fund-Reg(G)</t>
  </si>
  <si>
    <t>BSE (500)</t>
  </si>
  <si>
    <t>Nippon India Income Fund(G)</t>
  </si>
  <si>
    <t>SBI Magnum Income Fund-Reg(G)</t>
  </si>
  <si>
    <t>UTI Medium to Long Duration Fund-Reg(G)</t>
  </si>
  <si>
    <t>Mid &amp; Small Cap Funds</t>
  </si>
  <si>
    <t>Accuracap Pico Power</t>
  </si>
  <si>
    <t>Money Market</t>
  </si>
  <si>
    <t>Abakkus Emerging Oppurtunities PMS</t>
  </si>
  <si>
    <t>AccuraCap Dynamo</t>
  </si>
  <si>
    <t>Aditya Birla SL Money Manager Fund(G)</t>
  </si>
  <si>
    <t>Renaissance Mid Cap</t>
  </si>
  <si>
    <t>Axis Money Market Fund-Reg(G)</t>
  </si>
  <si>
    <t>Marcellus Little Champs</t>
  </si>
  <si>
    <t>Bajaj Finserv Money Market Fund-Reg(G)</t>
  </si>
  <si>
    <t>AAA Budding Beast</t>
  </si>
  <si>
    <t>Bandhan Money Manager Fund-Reg(G)</t>
  </si>
  <si>
    <t>Kotak Mid &amp; Small Cap</t>
  </si>
  <si>
    <t>Bank of India Money Market Fund-Reg(G)</t>
  </si>
  <si>
    <t>Valentis Rising Stars</t>
  </si>
  <si>
    <t>Baroda BNP Paribas Money Market Fund-Reg(G)</t>
  </si>
  <si>
    <t>Sage One Core (Mid &amp; Small) PMS</t>
  </si>
  <si>
    <t>DSP Savings Fund-Reg(G)</t>
  </si>
  <si>
    <t>Vallum India Discovery Fund</t>
  </si>
  <si>
    <t>Edelweiss Money Market Fund-Reg(G)</t>
  </si>
  <si>
    <t>2point2 Long Term Value Fund</t>
  </si>
  <si>
    <t>Franklin India Money Market Fund(G)</t>
  </si>
  <si>
    <t>Ambit Good &amp; Clean Fund</t>
  </si>
  <si>
    <t>HDFC Money Market Fund-Reg(G)</t>
  </si>
  <si>
    <t>Sage One Small Cap</t>
  </si>
  <si>
    <t>HSBC Money Market Fund-Reg(G)</t>
  </si>
  <si>
    <t>Unifi BCAD</t>
  </si>
  <si>
    <t>ICICI Pru Money Market Fund(G)</t>
  </si>
  <si>
    <t>Unifi Rangoli Blend</t>
  </si>
  <si>
    <t>Invesco India Money Market Fund(G)</t>
  </si>
  <si>
    <t>BSE Mid Cap</t>
  </si>
  <si>
    <t>Kotak Money Market Fund(G)</t>
  </si>
  <si>
    <t>NSE Mid Cap 150</t>
  </si>
  <si>
    <t>LIC MF Money Market Fund-Reg(G)</t>
  </si>
  <si>
    <t>BSE Small Cap</t>
  </si>
  <si>
    <t>Mirae Asset Money Market Fund-Reg(G)</t>
  </si>
  <si>
    <t>NSE Small Cap 100</t>
  </si>
  <si>
    <t>Nippon India Money Market Fund(G)</t>
  </si>
  <si>
    <t>PGIM India Money Market Fund-Reg(G)</t>
  </si>
  <si>
    <t>SBI Savings Fund-Reg(G)</t>
  </si>
  <si>
    <t>Sundaram Money Market Fund-Reg(G)</t>
  </si>
  <si>
    <t>Tata Money Market Fund-Reg(G)</t>
  </si>
  <si>
    <t>TRUSTMF Money Market Fund-Reg(G)</t>
  </si>
  <si>
    <t>Union Money Market Fund-Reg(G)</t>
  </si>
  <si>
    <t>UTI Money Market Fund-Reg(G)</t>
  </si>
  <si>
    <t>Overnight Fund</t>
  </si>
  <si>
    <t>Aditya Birla SL Overnight Fund-Reg(G)</t>
  </si>
  <si>
    <t>Axis Overnight Fund-Reg(G)</t>
  </si>
  <si>
    <t>Bajaj Finserv Overnight Fund-Reg(G)</t>
  </si>
  <si>
    <t>Bandhan Overnight Fund-Reg(G)</t>
  </si>
  <si>
    <t>Bank of India Overnight Fund-Reg(G)</t>
  </si>
  <si>
    <t>Baroda BNP Paribas Overnight Fund-Reg(G)</t>
  </si>
  <si>
    <t>Canara Rob Overnight Fund-Reg(G)</t>
  </si>
  <si>
    <t>DSP Overnight Fund-Reg(G)</t>
  </si>
  <si>
    <t>Edelweiss Overnight Fund-Reg(G)</t>
  </si>
  <si>
    <t>Franklin India Overnight Fund(G)</t>
  </si>
  <si>
    <t>Groww Overnight Fund-Reg(G)</t>
  </si>
  <si>
    <t>HDFC Overnight Fund(G)</t>
  </si>
  <si>
    <t>Helios Overnight Fund-Reg(G)</t>
  </si>
  <si>
    <t>HSBC Overnight Fund-Reg(G)</t>
  </si>
  <si>
    <t>ICICI Pru Overnight Fund(G)</t>
  </si>
  <si>
    <t>Invesco India Overnight Fund-Reg(G)</t>
  </si>
  <si>
    <t>ITI Overnight Fund-Reg(G)</t>
  </si>
  <si>
    <t>JM Overnight Fund-Reg(G)</t>
  </si>
  <si>
    <t>Kotak Overnight Fund-Reg(G)</t>
  </si>
  <si>
    <t>LIC MF Overnight Fund-Reg(G)</t>
  </si>
  <si>
    <t>Mahindra Manulife Overnight Fund-Reg(G)</t>
  </si>
  <si>
    <t>Mirae Asset Overnight Fund-Reg(G)</t>
  </si>
  <si>
    <t>Nippon India Overnight Fund-Reg(G)</t>
  </si>
  <si>
    <t>NJ Overnight Fund-Reg(G)</t>
  </si>
  <si>
    <t>PGIM India Overnight Fund-Reg(G)</t>
  </si>
  <si>
    <t>Quant Overnight Fund-Reg(G)</t>
  </si>
  <si>
    <t>Samco Overnight Fund-Reg(G)</t>
  </si>
  <si>
    <t>SBI Overnight Fund-Reg(G)</t>
  </si>
  <si>
    <t>Shriram Overnight Fund-Reg(G)</t>
  </si>
  <si>
    <t>Sundaram Overnight Fund-Reg(G)</t>
  </si>
  <si>
    <t>Tata Overnight Fund-Reg(G)</t>
  </si>
  <si>
    <t>TRUSTMF Overnight Fund-Reg(G)</t>
  </si>
  <si>
    <t>Union Overnight Fund-Reg(G)</t>
  </si>
  <si>
    <t>UTI Overnight Fund-Reg(G)</t>
  </si>
  <si>
    <t>Short and Mid Term</t>
  </si>
  <si>
    <t>Aditya Birla SL CRISIL IBX 50:50 Gilt Plus SDL Apr 2028 Index Fund-Reg(G)</t>
  </si>
  <si>
    <t>Aditya Birla SL CRISIL IBX Gilt - April 2026 Index Fund-Reg(G)</t>
  </si>
  <si>
    <t>Aditya Birla SL CRISIL IBX Gilt Apr 2028 Index Fund-Reg(G)</t>
  </si>
  <si>
    <t>Aditya Birla SL CRISIL IBX Gilt Apr 2029 Index Fund-Reg(G)</t>
  </si>
  <si>
    <t>Aditya Birla SL CRISIL IBX Gilt April 2033 Index Fund-Reg(G)</t>
  </si>
  <si>
    <t>Aditya Birla SL CRISIL IBX Gilt June 2027 Index Fund-Reg(G)</t>
  </si>
  <si>
    <t>Aditya Birla SL CRISIL IBX SDL Jun 2032 Index Fund-Reg(G)</t>
  </si>
  <si>
    <t>Aditya Birla SL G-Sec Fund(G)</t>
  </si>
  <si>
    <t>Aditya Birla SL Nifty SDL Apr 2027 Index Fund-Reg(G)</t>
  </si>
  <si>
    <t>Aditya Birla SL Nifty SDL Sep 2025 Index Fund-Reg(G)</t>
  </si>
  <si>
    <t>Aditya Birla SL Nifty SDL Sep 2027 Index Fund-Reg(G)</t>
  </si>
  <si>
    <t>Axis CRISIL IBX 50:50 Gilt Plus SDL June 2028 Index Fund-Reg(G)</t>
  </si>
  <si>
    <t>Axis CRISIL IBX 50:50 Gilt Plus SDL Sep 2027 Index Fund-Reg(G)</t>
  </si>
  <si>
    <t>Axis CRISIL IBX SDL June 2034 Debt Index Fund-Reg(G)</t>
  </si>
  <si>
    <t>Axis CRISIL IBX SDL May 2027 Index Fund-Reg(G)</t>
  </si>
  <si>
    <t>Axis Gilt Fund-Reg(G)</t>
  </si>
  <si>
    <t>Axis Nifty SDL Sep 2026 Debt Index Fund-Reg(G)</t>
  </si>
  <si>
    <t>Bajaj Finserv Gilt Fund-Reg(G)</t>
  </si>
  <si>
    <t>Bandhan CRISIL IBX 90:10 SDL Plus Gilt - April 2032 Index Fund-Reg(G)</t>
  </si>
  <si>
    <t>Bandhan CRISIL IBX 90:10 SDL Plus Gilt - Nov 2026 Index Fund-Reg(G)</t>
  </si>
  <si>
    <t>Bandhan CRISIL IBX 90:10 SDL Plus Gilt - Sep 2027 Index Fund-Reg(G)</t>
  </si>
  <si>
    <t>Bandhan CRISIL IBX Gilt April 2026 Index Fund-Reg(G)</t>
  </si>
  <si>
    <t>Bandhan CRISIL IBX Gilt April 2028 Index Fund-Reg(G)</t>
  </si>
  <si>
    <t>Bandhan CRISIL IBX Gilt April 2032 Index Fund-Reg(G)</t>
  </si>
  <si>
    <t>Bandhan CRISIL IBX Gilt June 2027 Index Fund-Reg(G)</t>
  </si>
  <si>
    <t>Bandhan G-Sec-Invest-Reg(G)</t>
  </si>
  <si>
    <t>Baroda BNP Paribas Gilt Fund-Reg(G)</t>
  </si>
  <si>
    <t>Baroda BNP Paribas NIFTY SDL Dec 2026 Index Fund-Reg(G)</t>
  </si>
  <si>
    <t>Baroda BNP Paribas NIFTY SDL Dec 2028 Index Fund-Reg(G)</t>
  </si>
  <si>
    <t>Canara Rob Gilt Fund-Reg(G)</t>
  </si>
  <si>
    <t>DSP CRISIL SDL Plus G-Sec Apr 2033 50:50 Index Fund-Reg(G)</t>
  </si>
  <si>
    <t>DSP Gilt Fund-Reg(G)</t>
  </si>
  <si>
    <t>DSP Nifty SDL Plus G-Sec Jun 2028 30:70 Index Fund-Reg(G)</t>
  </si>
  <si>
    <t>DSP Nifty SDL Plus G-Sec Sep 2027 50:50 Index Fund-Reg(G)</t>
  </si>
  <si>
    <t>Edelweiss CRISIL IBX 50:50 Gilt Plus SDL June 2027 Index Fund-Reg(G)</t>
  </si>
  <si>
    <t>Edelweiss CRISIL IBX 50:50 Gilt Plus SDL Sep 2028 Index Fund-Reg(G)</t>
  </si>
  <si>
    <t>Edelweiss CRISIL IBX 50:50 Gilt Plus SDL Short Duration Index Fund-Reg(G)</t>
  </si>
  <si>
    <t>Edelweiss Government Securities Fund-Reg(G)</t>
  </si>
  <si>
    <t>Franklin India G-Sec Fund(G)</t>
  </si>
  <si>
    <t>HDFC Gilt Fund(G)</t>
  </si>
  <si>
    <t>HDFC NIFTY G-Sec Apr 2029 Index Fund-Reg(G)</t>
  </si>
  <si>
    <t>HDFC Nifty G-Sec Dec 2026 Index Fund-Reg(G)</t>
  </si>
  <si>
    <t>HDFC Nifty G-Sec Jul 2031 Index Fund-Reg(G)</t>
  </si>
  <si>
    <t>HDFC Nifty G-Sec Jun 2027 Index Fund-Reg(G)</t>
  </si>
  <si>
    <t>HDFC NIFTY G-Sec Jun 2036 Index Fund-Reg(G)</t>
  </si>
  <si>
    <t>HDFC Nifty G-Sec Sep 2032 Index Fund-Reg(G)</t>
  </si>
  <si>
    <t>HDFC Nifty SDL Oct 2026 Index Fund-Reg(G)</t>
  </si>
  <si>
    <t>HDFC NIFTY SDL Plus G-Sec Jun 2027 40:60 Index Fund-Reg(G)</t>
  </si>
  <si>
    <t>HSBC CRISIL IBX 50:50 Gilt Plus SDL Apr 2028 Index Fund-Reg(G)</t>
  </si>
  <si>
    <t>HSBC CRISIL IBX Gilt June 2027 Index Fund-Reg(G)</t>
  </si>
  <si>
    <t>HSBC Gilt Fund-Reg(G)</t>
  </si>
  <si>
    <t>ICICI Pru Gilt Fund(G)</t>
  </si>
  <si>
    <t>ICICI Pru Nifty G-Sec Dec 2030 Index Fund-Reg(G)</t>
  </si>
  <si>
    <t>ICICI Pru Nifty SDL Dec 2028 Index Fund-Reg(G)</t>
  </si>
  <si>
    <t>ICICI Pru Nifty SDL Sep 2026 Index Fund-Reg(G)</t>
  </si>
  <si>
    <t>ICICI Pru Nifty SDL Sep 2027 Index Fund-Reg(G)</t>
  </si>
  <si>
    <t>Invesco India Gilt Fund(G)</t>
  </si>
  <si>
    <t>Invesco India Nifty G-sec Jul 2027 Index Fund-Reg(G)</t>
  </si>
  <si>
    <t>Invesco India Nifty G-sec Sep 2032 Index Fund-Reg(G)</t>
  </si>
  <si>
    <t>Kotak Gilt Fund-Reg(G)</t>
  </si>
  <si>
    <t>Kotak Nifty G-Sec July 2033 Index Fund-Reg(G)</t>
  </si>
  <si>
    <t>Kotak Nifty SDL Jul 2026 Index Fund-Reg(G)</t>
  </si>
  <si>
    <t>Kotak Nifty SDL Jul 2033 Index Fund-Reg(G)</t>
  </si>
  <si>
    <t>LIC MF Gilt Fund-Reg(G)</t>
  </si>
  <si>
    <t>Mirae Asset CRISIL IBX Gilt Index - April 2033 Index Fund-Reg(G)</t>
  </si>
  <si>
    <t>Mirae Asset Nifty SDL Jun 2027 Index Fund-Reg(G)</t>
  </si>
  <si>
    <t>Mirae Asset Nifty SDL June 2028 Index Fund-Reg(G)</t>
  </si>
  <si>
    <t>Nippon India Gilt Securities Fund(G)</t>
  </si>
  <si>
    <t>Nippon India Nifty G-Sec Jun 2036 Maturity Index Fund-Reg(G)</t>
  </si>
  <si>
    <t>Nippon India Nifty G-Sec Oct 2028 Maturity Index Fund-Reg(G)</t>
  </si>
  <si>
    <t>Nippon India Nifty G-Sec Sep 2027 Maturity Index Fund-Reg(G)</t>
  </si>
  <si>
    <t>Nippon India Nifty SDL Plus G-Sec - Jun 2029 Maturity 70:30 Index Fund-Reg(G)</t>
  </si>
  <si>
    <t>Nippon India Nifty SDL Plus G-Sec-Jun 2028 Maturity 70:30 Index Fund-Reg(G)</t>
  </si>
  <si>
    <t>PGIM India CRISIL IBX Gilt Index - Apr 2028 Fund-Reg(G)</t>
  </si>
  <si>
    <t>PGIM India Gilt Fund(G)</t>
  </si>
  <si>
    <t>Quant Gilt Fund-Reg(G)</t>
  </si>
  <si>
    <t>SBI CRISIL IBX Gilt Index - Apr 2029 Fund-Reg(G)</t>
  </si>
  <si>
    <t>SBI CRISIL IBX Gilt Index - June 2036 Fund-Reg(G)</t>
  </si>
  <si>
    <t>SBI CRISIL IBX SDL Index - Sep 2027 Fund-Reg(G)</t>
  </si>
  <si>
    <t>SBI Magnum Gilt Fund-Reg(G)</t>
  </si>
  <si>
    <t>Tata CRISIL IBX Gilt Index - April 2026 Index Fund-Reg(G)</t>
  </si>
  <si>
    <t>Tata Gilt Securities Fund-Reg(G)</t>
  </si>
  <si>
    <t>Tata Nifty G-Sec Dec 2026 Index Fund-Reg(G)</t>
  </si>
  <si>
    <t>Tata Nifty G-Sec Dec 2029 Index Fund-Reg(G)</t>
  </si>
  <si>
    <t>Union Gilt Fund-Reg(G)</t>
  </si>
  <si>
    <t>UTI CRISIL SDL Maturity April 2033 Index Fund-Reg(G)</t>
  </si>
  <si>
    <t>UTI CRISIL SDL Maturity June 2027 Index Fund-Reg(G)</t>
  </si>
  <si>
    <t>UTI Gilt Fund-Reg(G)</t>
  </si>
  <si>
    <t>UTI Nifty SDL Plus AAA PSU Bond Apr 2026 75:25 Index Fund-Reg(G)</t>
  </si>
  <si>
    <t>UTI Nifty SDL Plus AAA PSU Bond Apr 2028 75:25 Index Fund-Reg(G)</t>
  </si>
  <si>
    <t>Short Duration</t>
  </si>
  <si>
    <t>Aditya Birla SL Short Term Fund(G)</t>
  </si>
  <si>
    <t>Axis Short Duration Fund-Reg(G)</t>
  </si>
  <si>
    <t>Bandhan Bond Fund - Short Term Plan-Reg(G)</t>
  </si>
  <si>
    <t>Bank of India Short Term Income Fund-Reg(G)</t>
  </si>
  <si>
    <t>Baroda BNP Paribas Short Duration Fund-Reg(G)</t>
  </si>
  <si>
    <t>Canara Rob Short Duration Fund-Reg(G)</t>
  </si>
  <si>
    <t>DSP Short Term Fund-Reg(G)</t>
  </si>
  <si>
    <t>Franklin India ST Income Plan(G)</t>
  </si>
  <si>
    <t>Groww Short Duration Fund-Reg(G)</t>
  </si>
  <si>
    <t>HDFC Short Term Debt Fund(G)</t>
  </si>
  <si>
    <t>HSBC Short Duration Fund-Reg(G)</t>
  </si>
  <si>
    <t>ICICI Pru Short Term Fund(G)</t>
  </si>
  <si>
    <t>Invesco India Short Duration Fund(G)</t>
  </si>
  <si>
    <t>JM Short Duration Fund-Reg(G)</t>
  </si>
  <si>
    <t>Kotak Bond Short Term Fund(G)</t>
  </si>
  <si>
    <t>LIC MF Short Duration Fund-Reg(G)</t>
  </si>
  <si>
    <t>Mahindra Manulife Short Duration Fund-Reg(G)</t>
  </si>
  <si>
    <t>Mirae Asset Short Duration Fund-Reg(G)</t>
  </si>
  <si>
    <t>Nippon India Short Term Fund(G)</t>
  </si>
  <si>
    <t>SBI Short Term Debt Fund-Reg(G)</t>
  </si>
  <si>
    <t>Sundaram Short Duration Fund(G)</t>
  </si>
  <si>
    <t>Tata ST Bond Fund-Reg(G)</t>
  </si>
  <si>
    <t>TRUSTMF Short Duration Fund-Reg(G)</t>
  </si>
  <si>
    <t>Union Short Duration Fund-Reg(G)</t>
  </si>
  <si>
    <t>UTI Short Duration Fund-Reg(G)</t>
  </si>
  <si>
    <t>Ultra Short Fund</t>
  </si>
  <si>
    <t>Aditya Birla SL Savings Fund-Reg(G)</t>
  </si>
  <si>
    <t>Axis Ultra Short Duration Fund-Reg(G)</t>
  </si>
  <si>
    <t>Bandhan Ultra Short Term Fund-Reg(G)</t>
  </si>
  <si>
    <t>Bank of India Ultra Short Duration Fund-Reg(G)</t>
  </si>
  <si>
    <t>Baroda BNP Paribas Ultra Short Duration Fund-Reg(G)</t>
  </si>
  <si>
    <t>Canara Rob Ultra Short Term Fund-Reg(G)</t>
  </si>
  <si>
    <t>DSP Ultra Short Fund-Reg(G)</t>
  </si>
  <si>
    <t>Franklin India Ultra Short Duration Fund-Reg(G)</t>
  </si>
  <si>
    <t>HDFC Ultra Short Term Fund-Reg(G)</t>
  </si>
  <si>
    <t>HSBC Ultra Short Duration Fund-Reg(G)</t>
  </si>
  <si>
    <t>ICICI Pru Ultra Short Term Fund Fund(G)</t>
  </si>
  <si>
    <t>Invesco India Ultra Short Duration Fund(G)</t>
  </si>
  <si>
    <t>ITI Ultra Short Duration Fund-Reg(G)</t>
  </si>
  <si>
    <t>Kotak Savings Fund(G)</t>
  </si>
  <si>
    <t>LIC MF Ultra Short Duration Fund-Reg(G)</t>
  </si>
  <si>
    <t>Mahindra Manulife Ultra Short Duration Fund-Reg(G)</t>
  </si>
  <si>
    <t>Mirae Asset Ultra Short Duration Fund-Reg(G)</t>
  </si>
  <si>
    <t>Motilal Oswal Ultra Short Term Fund-Reg(G)</t>
  </si>
  <si>
    <t>Nippon India Ultra Short Duration Fund(G)</t>
  </si>
  <si>
    <t>PGIM India Ultra Short Duration Fund(G)</t>
  </si>
  <si>
    <t>SBI Magnum Ultra Short Duration Fund-Reg(G)</t>
  </si>
  <si>
    <t>Sundaram Ultra Short Duration Fund(G)</t>
  </si>
  <si>
    <t>Tata Ultra Short Term Fund-Reg(G)</t>
  </si>
  <si>
    <t>UTI Ultra Short Duration Fund-Reg(G)</t>
  </si>
  <si>
    <t>WOC Ultra Short Duration Fund-Reg(G)</t>
  </si>
  <si>
    <t>MP</t>
  </si>
  <si>
    <t>Large Mid Cap</t>
  </si>
  <si>
    <t>Multicap</t>
  </si>
  <si>
    <t>Conservative</t>
  </si>
  <si>
    <t>Moderately Conservative</t>
  </si>
  <si>
    <t>Moderate</t>
  </si>
  <si>
    <t>Moderately Aggressive</t>
  </si>
  <si>
    <t>Aggressive</t>
  </si>
  <si>
    <t xml:space="preserve">Equity Stock Exposure </t>
  </si>
  <si>
    <t xml:space="preserve">Hybrid Stock Exposure </t>
  </si>
  <si>
    <t>Hybrid Sector Exposure</t>
  </si>
  <si>
    <t xml:space="preserve">Hybrid </t>
  </si>
  <si>
    <t>Model Portfolios</t>
  </si>
  <si>
    <t>Risk Profile</t>
  </si>
  <si>
    <t>Alternative</t>
  </si>
  <si>
    <t>ISIN</t>
  </si>
  <si>
    <t>Scheme Name</t>
  </si>
  <si>
    <t>Company Name</t>
  </si>
  <si>
    <t>Holding (%)</t>
  </si>
  <si>
    <t>Portfolio Weight Stock</t>
  </si>
  <si>
    <t>Sector</t>
  </si>
  <si>
    <t>Portfolio Weight Sector</t>
  </si>
  <si>
    <t>Unique ISIN</t>
  </si>
  <si>
    <t>ISIN Unique</t>
  </si>
  <si>
    <t>Unique Stock</t>
  </si>
  <si>
    <t>Unique Sector</t>
  </si>
  <si>
    <t>P/E</t>
  </si>
  <si>
    <t>ROE</t>
  </si>
  <si>
    <t>Net Income</t>
  </si>
  <si>
    <t>Reported EPS</t>
  </si>
  <si>
    <t>MCAP</t>
  </si>
  <si>
    <t>Rebaced Allocation</t>
  </si>
  <si>
    <t>INE470A01017</t>
  </si>
  <si>
    <t>INE466L01038</t>
  </si>
  <si>
    <t>3M India Ltd</t>
  </si>
  <si>
    <t>Industrials</t>
  </si>
  <si>
    <t>INE117A01022</t>
  </si>
  <si>
    <t>INE769A01020</t>
  </si>
  <si>
    <t>ABB India Ltd</t>
  </si>
  <si>
    <t>INE358A01014</t>
  </si>
  <si>
    <t>Abbott India Ltd</t>
  </si>
  <si>
    <t>Health Care</t>
  </si>
  <si>
    <t>INE055A01016</t>
  </si>
  <si>
    <t>INE674K01013</t>
  </si>
  <si>
    <t>Aditya Birla Real Estate Ltd</t>
  </si>
  <si>
    <t>Materials</t>
  </si>
  <si>
    <t>#N/A N/A</t>
  </si>
  <si>
    <t>INE031B01049</t>
  </si>
  <si>
    <t>INE0CZ201020</t>
  </si>
  <si>
    <t>Ajanta Pharma Ltd</t>
  </si>
  <si>
    <t>INE732I01013</t>
  </si>
  <si>
    <t>INE437A01024</t>
  </si>
  <si>
    <t>Angel One Ltd</t>
  </si>
  <si>
    <t>Financials</t>
  </si>
  <si>
    <t>INE702C01027</t>
  </si>
  <si>
    <t>INE852O01025</t>
  </si>
  <si>
    <t>APL Apollo Tubes Ltd</t>
  </si>
  <si>
    <t>INE955V01021</t>
  </si>
  <si>
    <t>INE949L01017</t>
  </si>
  <si>
    <t>Arvind Fashions Ltd</t>
  </si>
  <si>
    <t>Consumer Discretionary</t>
  </si>
  <si>
    <t>INE917I01010</t>
  </si>
  <si>
    <t>INE192R01011</t>
  </si>
  <si>
    <t>Bajaj Auto Ltd</t>
  </si>
  <si>
    <t>INE296A01032</t>
  </si>
  <si>
    <t>INE238A01034</t>
  </si>
  <si>
    <t>Bajaj Finance Ltd</t>
  </si>
  <si>
    <t>INE176A01028</t>
  </si>
  <si>
    <t>Bata India Ltd</t>
  </si>
  <si>
    <t>INE463A01038</t>
  </si>
  <si>
    <t>INE918I01026</t>
  </si>
  <si>
    <t>Berger Paints India Ltd</t>
  </si>
  <si>
    <t>INE263A01024</t>
  </si>
  <si>
    <t>Bharat Electronics Ltd</t>
  </si>
  <si>
    <t>INE465A01025</t>
  </si>
  <si>
    <t>INE029A01011</t>
  </si>
  <si>
    <t>Bharat Forge Ltd</t>
  </si>
  <si>
    <t>INE397D01024</t>
  </si>
  <si>
    <t>Bharti Airtel Ltd</t>
  </si>
  <si>
    <t>Communication Services</t>
  </si>
  <si>
    <t>INE343G01021</t>
  </si>
  <si>
    <t>INE376G01013</t>
  </si>
  <si>
    <t>Bharti Hexacom Ltd</t>
  </si>
  <si>
    <t>INE791I01019</t>
  </si>
  <si>
    <t>Biocon Ltd</t>
  </si>
  <si>
    <t>INE233B01017</t>
  </si>
  <si>
    <t>INE216A01030</t>
  </si>
  <si>
    <t>Blue Dart Express Ltd</t>
  </si>
  <si>
    <t>INE118H01025</t>
  </si>
  <si>
    <t>INE0V7W01012</t>
  </si>
  <si>
    <t>BSE Ltd</t>
  </si>
  <si>
    <t>INE120A01034</t>
  </si>
  <si>
    <t>INE067A01029</t>
  </si>
  <si>
    <t>Carborundum Universal Ltd</t>
  </si>
  <si>
    <t>INE0LMW01024</t>
  </si>
  <si>
    <t>INE149A01033</t>
  </si>
  <si>
    <t>Cello World Ltd</t>
  </si>
  <si>
    <t>INE736A01011</t>
  </si>
  <si>
    <t>INE121A01024</t>
  </si>
  <si>
    <t>Central Depository Services In</t>
  </si>
  <si>
    <t>INE059A01026</t>
  </si>
  <si>
    <t>CG Power &amp; Industrial Solution</t>
  </si>
  <si>
    <t>INE522F01014</t>
  </si>
  <si>
    <t>Cholamandalam Investment and F</t>
  </si>
  <si>
    <t>INE591G01025</t>
  </si>
  <si>
    <t>Coforge Ltd</t>
  </si>
  <si>
    <t>Information Technology</t>
  </si>
  <si>
    <t>INE596I01012</t>
  </si>
  <si>
    <t>INE169A01031</t>
  </si>
  <si>
    <t>Computer Age Management Servic</t>
  </si>
  <si>
    <t>INE111A01025</t>
  </si>
  <si>
    <t>INE00LO01017</t>
  </si>
  <si>
    <t>Container Corp Of India Ltd</t>
  </si>
  <si>
    <t>INE741K01010</t>
  </si>
  <si>
    <t>INE935N01020</t>
  </si>
  <si>
    <t>CreditAccess Grameen Ltd</t>
  </si>
  <si>
    <t>INE299U01018</t>
  </si>
  <si>
    <t>INE089A01031</t>
  </si>
  <si>
    <t>Crompton Greaves Consumer Elec</t>
  </si>
  <si>
    <t>INE298A01020</t>
  </si>
  <si>
    <t>INE236E01022</t>
  </si>
  <si>
    <t>Cummins India Ltd</t>
  </si>
  <si>
    <t>INE288B01029</t>
  </si>
  <si>
    <t>INE758T01015</t>
  </si>
  <si>
    <t>Deepak Nitrite Ltd</t>
  </si>
  <si>
    <t>INE872J01023</t>
  </si>
  <si>
    <t>INE061F01013</t>
  </si>
  <si>
    <t>Devyani International Ltd</t>
  </si>
  <si>
    <t>INE129A01019</t>
  </si>
  <si>
    <t>Dixon Technologies India Ltd</t>
  </si>
  <si>
    <t>INE321T01012</t>
  </si>
  <si>
    <t>INE200A01026</t>
  </si>
  <si>
    <t>Doms Industries Ltd</t>
  </si>
  <si>
    <t>INE600L01024</t>
  </si>
  <si>
    <t>INE159A01016</t>
  </si>
  <si>
    <t>Dr Lal PathLabs Ltd</t>
  </si>
  <si>
    <t>INE230A01023</t>
  </si>
  <si>
    <t>INE935A01035</t>
  </si>
  <si>
    <t>EIH Ltd</t>
  </si>
  <si>
    <t>INE101D01020</t>
  </si>
  <si>
    <t>Eternal Ltd</t>
  </si>
  <si>
    <t>INE860A01027</t>
  </si>
  <si>
    <t>GE Vernova T&amp;D India Ltd</t>
  </si>
  <si>
    <t>INE474Q01031</t>
  </si>
  <si>
    <t>INE756I01012</t>
  </si>
  <si>
    <t>Global Health Ltd/India</t>
  </si>
  <si>
    <t>INE040A01034</t>
  </si>
  <si>
    <t>HDB Financial Services Ltd</t>
  </si>
  <si>
    <t>INE127D01025</t>
  </si>
  <si>
    <t>INE795G01014</t>
  </si>
  <si>
    <t>HDFC Asset Management Co Ltd</t>
  </si>
  <si>
    <t>INE158A01026</t>
  </si>
  <si>
    <t>HDFC Bank Ltd</t>
  </si>
  <si>
    <t>INE038A01020</t>
  </si>
  <si>
    <t>Hero MotoCorp Ltd</t>
  </si>
  <si>
    <t>INE267A01025</t>
  </si>
  <si>
    <t>INE030A01027</t>
  </si>
  <si>
    <t>Hindustan Zinc Ltd</t>
  </si>
  <si>
    <t>INE090A01021</t>
  </si>
  <si>
    <t>ICICI Bank Ltd</t>
  </si>
  <si>
    <t>INE562A01011</t>
  </si>
  <si>
    <t>INE031A01017</t>
  </si>
  <si>
    <t>Indian Bank</t>
  </si>
  <si>
    <t>INE379A01028</t>
  </si>
  <si>
    <t>ITC Hotels Ltd</t>
  </si>
  <si>
    <t>INE823G01014</t>
  </si>
  <si>
    <t>JK Cement Ltd</t>
  </si>
  <si>
    <t>INE930H01031</t>
  </si>
  <si>
    <t>INE022Q01020</t>
  </si>
  <si>
    <t>KPR Mill Ltd</t>
  </si>
  <si>
    <t>INE217B01036</t>
  </si>
  <si>
    <t>INE06ST01018</t>
  </si>
  <si>
    <t>Kajaria Ceramics Ltd</t>
  </si>
  <si>
    <t>INE918Z01012</t>
  </si>
  <si>
    <t>INE121J01017</t>
  </si>
  <si>
    <t>Kaynes Technology India Ltd</t>
  </si>
  <si>
    <t>INE634I01029</t>
  </si>
  <si>
    <t>INE009A01021</t>
  </si>
  <si>
    <t>KNR Constructions Ltd</t>
  </si>
  <si>
    <t>INE04I401011</t>
  </si>
  <si>
    <t>INE646L01027</t>
  </si>
  <si>
    <t>KPIT Technologies Ltd</t>
  </si>
  <si>
    <t>INE473A01011</t>
  </si>
  <si>
    <t>INE154A01025</t>
  </si>
  <si>
    <t>Linde India Ltd</t>
  </si>
  <si>
    <t>INE214T01019</t>
  </si>
  <si>
    <t>INE121E01018</t>
  </si>
  <si>
    <t>LTIMindtree Ltd</t>
  </si>
  <si>
    <t>INE101A01026</t>
  </si>
  <si>
    <t>INE980O01024</t>
  </si>
  <si>
    <t>Mahindra &amp; Mahindra Ltd</t>
  </si>
  <si>
    <t>INE634S01028</t>
  </si>
  <si>
    <t>Mankind Pharma Ltd</t>
  </si>
  <si>
    <t>INE027H01010</t>
  </si>
  <si>
    <t>INE237A01028</t>
  </si>
  <si>
    <t>Max Healthcare Institute Ltd</t>
  </si>
  <si>
    <t>INE356A01018</t>
  </si>
  <si>
    <t>INE018A01030</t>
  </si>
  <si>
    <t>Mphasis Ltd</t>
  </si>
  <si>
    <t>INE495P01012</t>
  </si>
  <si>
    <t>INE326A01037</t>
  </si>
  <si>
    <t>Mrs Bectors Food Specialities</t>
  </si>
  <si>
    <t>Consumer Staples</t>
  </si>
  <si>
    <t>INE745G01035</t>
  </si>
  <si>
    <t>INE774D01024</t>
  </si>
  <si>
    <t>Multi Commodity Exchange of In</t>
  </si>
  <si>
    <t>INE139A01034</t>
  </si>
  <si>
    <t>National Aluminium Co Ltd</t>
  </si>
  <si>
    <t>INE048G01026</t>
  </si>
  <si>
    <t>INE196A01026</t>
  </si>
  <si>
    <t>Navin Fluorine International L</t>
  </si>
  <si>
    <t>INE239A01024</t>
  </si>
  <si>
    <t>INE585B01010</t>
  </si>
  <si>
    <t>Nestle India Ltd</t>
  </si>
  <si>
    <t>INE733E01010</t>
  </si>
  <si>
    <t>NTPC Ltd</t>
  </si>
  <si>
    <t>Utilities</t>
  </si>
  <si>
    <t>INE093I01010</t>
  </si>
  <si>
    <t>INE842C01021</t>
  </si>
  <si>
    <t>Oberoi Realty Ltd</t>
  </si>
  <si>
    <t>Real Estate</t>
  </si>
  <si>
    <t>INE274J01014</t>
  </si>
  <si>
    <t>Oil India Ltd</t>
  </si>
  <si>
    <t>Energy</t>
  </si>
  <si>
    <t>INE417T01026</t>
  </si>
  <si>
    <t>INE414G01012</t>
  </si>
  <si>
    <t>PB Fintech Ltd</t>
  </si>
  <si>
    <t>INE262H01021</t>
  </si>
  <si>
    <t>Persistent Systems Ltd</t>
  </si>
  <si>
    <t>INE603J01030</t>
  </si>
  <si>
    <t>INE761H01022</t>
  </si>
  <si>
    <t>PI Industries Ltd</t>
  </si>
  <si>
    <t>INE318A01026</t>
  </si>
  <si>
    <t>Pidilite Industries Ltd</t>
  </si>
  <si>
    <t>INE074A01025</t>
  </si>
  <si>
    <t>Praj Industries Ltd</t>
  </si>
  <si>
    <t>INE0BS701011</t>
  </si>
  <si>
    <t>INE457L01029</t>
  </si>
  <si>
    <t>Premier Energies Ltd</t>
  </si>
  <si>
    <t>INE944F01028</t>
  </si>
  <si>
    <t>Radico Khaitan Ltd</t>
  </si>
  <si>
    <t>INE775A01035</t>
  </si>
  <si>
    <t>INE134E01011</t>
  </si>
  <si>
    <t>Samvardhana Motherson Internat</t>
  </si>
  <si>
    <t>INE513A01022</t>
  </si>
  <si>
    <t>INE752E01010</t>
  </si>
  <si>
    <t>Schaeffler India Ltd</t>
  </si>
  <si>
    <t>INE070A01015</t>
  </si>
  <si>
    <t>Shree Cement Ltd</t>
  </si>
  <si>
    <t>INE1NPP01017</t>
  </si>
  <si>
    <t>INE160A01022</t>
  </si>
  <si>
    <t>Siemens Energy India Ltd</t>
  </si>
  <si>
    <t>INE003A01024</t>
  </si>
  <si>
    <t>INE020B01018</t>
  </si>
  <si>
    <t>Siemens Ltd</t>
  </si>
  <si>
    <t>INE343H01029</t>
  </si>
  <si>
    <t>INE002A01018</t>
  </si>
  <si>
    <t>Solar Industries India Ltd</t>
  </si>
  <si>
    <t>INE073K01018</t>
  </si>
  <si>
    <t>INE0W2G01015</t>
  </si>
  <si>
    <t>Sona Blw Precision Forgings Lt</t>
  </si>
  <si>
    <t>INE647A01010</t>
  </si>
  <si>
    <t>SRF Ltd</t>
  </si>
  <si>
    <t>INE062A01020</t>
  </si>
  <si>
    <t>INE002L01015</t>
  </si>
  <si>
    <t>State Bank of India</t>
  </si>
  <si>
    <t>INE044A01036</t>
  </si>
  <si>
    <t>Sun Pharmaceutical Industries</t>
  </si>
  <si>
    <t>INE040H01021</t>
  </si>
  <si>
    <t>Suzlon Energy Ltd</t>
  </si>
  <si>
    <t>INE00H001014</t>
  </si>
  <si>
    <t>Swiggy Ltd</t>
  </si>
  <si>
    <t>INE398R01022</t>
  </si>
  <si>
    <t>INE467B01029</t>
  </si>
  <si>
    <t>Syngene International Ltd</t>
  </si>
  <si>
    <t>INE092A01019</t>
  </si>
  <si>
    <t>INE155A01022</t>
  </si>
  <si>
    <t>Tata Chemicals Ltd</t>
  </si>
  <si>
    <t>INE081A01020</t>
  </si>
  <si>
    <t>Tata Consultancy Services Ltd</t>
  </si>
  <si>
    <t>INE192A01025</t>
  </si>
  <si>
    <t>INE669C01036</t>
  </si>
  <si>
    <t>Tata Consumer Products Ltd</t>
  </si>
  <si>
    <t>INE171A01029</t>
  </si>
  <si>
    <t>Tata Motors Ltd</t>
  </si>
  <si>
    <t>INE245A01021</t>
  </si>
  <si>
    <t>INE053A01029</t>
  </si>
  <si>
    <t>Tata Power Co Ltd/The</t>
  </si>
  <si>
    <t>INE586V01016</t>
  </si>
  <si>
    <t>INE849A01020</t>
  </si>
  <si>
    <t>TCI Express Ltd</t>
  </si>
  <si>
    <t>INE494B01023</t>
  </si>
  <si>
    <t>Tech Mahindra Ltd</t>
  </si>
  <si>
    <t>INE481G01011</t>
  </si>
  <si>
    <t>Federal Bank Ltd</t>
  </si>
  <si>
    <t>INE692A01016</t>
  </si>
  <si>
    <t>Indian Hotels Co Ltd/The</t>
  </si>
  <si>
    <t>INE152A01029</t>
  </si>
  <si>
    <t>INE854D01024</t>
  </si>
  <si>
    <t>Thermax Ltd</t>
  </si>
  <si>
    <t>INE716B01029</t>
  </si>
  <si>
    <t>INE405E01023</t>
  </si>
  <si>
    <t>Tips Music Ltd</t>
  </si>
  <si>
    <t>INE280A01028</t>
  </si>
  <si>
    <t>INE200M01039</t>
  </si>
  <si>
    <t>Titan Co Ltd</t>
  </si>
  <si>
    <t>INE813H01021</t>
  </si>
  <si>
    <t>INE01EA01019</t>
  </si>
  <si>
    <t>Torrent Power Ltd</t>
  </si>
  <si>
    <t>INE010B01027</t>
  </si>
  <si>
    <t>Trent Ltd</t>
  </si>
  <si>
    <t>TVS Motor Co Ltd</t>
  </si>
  <si>
    <t>INE686F01025</t>
  </si>
  <si>
    <t>United Breweries Ltd</t>
  </si>
  <si>
    <t>INE012A01025</t>
  </si>
  <si>
    <t>UNO Minda Ltd</t>
  </si>
  <si>
    <t>INE742F01042</t>
  </si>
  <si>
    <t>Varun Beverages Ltd</t>
  </si>
  <si>
    <t>INE410B01037</t>
  </si>
  <si>
    <t>INE079A01024</t>
  </si>
  <si>
    <t>Vinati Organics Ltd</t>
  </si>
  <si>
    <t>Vishal Mega Mart Ltd</t>
  </si>
  <si>
    <t>INE377N01017</t>
  </si>
  <si>
    <t>INE021A01026</t>
  </si>
  <si>
    <t>WAAREE Energies Ltd</t>
  </si>
  <si>
    <t>INE256A01028</t>
  </si>
  <si>
    <t>INE100A01010</t>
  </si>
  <si>
    <t>Zee Entertainment Enterprises</t>
  </si>
  <si>
    <t>INE342J01019</t>
  </si>
  <si>
    <t>ZF Commercial Vehicle Control</t>
  </si>
  <si>
    <t>Avenue Supermarts Ltd</t>
  </si>
  <si>
    <t>INE02IJ01035</t>
  </si>
  <si>
    <t>Axis Bank Ltd</t>
  </si>
  <si>
    <t>Cipla Ltd/India</t>
  </si>
  <si>
    <t>INE361B01024</t>
  </si>
  <si>
    <t>Divi's Laboratories Ltd</t>
  </si>
  <si>
    <t>HCL Technologies Ltd</t>
  </si>
  <si>
    <t>Hindalco Industries Ltd</t>
  </si>
  <si>
    <t>Hindustan Unilever Ltd</t>
  </si>
  <si>
    <t>INE765G01017</t>
  </si>
  <si>
    <t>ICICI Lombard General Insuranc</t>
  </si>
  <si>
    <t>INE663F01032</t>
  </si>
  <si>
    <t>Info Edge India Ltd</t>
  </si>
  <si>
    <t>INE925R01014</t>
  </si>
  <si>
    <t>Infosys Ltd</t>
  </si>
  <si>
    <t>InterGlobe Aviation Ltd</t>
  </si>
  <si>
    <t>INE259A01022</t>
  </si>
  <si>
    <t>ITC Ltd</t>
  </si>
  <si>
    <t>Kotak Mahindra Bank Ltd</t>
  </si>
  <si>
    <t>Larsen &amp; Toubro Ltd</t>
  </si>
  <si>
    <t>INE066A01021</t>
  </si>
  <si>
    <t>Maruti Suzuki India Ltd</t>
  </si>
  <si>
    <t>INE0ONG01011</t>
  </si>
  <si>
    <t>NTPC Green Energy Ltd</t>
  </si>
  <si>
    <t>INE388Y01029</t>
  </si>
  <si>
    <t>Page Industries Ltd</t>
  </si>
  <si>
    <t>INE047A01021</t>
  </si>
  <si>
    <t>Power Finance Corp Ltd</t>
  </si>
  <si>
    <t>INE176B01034</t>
  </si>
  <si>
    <t>Reliance Industries Ltd</t>
  </si>
  <si>
    <t>INE123W01016</t>
  </si>
  <si>
    <t>SBI Life Insurance Co Ltd</t>
  </si>
  <si>
    <t>Tata Steel Ltd</t>
  </si>
  <si>
    <t>INE685A01028</t>
  </si>
  <si>
    <t>Torrent Pharmaceuticals Ltd</t>
  </si>
  <si>
    <t>UltraTech Cement Ltd</t>
  </si>
  <si>
    <t>United Spirits Ltd</t>
  </si>
  <si>
    <t>INE094A01015</t>
  </si>
  <si>
    <t>ACC Ltd</t>
  </si>
  <si>
    <t>INE212H01026</t>
  </si>
  <si>
    <t>AIA Engineering Ltd</t>
  </si>
  <si>
    <t>INE540L01014</t>
  </si>
  <si>
    <t>Alkem Laboratories Ltd</t>
  </si>
  <si>
    <t>Asian Paints Ltd</t>
  </si>
  <si>
    <t>INE726G01019</t>
  </si>
  <si>
    <t>INE699H01024</t>
  </si>
  <si>
    <t>AWL Agri Business Ltd</t>
  </si>
  <si>
    <t>INE095A01012</t>
  </si>
  <si>
    <t>Bajaj Finserv Ltd</t>
  </si>
  <si>
    <t>INE787D01026</t>
  </si>
  <si>
    <t>Balkrishna Industries Ltd</t>
  </si>
  <si>
    <t>INE536H01010</t>
  </si>
  <si>
    <t>CIE Automotive India Ltd</t>
  </si>
  <si>
    <t>INE016A01026</t>
  </si>
  <si>
    <t>Dabur India Ltd</t>
  </si>
  <si>
    <t>INE821I01022</t>
  </si>
  <si>
    <t>INE753U01022</t>
  </si>
  <si>
    <t>Divgi Torqtransfer Systems Ltd</t>
  </si>
  <si>
    <t>Dr Reddy's Laboratories Ltd</t>
  </si>
  <si>
    <t>INE220B01022</t>
  </si>
  <si>
    <t>Eicher Motors Ltd</t>
  </si>
  <si>
    <t>FSN E-Commerce Ventures Ltd</t>
  </si>
  <si>
    <t>INE068V01023</t>
  </si>
  <si>
    <t>Gland Pharma Ltd</t>
  </si>
  <si>
    <t>INE115A01026</t>
  </si>
  <si>
    <t>INE844O01030</t>
  </si>
  <si>
    <t>Gujarat Gas Ltd</t>
  </si>
  <si>
    <t>INE113A01013</t>
  </si>
  <si>
    <t>Gujarat Narmada Valley Fertili</t>
  </si>
  <si>
    <t>HDFC Life Insurance Co Ltd</t>
  </si>
  <si>
    <t>Hindustan Petroleum Corp Ltd</t>
  </si>
  <si>
    <t>INE671A01010</t>
  </si>
  <si>
    <t>Honeywell Automation India Ltd</t>
  </si>
  <si>
    <t>INE180A01020</t>
  </si>
  <si>
    <t>ICICI Prudential Life Insuranc</t>
  </si>
  <si>
    <t>INE0FS801015</t>
  </si>
  <si>
    <t>INE933S01016</t>
  </si>
  <si>
    <t>IndiaMart InterMesh Ltd</t>
  </si>
  <si>
    <t>INE335Y01020</t>
  </si>
  <si>
    <t>Indian Railway Catering &amp; Tour</t>
  </si>
  <si>
    <t>IndusInd Bank Ltd</t>
  </si>
  <si>
    <t>INE0Q9301021</t>
  </si>
  <si>
    <t>International Gemmological Ins</t>
  </si>
  <si>
    <t>INE213A01029</t>
  </si>
  <si>
    <t>Kalpataru Projects Internation</t>
  </si>
  <si>
    <t>INE999A01023</t>
  </si>
  <si>
    <t>KSB Ltd</t>
  </si>
  <si>
    <t>LIC Housing Finance Ltd</t>
  </si>
  <si>
    <t>INE455K01017</t>
  </si>
  <si>
    <t>Mahindra &amp; Mahindra Financial</t>
  </si>
  <si>
    <t>Motherson Sumi Wiring India Lt</t>
  </si>
  <si>
    <t>INE883A01011</t>
  </si>
  <si>
    <t>MRF Ltd</t>
  </si>
  <si>
    <t>INE868B01028</t>
  </si>
  <si>
    <t>NCC Ltd/India</t>
  </si>
  <si>
    <t>INE584A01023</t>
  </si>
  <si>
    <t>NMDC Ltd</t>
  </si>
  <si>
    <t>INE743M01012</t>
  </si>
  <si>
    <t>INE118D01016</t>
  </si>
  <si>
    <t>Nuvoco Vistas Corp Ltd</t>
  </si>
  <si>
    <t>INE777K01022</t>
  </si>
  <si>
    <t>Oil &amp; Natural Gas Corp Ltd</t>
  </si>
  <si>
    <t>INE142Z01019</t>
  </si>
  <si>
    <t>Orient Electric Ltd</t>
  </si>
  <si>
    <t>INE726V01018</t>
  </si>
  <si>
    <t>Pricol Ltd</t>
  </si>
  <si>
    <t>INE179A01014</t>
  </si>
  <si>
    <t>Procter &amp; Gamble Hygiene &amp; Hea</t>
  </si>
  <si>
    <t>INE855B01025</t>
  </si>
  <si>
    <t>Rain Industries Ltd</t>
  </si>
  <si>
    <t>INE0CLI01024</t>
  </si>
  <si>
    <t>Rategain Travel Technologies L</t>
  </si>
  <si>
    <t>INE703B01027</t>
  </si>
  <si>
    <t>Ratnamani Metals &amp; Tubes Ltd</t>
  </si>
  <si>
    <t>INE018E01016</t>
  </si>
  <si>
    <t>SBI Cards &amp; Payment Services L</t>
  </si>
  <si>
    <t>INE597I01028</t>
  </si>
  <si>
    <t>Sharda Motor Industries Ltd</t>
  </si>
  <si>
    <t>INE640A01023</t>
  </si>
  <si>
    <t>SKF India Ltd</t>
  </si>
  <si>
    <t>INE575P01011</t>
  </si>
  <si>
    <t>Star Health &amp; Allied Insurance</t>
  </si>
  <si>
    <t>INE424H01027</t>
  </si>
  <si>
    <t>Sun TV Network Ltd</t>
  </si>
  <si>
    <t>INE211B01039</t>
  </si>
  <si>
    <t>INE399C01030</t>
  </si>
  <si>
    <t>Suprajit Engineering Ltd</t>
  </si>
  <si>
    <t>INE151A01013</t>
  </si>
  <si>
    <t>Tata Communications Ltd</t>
  </si>
  <si>
    <t>INE103V01028</t>
  </si>
  <si>
    <t>Phoenix Mills Ltd/The</t>
  </si>
  <si>
    <t>INE974X01010</t>
  </si>
  <si>
    <t>Tube Investments of India Ltd</t>
  </si>
  <si>
    <t>INE628A01036</t>
  </si>
  <si>
    <t>UPL Ltd</t>
  </si>
  <si>
    <t>INE951I01027</t>
  </si>
  <si>
    <t>V-Guard Industries Ltd</t>
  </si>
  <si>
    <t>INE205A01025</t>
  </si>
  <si>
    <t>INE825V01034</t>
  </si>
  <si>
    <t>Vedant Fashions Ltd</t>
  </si>
  <si>
    <t>INE226A01021</t>
  </si>
  <si>
    <t>Vedanta Ltd</t>
  </si>
  <si>
    <t>INE00FF01025</t>
  </si>
  <si>
    <t>Zydus Lifesciences Ltd</t>
  </si>
  <si>
    <t>INE423A01024</t>
  </si>
  <si>
    <t>INE208A01029</t>
  </si>
  <si>
    <t>Ashok Leyland Ltd</t>
  </si>
  <si>
    <t>INE406A01037</t>
  </si>
  <si>
    <t>Aurobindo Pharma Ltd</t>
  </si>
  <si>
    <t>INE028A01039</t>
  </si>
  <si>
    <t>Bank of Baroda</t>
  </si>
  <si>
    <t>Bharat Petroleum Corp Ltd</t>
  </si>
  <si>
    <t>INE438A01022</t>
  </si>
  <si>
    <t>INE340A01012</t>
  </si>
  <si>
    <t>Birla Corp Ltd</t>
  </si>
  <si>
    <t>INE006I01046</t>
  </si>
  <si>
    <t>Coal India Ltd</t>
  </si>
  <si>
    <t>INE271C01023</t>
  </si>
  <si>
    <t>DLF Ltd</t>
  </si>
  <si>
    <t>INE322A01010</t>
  </si>
  <si>
    <t>Gillette India Ltd</t>
  </si>
  <si>
    <t>INE517F01014</t>
  </si>
  <si>
    <t>Gujarat Pipavav Port Ltd</t>
  </si>
  <si>
    <t>INE066F01020</t>
  </si>
  <si>
    <t>Hindustan Aeronautics Ltd</t>
  </si>
  <si>
    <t>INE0V6F01027</t>
  </si>
  <si>
    <t>Hyundai Motor India Ltd</t>
  </si>
  <si>
    <t>INE242A01010</t>
  </si>
  <si>
    <t>Indian Oil Corp Ltd</t>
  </si>
  <si>
    <t>INE0J1Y01017</t>
  </si>
  <si>
    <t>Life Insurance Corp of India</t>
  </si>
  <si>
    <t>Lupin Ltd</t>
  </si>
  <si>
    <t>Max Financial Services Ltd</t>
  </si>
  <si>
    <t>INE848E01016</t>
  </si>
  <si>
    <t>NHPC Ltd</t>
  </si>
  <si>
    <t>INE323A01026</t>
  </si>
  <si>
    <t>Power Grid Corp of India Ltd</t>
  </si>
  <si>
    <t>INE476A01022</t>
  </si>
  <si>
    <t>Union Bank of India Ltd</t>
  </si>
  <si>
    <t>INE075A01022</t>
  </si>
  <si>
    <t>Wipro Ltd</t>
  </si>
  <si>
    <t>Adani Ports &amp; Special Economic</t>
  </si>
  <si>
    <t>Anthem Biosciences Ltd</t>
  </si>
  <si>
    <t>Apollo Hospitals Enterprise Lt</t>
  </si>
  <si>
    <t>Apollo Tyres Ltd</t>
  </si>
  <si>
    <t>INE386C01029</t>
  </si>
  <si>
    <t>Astra Microwave Products Ltd</t>
  </si>
  <si>
    <t>INE00R701025</t>
  </si>
  <si>
    <t>INE462A01022</t>
  </si>
  <si>
    <t>Bayer CropScience Ltd/India</t>
  </si>
  <si>
    <t>Bosch Ltd</t>
  </si>
  <si>
    <t>INE02RE01045</t>
  </si>
  <si>
    <t>BrainBees Solutions Ltd</t>
  </si>
  <si>
    <t>Britannia Industries Ltd</t>
  </si>
  <si>
    <t>Coromandel International Ltd</t>
  </si>
  <si>
    <t>INE102D01028</t>
  </si>
  <si>
    <t>Godrej Consumer Products Ltd</t>
  </si>
  <si>
    <t>INE246F01010</t>
  </si>
  <si>
    <t>Gujarat State Petronet Ltd</t>
  </si>
  <si>
    <t>INE813A01018</t>
  </si>
  <si>
    <t>Mahindra Lifespace Developers</t>
  </si>
  <si>
    <t>INE511C01022</t>
  </si>
  <si>
    <t>Poonawalla Fincorp Ltd</t>
  </si>
  <si>
    <t>INE721A01047</t>
  </si>
  <si>
    <t>Shriram Finance Ltd</t>
  </si>
  <si>
    <t>INE383A01012</t>
  </si>
  <si>
    <t>India Cements Ltd/The</t>
  </si>
  <si>
    <t>INE484J01027</t>
  </si>
  <si>
    <t>INE427F01016</t>
  </si>
  <si>
    <t>Chalet Hotels Ltd</t>
  </si>
  <si>
    <t>Colgate-Palmolive India Ltd</t>
  </si>
  <si>
    <t>Grasim Industries Ltd</t>
  </si>
  <si>
    <t>Havells India Ltd</t>
  </si>
  <si>
    <t>INE982J01020</t>
  </si>
  <si>
    <t>One 97 Communications Ltd</t>
  </si>
  <si>
    <t>INE191H01014</t>
  </si>
  <si>
    <t>PVR Inox Ltd</t>
  </si>
  <si>
    <t>REC Ltd</t>
  </si>
  <si>
    <t>INE216P01012</t>
  </si>
  <si>
    <t>Aavas Financiers Ltd</t>
  </si>
  <si>
    <t>INE531E01026</t>
  </si>
  <si>
    <t>INE647O01011</t>
  </si>
  <si>
    <t>Aditya Birla Fashion and Retai</t>
  </si>
  <si>
    <t>INE14LE01019</t>
  </si>
  <si>
    <t>Aditya Birla Lifestyle Brands</t>
  </si>
  <si>
    <t>#N/A Field Not Applicable</t>
  </si>
  <si>
    <t>INE404A01024</t>
  </si>
  <si>
    <t>Aditya Birla Sun Life Asset Ma</t>
  </si>
  <si>
    <t>INE101I01011</t>
  </si>
  <si>
    <t>Afcons Infrastructure Ltd</t>
  </si>
  <si>
    <t>INE885A01032</t>
  </si>
  <si>
    <t>Amara Raja Energy &amp; Mobility L</t>
  </si>
  <si>
    <t>AU Small Finance Bank Ltd</t>
  </si>
  <si>
    <t>INE108V01019</t>
  </si>
  <si>
    <t>Awfis Space Solutions Ltd</t>
  </si>
  <si>
    <t>Brigade Enterprises Ltd</t>
  </si>
  <si>
    <t>INE572A01036</t>
  </si>
  <si>
    <t>INE752H01013</t>
  </si>
  <si>
    <t>Care Ratings Ltd</t>
  </si>
  <si>
    <t>INE749A01030</t>
  </si>
  <si>
    <t>INE486A01021</t>
  </si>
  <si>
    <t>CESC Ltd</t>
  </si>
  <si>
    <t>INE797F01020</t>
  </si>
  <si>
    <t>Craftsman Automation Ltd</t>
  </si>
  <si>
    <t>INE055S01018</t>
  </si>
  <si>
    <t>Cyient DLM Ltd</t>
  </si>
  <si>
    <t>Dalmia Bharat Ltd</t>
  </si>
  <si>
    <t>INE878B01027</t>
  </si>
  <si>
    <t>INE148O01028</t>
  </si>
  <si>
    <t>Delhivery Ltd</t>
  </si>
  <si>
    <t>INE02YR01019</t>
  </si>
  <si>
    <t>Electronics Mart India Ltd</t>
  </si>
  <si>
    <t>INE967H01025</t>
  </si>
  <si>
    <t>INE548C01032</t>
  </si>
  <si>
    <t>Emami Ltd</t>
  </si>
  <si>
    <t>INE168P01015</t>
  </si>
  <si>
    <t>Emcure Pharmaceuticals Ltd</t>
  </si>
  <si>
    <t>INE302A01020</t>
  </si>
  <si>
    <t>Exide Industries Ltd</t>
  </si>
  <si>
    <t>INE235A01022</t>
  </si>
  <si>
    <t>Finolex Cables Ltd</t>
  </si>
  <si>
    <t>INE0BJS01011</t>
  </si>
  <si>
    <t>Go Fashion India Ltd</t>
  </si>
  <si>
    <t>INE07Y701011</t>
  </si>
  <si>
    <t>Hitachi Energy India Ltd</t>
  </si>
  <si>
    <t>INE09VQ01012</t>
  </si>
  <si>
    <t>Indigo Paints Ltd</t>
  </si>
  <si>
    <t>INE112L01020</t>
  </si>
  <si>
    <t>JB Chemicals &amp; Pharmaceuticals</t>
  </si>
  <si>
    <t>Jubilant Foodworks Ltd</t>
  </si>
  <si>
    <t>INE531A01024</t>
  </si>
  <si>
    <t>Kansai Nerolac Paints Ltd</t>
  </si>
  <si>
    <t>INE389H01022</t>
  </si>
  <si>
    <t>KEC International Ltd</t>
  </si>
  <si>
    <t>INE531F01015</t>
  </si>
  <si>
    <t>INE717A01029</t>
  </si>
  <si>
    <t>Kennametal India Ltd</t>
  </si>
  <si>
    <t>INE766P01016</t>
  </si>
  <si>
    <t>Mahindra Logistics Ltd</t>
  </si>
  <si>
    <t>INE804L01022</t>
  </si>
  <si>
    <t>Medplus Health Services Ltd</t>
  </si>
  <si>
    <t>INE410P01011</t>
  </si>
  <si>
    <t>Narayana Hrudayalaya Ltd</t>
  </si>
  <si>
    <t>INE995S01015</t>
  </si>
  <si>
    <t>Niva Bupa Health Insurance Co</t>
  </si>
  <si>
    <t>INE0DK501011</t>
  </si>
  <si>
    <t>INE589A01014</t>
  </si>
  <si>
    <t>NLC India Ltd</t>
  </si>
  <si>
    <t>INE0LXG01040</t>
  </si>
  <si>
    <t>Ola Electric Mobility Ltd</t>
  </si>
  <si>
    <t>INE182A01018</t>
  </si>
  <si>
    <t>Pfizer Ltd</t>
  </si>
  <si>
    <t>INE572E01012</t>
  </si>
  <si>
    <t>PNB Housing Finance Ltd</t>
  </si>
  <si>
    <t>INE961O01016</t>
  </si>
  <si>
    <t>INE570L01029</t>
  </si>
  <si>
    <t>SAI Life Sciences Ltd</t>
  </si>
  <si>
    <t>INE0UOS01011</t>
  </si>
  <si>
    <t>Sanofi Consumer Healthcare Ind</t>
  </si>
  <si>
    <t>INE058A01010</t>
  </si>
  <si>
    <t>Sanofi India Ltd</t>
  </si>
  <si>
    <t>INE953O01021</t>
  </si>
  <si>
    <t>Sansera Engineering Ltd</t>
  </si>
  <si>
    <t>INE806T01020</t>
  </si>
  <si>
    <t>Sapphire Foods India Ltd</t>
  </si>
  <si>
    <t>INE839M01018</t>
  </si>
  <si>
    <t>Schneider Electric Infrastruct</t>
  </si>
  <si>
    <t>INE916U01025</t>
  </si>
  <si>
    <t>Sheela Foam Ltd</t>
  </si>
  <si>
    <t>INE498B01024</t>
  </si>
  <si>
    <t>Shoppers Stop Ltd</t>
  </si>
  <si>
    <t>INE985S01024</t>
  </si>
  <si>
    <t>TeamLease Services Ltd</t>
  </si>
  <si>
    <t>INE325A01013</t>
  </si>
  <si>
    <t>Timken India Ltd</t>
  </si>
  <si>
    <t>INE114A01011</t>
  </si>
  <si>
    <t>INE152M01016</t>
  </si>
  <si>
    <t>Triveni Turbine Ltd</t>
  </si>
  <si>
    <t>INE094J01016</t>
  </si>
  <si>
    <t>UTI Asset Management Co Ltd</t>
  </si>
  <si>
    <t>INE764D01017</t>
  </si>
  <si>
    <t>VST Tillers Tractors Ltd</t>
  </si>
  <si>
    <t>INE386A01023</t>
  </si>
  <si>
    <t>Vesuvius India Ltd</t>
  </si>
  <si>
    <t>INE043W01024</t>
  </si>
  <si>
    <t>Vijaya Diagnostic Centre Ltd</t>
  </si>
  <si>
    <t>Voltas Ltd</t>
  </si>
  <si>
    <t>INE366I01010</t>
  </si>
  <si>
    <t>VRL Logistics Ltd</t>
  </si>
  <si>
    <t>INE285K01026</t>
  </si>
  <si>
    <t>INE716A01013</t>
  </si>
  <si>
    <t>Whirlpool of India Ltd</t>
  </si>
  <si>
    <t>INE118A01012</t>
  </si>
  <si>
    <t>Bajaj Holdings &amp; Investment Lt</t>
  </si>
  <si>
    <t>INE545U01014</t>
  </si>
  <si>
    <t>Bandhan Bank Ltd</t>
  </si>
  <si>
    <t>INE257A01026</t>
  </si>
  <si>
    <t>Bharat Heavy Electricals Ltd</t>
  </si>
  <si>
    <t>INE126A01031</t>
  </si>
  <si>
    <t>EID Parry India Ltd</t>
  </si>
  <si>
    <t>GAIL India Ltd</t>
  </si>
  <si>
    <t>INE776C01039</t>
  </si>
  <si>
    <t>GMR Airports Ltd</t>
  </si>
  <si>
    <t>Godrej Properties Ltd</t>
  </si>
  <si>
    <t>Hindustan Copper Ltd</t>
  </si>
  <si>
    <t>INE0JO301016</t>
  </si>
  <si>
    <t>INE725G01011</t>
  </si>
  <si>
    <t>ICRA Ltd</t>
  </si>
  <si>
    <t>INE251B01027</t>
  </si>
  <si>
    <t>INE530B01024</t>
  </si>
  <si>
    <t>IIFL Finance Ltd</t>
  </si>
  <si>
    <t>Indian Energy Exchange Ltd</t>
  </si>
  <si>
    <t>Indus Towers Ltd</t>
  </si>
  <si>
    <t>INE571A01038</t>
  </si>
  <si>
    <t>Ipca Laboratories Ltd</t>
  </si>
  <si>
    <t>Jindal Steel &amp; Power Ltd</t>
  </si>
  <si>
    <t>INE758E01017</t>
  </si>
  <si>
    <t>Jio Financial Services Ltd</t>
  </si>
  <si>
    <t>INE931S01010</t>
  </si>
  <si>
    <t>INE019A01038</t>
  </si>
  <si>
    <t>JSW Steel Ltd</t>
  </si>
  <si>
    <t>INE002S01010</t>
  </si>
  <si>
    <t>Mahanagar Gas Ltd</t>
  </si>
  <si>
    <t>INE288A01013</t>
  </si>
  <si>
    <t>Maharashtra Scooters Ltd</t>
  </si>
  <si>
    <t>INE338I01027</t>
  </si>
  <si>
    <t>Motilal Oswal Financial Servic</t>
  </si>
  <si>
    <t>INE317F01035</t>
  </si>
  <si>
    <t>NESCO Ltd</t>
  </si>
  <si>
    <t>Polycab India Ltd</t>
  </si>
  <si>
    <t>Punjab National Bank</t>
  </si>
  <si>
    <t>INE976G01028</t>
  </si>
  <si>
    <t>RBL Bank Ltd</t>
  </si>
  <si>
    <t>Steel Authority of India Ltd</t>
  </si>
  <si>
    <t>INE277A01016</t>
  </si>
  <si>
    <t>Swaraj Engines Ltd</t>
  </si>
  <si>
    <t>INE768C01010</t>
  </si>
  <si>
    <t>Zydus Wellness Ltd</t>
  </si>
  <si>
    <t>INE365D01021</t>
  </si>
  <si>
    <t>Ashiana Housing Ltd</t>
  </si>
  <si>
    <t>INE914M01019</t>
  </si>
  <si>
    <t>Aster DM Healthcare Ltd</t>
  </si>
  <si>
    <t>INE449A01011</t>
  </si>
  <si>
    <t>Automotive Axles Ltd</t>
  </si>
  <si>
    <t>INE084A01016</t>
  </si>
  <si>
    <t>Bank of India</t>
  </si>
  <si>
    <t>INE131C01011</t>
  </si>
  <si>
    <t>DISA India Ltd</t>
  </si>
  <si>
    <t>INE063P01018</t>
  </si>
  <si>
    <t>Equitas Small Finance Bank Ltd</t>
  </si>
  <si>
    <t>INE079J01017</t>
  </si>
  <si>
    <t>Gateway Distriparks Ltd</t>
  </si>
  <si>
    <t>INE201P01022</t>
  </si>
  <si>
    <t>G R Infraprojects Ltd</t>
  </si>
  <si>
    <t>INE461C01038</t>
  </si>
  <si>
    <t>Greenply Industries Ltd</t>
  </si>
  <si>
    <t>INE536A01023</t>
  </si>
  <si>
    <t>Grindwell Norton Ltd</t>
  </si>
  <si>
    <t>INE177A01018</t>
  </si>
  <si>
    <t>Ingersoll Rand India Ltd</t>
  </si>
  <si>
    <t>INE136S01016</t>
  </si>
  <si>
    <t>Neogen Chemicals Ltd</t>
  </si>
  <si>
    <t>INE0NNS01018</t>
  </si>
  <si>
    <t>NMDC Steel Ltd</t>
  </si>
  <si>
    <t>INE347G01014</t>
  </si>
  <si>
    <t>Petronet LNG Ltd</t>
  </si>
  <si>
    <t>INE010A01011</t>
  </si>
  <si>
    <t>Prism Johnson Ltd</t>
  </si>
  <si>
    <t>INE613A01020</t>
  </si>
  <si>
    <t>Rallis India Ltd</t>
  </si>
  <si>
    <t>INE142Q01026</t>
  </si>
  <si>
    <t>Sula Vineyards Ltd</t>
  </si>
  <si>
    <t>INE331A01037</t>
  </si>
  <si>
    <t>Ramco Cements Ltd/The</t>
  </si>
  <si>
    <t>INE274C01019</t>
  </si>
  <si>
    <t>Wendt India Ltd</t>
  </si>
  <si>
    <t>Acutaas Chemicals Ltd</t>
  </si>
  <si>
    <t>Aditya Birla Capital Ltd</t>
  </si>
  <si>
    <t>INE472A01039</t>
  </si>
  <si>
    <t>Blue Star Ltd</t>
  </si>
  <si>
    <t>INE115Q01022</t>
  </si>
  <si>
    <t>Cholamandalam Financial Holdin</t>
  </si>
  <si>
    <t>INE183A01024</t>
  </si>
  <si>
    <t>Finolex Industries Ltd</t>
  </si>
  <si>
    <t>INE845D01014</t>
  </si>
  <si>
    <t>Ganesha Ecosphere Ltd</t>
  </si>
  <si>
    <t>INE052E01015</t>
  </si>
  <si>
    <t>Gayatri BiOrganics Ltd</t>
  </si>
  <si>
    <t>INE473B01035</t>
  </si>
  <si>
    <t>Hatsun Agro Product Ltd</t>
  </si>
  <si>
    <t>#N/A Invalid Security</t>
  </si>
  <si>
    <t>INE947Q01028</t>
  </si>
  <si>
    <t>Laurus Labs Ltd</t>
  </si>
  <si>
    <t>INE970X01018</t>
  </si>
  <si>
    <t>Lemon Tree Hotels Ltd</t>
  </si>
  <si>
    <t>INE122R01018</t>
  </si>
  <si>
    <t>Manpasand Beverages Ltd</t>
  </si>
  <si>
    <t>Muthoot Finance Ltd</t>
  </si>
  <si>
    <t>INE703F01010</t>
  </si>
  <si>
    <t>INE114B01019</t>
  </si>
  <si>
    <t>Padmini Technologies Ltd</t>
  </si>
  <si>
    <t>INE131B01039</t>
  </si>
  <si>
    <t>Relaxo Footwears Ltd</t>
  </si>
  <si>
    <t>INE387A01021</t>
  </si>
  <si>
    <t>Sundram Fasteners Ltd</t>
  </si>
  <si>
    <t>INE011K01018</t>
  </si>
  <si>
    <t>Tega Industries Ltd</t>
  </si>
  <si>
    <t>INE00WC01027</t>
  </si>
  <si>
    <t>Affle 3i Ltd</t>
  </si>
  <si>
    <t>Astral Ltd</t>
  </si>
  <si>
    <t>INE382M01027</t>
  </si>
  <si>
    <t>Barbeque Nation Hospitality Lt</t>
  </si>
  <si>
    <t>INE227W01023</t>
  </si>
  <si>
    <t>Clean Science &amp; Technology Ltd</t>
  </si>
  <si>
    <t>INE03QK01018</t>
  </si>
  <si>
    <t>Cohance Lifesciences Ltd</t>
  </si>
  <si>
    <t>INE406M01024</t>
  </si>
  <si>
    <t>Eris Lifesciences Ltd</t>
  </si>
  <si>
    <t>Marico Ltd</t>
  </si>
  <si>
    <t>INE317I01021</t>
  </si>
  <si>
    <t>Metro Brands Ltd</t>
  </si>
  <si>
    <t>INE864A01011</t>
  </si>
  <si>
    <t>MTZ Polyfilms Ltd</t>
  </si>
  <si>
    <t>INE348C01011</t>
  </si>
  <si>
    <t>Mukerian Papers</t>
  </si>
  <si>
    <t>INE205C01021</t>
  </si>
  <si>
    <t>Poly Medicure Ltd</t>
  </si>
  <si>
    <t>INE02A801020</t>
  </si>
  <si>
    <t>Rossari Biotech Ltd</t>
  </si>
  <si>
    <t>INE645A01014</t>
  </si>
  <si>
    <t>Spartek Ceramics India Ltd</t>
  </si>
  <si>
    <t>INE258G01013</t>
  </si>
  <si>
    <t>Sumitomo Chemical India Ltd</t>
  </si>
  <si>
    <t>INE284S01014</t>
  </si>
  <si>
    <t>SJS Enterprises Ltd</t>
  </si>
  <si>
    <t>INE524A01029</t>
  </si>
  <si>
    <t>Gabriel India Ltd</t>
  </si>
  <si>
    <t>INE526E01018</t>
  </si>
  <si>
    <t>Shriram Pistons &amp; Rings Ltd</t>
  </si>
  <si>
    <t>INE481N01025</t>
  </si>
  <si>
    <t>Home First Finance Co India Lt</t>
  </si>
  <si>
    <t>INE883F01010</t>
  </si>
  <si>
    <t>Aadhar Housing Finance Ltd</t>
  </si>
  <si>
    <t>INE659A01023</t>
  </si>
  <si>
    <t>Sudarshan Chemical Industries</t>
  </si>
  <si>
    <t>INE0BWX01014</t>
  </si>
  <si>
    <t>Aether Industries Ltd</t>
  </si>
  <si>
    <t>INE052I01032</t>
  </si>
  <si>
    <t>Camlin Fine Sciences Ltd</t>
  </si>
  <si>
    <t>INE0BY001018</t>
  </si>
  <si>
    <t>Jubilant Ingrevia Ltd</t>
  </si>
  <si>
    <t>INE0JR601024</t>
  </si>
  <si>
    <t>INE945H01013</t>
  </si>
  <si>
    <t>V2 Retail Ltd</t>
  </si>
  <si>
    <t>INE0KCE01017</t>
  </si>
  <si>
    <t>Eureka Forbes Ltd</t>
  </si>
  <si>
    <t>INE0LCL01028</t>
  </si>
  <si>
    <t>Avalon Technologies Ltd</t>
  </si>
  <si>
    <t>PG Electroplast Ltd</t>
  </si>
  <si>
    <t>INE00E101023</t>
  </si>
  <si>
    <t>Bikaji Foods International Ltd</t>
  </si>
  <si>
    <t>INE0DYJ01015</t>
  </si>
  <si>
    <t>Syrma SGS Technology Ltd</t>
  </si>
  <si>
    <t>INE893J01029</t>
  </si>
  <si>
    <t>Mold-Tek Packaging Ltd</t>
  </si>
  <si>
    <t>INE510A01028</t>
  </si>
  <si>
    <t>Engineers India Ltd</t>
  </si>
  <si>
    <t>INE037Z01029</t>
  </si>
  <si>
    <t>Concord Enviro Systems Ltd</t>
  </si>
  <si>
    <t>INE864I01014</t>
  </si>
  <si>
    <t>MTAR Technologies Ltd</t>
  </si>
  <si>
    <t>INE099Z01011</t>
  </si>
  <si>
    <t>Mishra Dhatu Nigam Ltd</t>
  </si>
  <si>
    <t>INE497S01012</t>
  </si>
  <si>
    <t>Godavari Biorefineries Ltd</t>
  </si>
  <si>
    <t>INE704P01025</t>
  </si>
  <si>
    <t>Cochin Shipyard Ltd</t>
  </si>
  <si>
    <t>INE807F01027</t>
  </si>
  <si>
    <t>Sequent Scientific Ltd</t>
  </si>
  <si>
    <t>Krishna Institute of Medical S</t>
  </si>
  <si>
    <t>INE025R01021</t>
  </si>
  <si>
    <t>Artemis Medicare Services Ltd</t>
  </si>
  <si>
    <t>INE013P01021</t>
  </si>
  <si>
    <t>Onesource Specialty Pharma Ltd</t>
  </si>
  <si>
    <t>INE0RB801010</t>
  </si>
  <si>
    <t>Senores Pharmaceuticals Ltd</t>
  </si>
  <si>
    <t>INE993A01026</t>
  </si>
  <si>
    <t>Man Industries India Ltd</t>
  </si>
  <si>
    <t>INE03EI01018</t>
  </si>
  <si>
    <t>Max Estates Ltd</t>
  </si>
  <si>
    <t>INE759A01021</t>
  </si>
  <si>
    <t>Mastek Ltd</t>
  </si>
  <si>
    <t>INE419U01012</t>
  </si>
  <si>
    <t>Happiest Minds Technologies Lt</t>
  </si>
  <si>
    <t>INE411H01032</t>
  </si>
  <si>
    <t>R Systems International Ltd</t>
  </si>
  <si>
    <t>INE887G01027</t>
  </si>
  <si>
    <t>Gokaldas Exports Ltd</t>
  </si>
  <si>
    <t>INE573A01042</t>
  </si>
  <si>
    <t>JK Tyre &amp; Industries Ltd</t>
  </si>
  <si>
    <t>INE811A01020</t>
  </si>
  <si>
    <t>Kirloskar Pneumatic Co Ltd</t>
  </si>
  <si>
    <t>INE794A01010</t>
  </si>
  <si>
    <t>Neuland Laboratories Ltd</t>
  </si>
  <si>
    <t>INE483B01026</t>
  </si>
  <si>
    <t>Indo Count Industries Ltd</t>
  </si>
  <si>
    <t>IN9397D01014</t>
  </si>
  <si>
    <t>INE220G01021</t>
  </si>
  <si>
    <t>Jindal Stainless Ltd</t>
  </si>
  <si>
    <t>INE499A01024</t>
  </si>
  <si>
    <t>DCM Shriram Ltd</t>
  </si>
  <si>
    <t>INE0S4R01014</t>
  </si>
  <si>
    <t>Crizac Ltd</t>
  </si>
  <si>
    <t>INE133A01011</t>
  </si>
  <si>
    <t>Akzo Nobel India Ltd</t>
  </si>
  <si>
    <t>INE0LRU01027</t>
  </si>
  <si>
    <t>Aarti Pharmalabs Ltd</t>
  </si>
  <si>
    <t>INE092T01019</t>
  </si>
  <si>
    <t>IDFC First Bank Ltd</t>
  </si>
  <si>
    <t>INE385C01021</t>
  </si>
  <si>
    <t>Sarda Energy &amp; Minerals Ltd</t>
  </si>
  <si>
    <t>INE700A01033</t>
  </si>
  <si>
    <t>Jubilant Pharmova Ltd</t>
  </si>
  <si>
    <t>INE294Z01018</t>
  </si>
  <si>
    <t>Anup Engineering Limited/The</t>
  </si>
  <si>
    <t>INE545H01011</t>
  </si>
  <si>
    <t>Technocraft Industries India L</t>
  </si>
  <si>
    <t>INE482D01024</t>
  </si>
  <si>
    <t>Carysil Ltd</t>
  </si>
  <si>
    <t>INE221B01012</t>
  </si>
  <si>
    <t>Dynamatic Technologies Ltd</t>
  </si>
  <si>
    <t>INE570A01022</t>
  </si>
  <si>
    <t>ION Exchange India Ltd</t>
  </si>
  <si>
    <t>INE489L01022</t>
  </si>
  <si>
    <t>IIFL Capital Services Ltd</t>
  </si>
  <si>
    <t>Canara Bank</t>
  </si>
  <si>
    <t>INE926X01010</t>
  </si>
  <si>
    <t>HG Infra Engineering Ltd</t>
  </si>
  <si>
    <t>INE786A01032</t>
  </si>
  <si>
    <t>JK Lakshmi Cement Ltd</t>
  </si>
  <si>
    <t>INE049A01027</t>
  </si>
  <si>
    <t>Himatsingka Seide Ltd</t>
  </si>
  <si>
    <t>INE065X01017</t>
  </si>
  <si>
    <t>Indegene Ltd</t>
  </si>
  <si>
    <t>INE979A01025</t>
  </si>
  <si>
    <t>Saregama India Ltd</t>
  </si>
  <si>
    <t>INE076B01028</t>
  </si>
  <si>
    <t>Siyaram Silk Mills Ltd</t>
  </si>
  <si>
    <t>INE843D01027</t>
  </si>
  <si>
    <t>DCM Shriram Industries Ltd</t>
  </si>
  <si>
    <t>INE551W01018</t>
  </si>
  <si>
    <t>Ujjivan Small Finance Bank Ltd</t>
  </si>
  <si>
    <t>INE895B01021</t>
  </si>
  <si>
    <t>Rupa &amp; Co Ltd</t>
  </si>
  <si>
    <t>INE901L01018</t>
  </si>
  <si>
    <t>Alembic Pharmaceuticals Ltd</t>
  </si>
  <si>
    <t>INE987B01026</t>
  </si>
  <si>
    <t>Natco Pharma Ltd</t>
  </si>
  <si>
    <t>INE119A01028</t>
  </si>
  <si>
    <t>Balrampur Chini Mills Ltd</t>
  </si>
  <si>
    <t>INE665L01035</t>
  </si>
  <si>
    <t>Varroc Engineering Ltd</t>
  </si>
  <si>
    <t>INE939A01011</t>
  </si>
  <si>
    <t>Strides Pharma Science Ltd</t>
  </si>
  <si>
    <t>INE805D01034</t>
  </si>
  <si>
    <t>Sunteck Realty Ltd</t>
  </si>
  <si>
    <t>Glenmark Pharmaceuticals Ltd</t>
  </si>
  <si>
    <t>INE278Y01022</t>
  </si>
  <si>
    <t>Campus Activewear Ltd</t>
  </si>
  <si>
    <t>INE399G01023</t>
  </si>
  <si>
    <t>Ramkrishna Forgings Ltd</t>
  </si>
  <si>
    <t>INE522D01027</t>
  </si>
  <si>
    <t>Manappuram Finance Ltd</t>
  </si>
  <si>
    <t>INE501A01019</t>
  </si>
  <si>
    <t>Deepak Fertilisers &amp; Petrochem</t>
  </si>
  <si>
    <t>INE085A01013</t>
  </si>
  <si>
    <t>Chambal Fertilisers and Chemic</t>
  </si>
  <si>
    <t>INE0NAZ01010</t>
  </si>
  <si>
    <t>Smartworks Coworking Spaces Lt</t>
  </si>
  <si>
    <t>INE438K01021</t>
  </si>
  <si>
    <t>Sai Silks Kalamandir Ltd</t>
  </si>
  <si>
    <t>INE371P01015</t>
  </si>
  <si>
    <t>Amber Enterprises India Ltd</t>
  </si>
  <si>
    <t>INE024L01027</t>
  </si>
  <si>
    <t>Gravita India Ltd</t>
  </si>
  <si>
    <t>INE372A01015</t>
  </si>
  <si>
    <t>Apar Industries Ltd</t>
  </si>
  <si>
    <t>INE660A01013</t>
  </si>
  <si>
    <t>Sundaram Finance Ltd</t>
  </si>
  <si>
    <t>360 ONE WAM Ltd</t>
  </si>
  <si>
    <t>Aarti Industries Ltd</t>
  </si>
  <si>
    <t>Aptus Value Housing Finance In</t>
  </si>
  <si>
    <t>Carraro India Ltd</t>
  </si>
  <si>
    <t>Ellenbarrie Industrial Gases L</t>
  </si>
  <si>
    <t>Fortis Healthcare Ltd</t>
  </si>
  <si>
    <t>GlaxoSmithKline Pharmaceutical</t>
  </si>
  <si>
    <t>Granules India Ltd</t>
  </si>
  <si>
    <t>Housing &amp; Urban Development Co</t>
  </si>
  <si>
    <t>Indiqube Spaces Ltd</t>
  </si>
  <si>
    <t>JSW Energy Ltd</t>
  </si>
  <si>
    <t>Jyoti CNC Automation Ltd</t>
  </si>
  <si>
    <t>Minda Corp Ltd</t>
  </si>
  <si>
    <t>Sagility India Ltd</t>
  </si>
  <si>
    <t>SJVN Ltd</t>
  </si>
  <si>
    <t>Ambuja Cements Ltd</t>
  </si>
  <si>
    <t>Atul Ltd</t>
  </si>
  <si>
    <t>Azad Engineering Ltd</t>
  </si>
  <si>
    <t>CMS Info Systems Ltd</t>
  </si>
  <si>
    <t>IRB Infrastructure Developers</t>
  </si>
  <si>
    <t>Rhi Magnesita India Ltd</t>
  </si>
  <si>
    <t>RR Kabel Ltd</t>
  </si>
  <si>
    <t>Travel Food Services Ltd</t>
  </si>
  <si>
    <t>Adani Enterprises Ltd</t>
  </si>
  <si>
    <t>KEI Industries Ltd</t>
  </si>
  <si>
    <t>Metropolis Healthcare Ltd</t>
  </si>
  <si>
    <t>Nuvama Wealth Management Ltd</t>
  </si>
  <si>
    <t>Piramal Pharma Ltd</t>
  </si>
  <si>
    <t>Rainbow Children's Medicare Lt</t>
  </si>
  <si>
    <t>Techno Electric &amp; Engineering</t>
  </si>
  <si>
    <t>Yatharth Hospital &amp; Trauma Car</t>
  </si>
  <si>
    <t>Zen Technologies Ltd</t>
  </si>
  <si>
    <t>Adani Energy Solutions Ltd</t>
  </si>
  <si>
    <t>Inventurus Knowledge Solutions</t>
  </si>
  <si>
    <t>Yatra Online Ltd</t>
  </si>
  <si>
    <t xml:space="preserve">Equity Funds </t>
  </si>
  <si>
    <t>Others/Cash*</t>
  </si>
  <si>
    <t>P/B</t>
  </si>
  <si>
    <t xml:space="preserve">*Others/Cash includes Cash, Debt and International exposure where applicable </t>
  </si>
  <si>
    <t>To calculate the backtested returns and portfolio weights the allocation of selected schemes is rebased to 100%</t>
  </si>
  <si>
    <t xml:space="preserve">Sector Exposure </t>
  </si>
  <si>
    <t>Top 5</t>
  </si>
  <si>
    <t>Sector Concentration</t>
  </si>
  <si>
    <t>Top 11</t>
  </si>
  <si>
    <t>1 M</t>
  </si>
  <si>
    <t>3 M</t>
  </si>
  <si>
    <t>6 M</t>
  </si>
  <si>
    <t>1 Y</t>
  </si>
  <si>
    <t>3 Y</t>
  </si>
  <si>
    <t>5 Y</t>
  </si>
  <si>
    <t>10 Y</t>
  </si>
  <si>
    <t>Portfolio Return</t>
  </si>
  <si>
    <t>Enter Portfolio Size:</t>
  </si>
  <si>
    <t>Asset Class</t>
  </si>
  <si>
    <t>Please select the Risk Profile of the Client from drop down in Cell D5 or create a coustom portfolio by entering values in D6 to D9</t>
  </si>
  <si>
    <t>POLICY GUIDELINES:</t>
  </si>
  <si>
    <t>1. Min allocation of fresh inflows towards MP funds = 75% of gross inflows
2. Max deviation of fresh inflows towards Whitelisted funds = 20% of gross inflows
3. Max deviation of fresh inflows towards funds other than Model Portfolio/Whitelisted funds recommended by a client = 5% of gross inflows
4. Max Exposure allowed towards a Whitelist Scheme = 5% of gross inflows 
5. Max Exposure towards a particular AMC = 25% of overall portfolio
6. Max Exposure towards a scheme =10% of overall portfolio</t>
  </si>
  <si>
    <t xml:space="preserve">Alternate </t>
  </si>
  <si>
    <t>Total</t>
  </si>
  <si>
    <t xml:space="preserve">Model Portfolio </t>
  </si>
  <si>
    <t>Amount</t>
  </si>
  <si>
    <t>Allocation across the products can be changed manually per client requirement</t>
  </si>
  <si>
    <t>Core funds</t>
  </si>
  <si>
    <t>Whitelist funds</t>
  </si>
  <si>
    <t>Watchlist - No Fresh allocations to be made</t>
  </si>
  <si>
    <t>Total Equity</t>
  </si>
  <si>
    <t xml:space="preserve">Total Hybrid </t>
  </si>
  <si>
    <t>Monthly returns for Private Credit strategies are not avalible as they are cashflow based products</t>
  </si>
  <si>
    <t>Total Debt</t>
  </si>
  <si>
    <t>Return data for Alternative funds will be added as they become avalible</t>
  </si>
  <si>
    <t xml:space="preserve">Top  Holding </t>
  </si>
  <si>
    <t xml:space="preserve">Percentage Exposure </t>
  </si>
  <si>
    <t>Portfolio Level</t>
  </si>
  <si>
    <t>Unique Stocks</t>
  </si>
  <si>
    <t>Sum of Security Holding</t>
  </si>
  <si>
    <t xml:space="preserve">Equity Level </t>
  </si>
  <si>
    <t>Fund</t>
  </si>
  <si>
    <t xml:space="preserve">Top 10 Sectors  </t>
  </si>
  <si>
    <t xml:space="preserve">Unique Sectors </t>
  </si>
  <si>
    <t>Sum at Portfolio Level</t>
  </si>
  <si>
    <t>Largecap</t>
  </si>
  <si>
    <t>Midcap</t>
  </si>
  <si>
    <t xml:space="preserve">Small Cap </t>
  </si>
  <si>
    <t>Others/Cash</t>
  </si>
  <si>
    <t>Kotak Bluechip Fund</t>
  </si>
  <si>
    <t>HDFC Bank</t>
  </si>
  <si>
    <t>Financial</t>
  </si>
  <si>
    <t>ICICI Bank</t>
  </si>
  <si>
    <t>Technology</t>
  </si>
  <si>
    <t>Reliance Ind</t>
  </si>
  <si>
    <t>Infosys</t>
  </si>
  <si>
    <t>Energy &amp; Utilities</t>
  </si>
  <si>
    <t>Larsen &amp; Toubro</t>
  </si>
  <si>
    <t>Bharti Airtel</t>
  </si>
  <si>
    <t>Mahindra &amp; Mahindra</t>
  </si>
  <si>
    <t>Axis Bank</t>
  </si>
  <si>
    <t>ITC</t>
  </si>
  <si>
    <t>Healthcare</t>
  </si>
  <si>
    <t>SBI</t>
  </si>
  <si>
    <t>Canara Robeco Emerging Equities Fund</t>
  </si>
  <si>
    <t>Maruti Suzuki</t>
  </si>
  <si>
    <t>Tata Consultancy</t>
  </si>
  <si>
    <t>NTPC</t>
  </si>
  <si>
    <t>Sun Pharmaceutical</t>
  </si>
  <si>
    <t>Ultratech Cement</t>
  </si>
  <si>
    <t>Interglobe Aviation</t>
  </si>
  <si>
    <t>Hindustan Unilever</t>
  </si>
  <si>
    <t>Bajaj Finance</t>
  </si>
  <si>
    <t>Kotak Bank</t>
  </si>
  <si>
    <t>Diversified</t>
  </si>
  <si>
    <t>Tech Mahindra</t>
  </si>
  <si>
    <t>SBI Large &amp; Midcap Fund-Reg(IDCW)</t>
  </si>
  <si>
    <t>Coromandel Intl</t>
  </si>
  <si>
    <t>United Spirits</t>
  </si>
  <si>
    <t>Eternal</t>
  </si>
  <si>
    <t>Zomato</t>
  </si>
  <si>
    <t>Tata Steel</t>
  </si>
  <si>
    <t>Solar</t>
  </si>
  <si>
    <t>Shriram Finance</t>
  </si>
  <si>
    <t>Godrej Consumer</t>
  </si>
  <si>
    <t>The Indian Hotels</t>
  </si>
  <si>
    <t>Bharat Electronics</t>
  </si>
  <si>
    <t>Dixon Technologies</t>
  </si>
  <si>
    <t>Trent</t>
  </si>
  <si>
    <t>UTI Flexi Cap Fund</t>
  </si>
  <si>
    <t>UNO Minda</t>
  </si>
  <si>
    <t>KPIT Technologies</t>
  </si>
  <si>
    <t>TVS Motor</t>
  </si>
  <si>
    <t>Cholamandalam Inv</t>
  </si>
  <si>
    <t>The Federal Bank</t>
  </si>
  <si>
    <t>Tata Consumer</t>
  </si>
  <si>
    <t>Max Healthcare</t>
  </si>
  <si>
    <t>ICICI Prudential Balanced Advantage Fund</t>
  </si>
  <si>
    <t>Praj</t>
  </si>
  <si>
    <t>Abbott India</t>
  </si>
  <si>
    <t>EIH</t>
  </si>
  <si>
    <t>Tata Power</t>
  </si>
  <si>
    <t>Century Textiles</t>
  </si>
  <si>
    <t>Bajaj Auto</t>
  </si>
  <si>
    <t>Torrent Power</t>
  </si>
  <si>
    <t>United Breweries</t>
  </si>
  <si>
    <t>HDFC AMC</t>
  </si>
  <si>
    <t>Muthoot Finance</t>
  </si>
  <si>
    <t>Edelweiss Balanced Advantage Fund</t>
  </si>
  <si>
    <t>Coforge</t>
  </si>
  <si>
    <t>Ashok Leyland</t>
  </si>
  <si>
    <t>Alkem Laboratories</t>
  </si>
  <si>
    <t>PI</t>
  </si>
  <si>
    <t>Shree Cement</t>
  </si>
  <si>
    <t>Page</t>
  </si>
  <si>
    <t>Jubilant Foodworks</t>
  </si>
  <si>
    <t>Berger Paints</t>
  </si>
  <si>
    <t>Divi's Lab</t>
  </si>
  <si>
    <t>Gland Pharma</t>
  </si>
  <si>
    <t>Tata Balanced Advantage Fund</t>
  </si>
  <si>
    <t>National Aluminium</t>
  </si>
  <si>
    <t>LTIMindtree</t>
  </si>
  <si>
    <t>Jindal Steel</t>
  </si>
  <si>
    <t>Info Edge (India)</t>
  </si>
  <si>
    <t>Avenue Supermarts</t>
  </si>
  <si>
    <t>Titan</t>
  </si>
  <si>
    <t>Persistent Systems</t>
  </si>
  <si>
    <t>Astral</t>
  </si>
  <si>
    <t>Ajanta Pharma</t>
  </si>
  <si>
    <t>Poly Medicure</t>
  </si>
  <si>
    <t>Dr. Lal Pathlabs</t>
  </si>
  <si>
    <t>Polycab India</t>
  </si>
  <si>
    <t>AU Small Fin Bank</t>
  </si>
  <si>
    <t>Eicher Motors</t>
  </si>
  <si>
    <t>Havells India</t>
  </si>
  <si>
    <t>HCL Technologies</t>
  </si>
  <si>
    <t>Global Health</t>
  </si>
  <si>
    <t>Samvardhana Motherson</t>
  </si>
  <si>
    <t>Britannia Ind</t>
  </si>
  <si>
    <t>Nestle India</t>
  </si>
  <si>
    <t>Tata Motors</t>
  </si>
  <si>
    <t>MCX</t>
  </si>
  <si>
    <t>Granules India</t>
  </si>
  <si>
    <t>Apollo Hospitals</t>
  </si>
  <si>
    <t>Colgate-Palmolive</t>
  </si>
  <si>
    <t>Premier Energies</t>
  </si>
  <si>
    <t>Cipla</t>
  </si>
  <si>
    <t>DLF</t>
  </si>
  <si>
    <t>Canara Robeco Bluechip Equity Fund</t>
  </si>
  <si>
    <t>Power Grid</t>
  </si>
  <si>
    <t>Cummins India</t>
  </si>
  <si>
    <t>Hero Motocorp</t>
  </si>
  <si>
    <t>Godrej Properties</t>
  </si>
  <si>
    <t>Hindalco Ind</t>
  </si>
  <si>
    <t>Adani Ports</t>
  </si>
  <si>
    <t>KEC International</t>
  </si>
  <si>
    <t xml:space="preserve">Info Edge </t>
  </si>
  <si>
    <t>Wipro</t>
  </si>
  <si>
    <t>ICICI Prudential Bluechip Fund</t>
  </si>
  <si>
    <t>HDFC Asset Management Company</t>
  </si>
  <si>
    <t>Natco Pharma</t>
  </si>
  <si>
    <t>Alembic Pharmaceuticals</t>
  </si>
  <si>
    <t>Federal Bank</t>
  </si>
  <si>
    <t>Abb India</t>
  </si>
  <si>
    <t>Crompton Greaves Consumer Electrical</t>
  </si>
  <si>
    <t>Icici Lombard General Insurance Company</t>
  </si>
  <si>
    <t>Godrej Consumer Products</t>
  </si>
  <si>
    <t xml:space="preserve">Interglobe Aviation </t>
  </si>
  <si>
    <t xml:space="preserve">Patanjali Foods </t>
  </si>
  <si>
    <t xml:space="preserve">Bajaj Finance </t>
  </si>
  <si>
    <t xml:space="preserve">Torrent Pharmaceuticals </t>
  </si>
  <si>
    <t xml:space="preserve">Bajaj Finserv </t>
  </si>
  <si>
    <t xml:space="preserve">Apl Apollo Tubes </t>
  </si>
  <si>
    <t xml:space="preserve">Cholamandalam Investment And Finance Company </t>
  </si>
  <si>
    <t xml:space="preserve">Bharti Airtel </t>
  </si>
  <si>
    <t xml:space="preserve">Adani Ports &amp; Special Economic Zone </t>
  </si>
  <si>
    <t>Parag Parikh Flexi Cap Fund</t>
  </si>
  <si>
    <t xml:space="preserve">Dr Reddys Laboratories </t>
  </si>
  <si>
    <t xml:space="preserve">Tvs Motor Company </t>
  </si>
  <si>
    <t xml:space="preserve">Kei Industries </t>
  </si>
  <si>
    <t xml:space="preserve">Varun Beverages </t>
  </si>
  <si>
    <t xml:space="preserve">Tata Consultancy Services </t>
  </si>
  <si>
    <t xml:space="preserve">Divis Laboratories </t>
  </si>
  <si>
    <t xml:space="preserve">Sun Pharmaceutical Industries </t>
  </si>
  <si>
    <t xml:space="preserve">Polycab India </t>
  </si>
  <si>
    <t>Kotak Balanced Advantage Fund</t>
  </si>
  <si>
    <t xml:space="preserve">Sona Blw Precision Forgings </t>
  </si>
  <si>
    <t xml:space="preserve">Affle India </t>
  </si>
  <si>
    <t xml:space="preserve">P I Industries </t>
  </si>
  <si>
    <t xml:space="preserve">Bajaj Auto </t>
  </si>
  <si>
    <t>Cholamandalam Financial</t>
  </si>
  <si>
    <t xml:space="preserve">Gravita India </t>
  </si>
  <si>
    <t>SBI Life Insurance</t>
  </si>
  <si>
    <t>Varun Beverages</t>
  </si>
  <si>
    <t>Mankind Pharma</t>
  </si>
  <si>
    <t>ICICI Prudential</t>
  </si>
  <si>
    <t>ONGC</t>
  </si>
  <si>
    <t>Coal India</t>
  </si>
  <si>
    <t>HDFC Life</t>
  </si>
  <si>
    <t>SRF</t>
  </si>
  <si>
    <t>One97 Comm</t>
  </si>
  <si>
    <t>Delhivery</t>
  </si>
  <si>
    <t>Hindustan Petro</t>
  </si>
  <si>
    <t>Gujarat State Petronet</t>
  </si>
  <si>
    <t>Tata Comm</t>
  </si>
  <si>
    <t>LIC Housing Fin.</t>
  </si>
  <si>
    <t>Cash (Unclassified)</t>
  </si>
  <si>
    <t>Lupin</t>
  </si>
  <si>
    <t>Aurobindo Pharma</t>
  </si>
  <si>
    <t>Glenmark Pharmaceuticals</t>
  </si>
  <si>
    <t>Mphasis</t>
  </si>
  <si>
    <t>Bajaj Holdings</t>
  </si>
  <si>
    <t>Meta Platforms Inc. (FB)</t>
  </si>
  <si>
    <t>Alphabet Inc (GOOGL)</t>
  </si>
  <si>
    <t>Amazon.com (AMZN)</t>
  </si>
  <si>
    <t>Microsoft (MSFT)</t>
  </si>
  <si>
    <t>Balkrishna Ind</t>
  </si>
  <si>
    <t>SBI Contra Fund-Reg(IDCW)</t>
  </si>
  <si>
    <t>Dr. Reddy's Labs</t>
  </si>
  <si>
    <t>Zydus Lifesciences</t>
  </si>
  <si>
    <t>IEX</t>
  </si>
  <si>
    <t>Motilal Oswal Fin</t>
  </si>
  <si>
    <t>Ipca Laboratories</t>
  </si>
  <si>
    <t>Vedanta</t>
  </si>
  <si>
    <t>Ambuja Cements</t>
  </si>
  <si>
    <t xml:space="preserve">Maruti Suzuki India </t>
  </si>
  <si>
    <t xml:space="preserve">Mahindra &amp; Mahindra </t>
  </si>
  <si>
    <t xml:space="preserve">UNO Minda </t>
  </si>
  <si>
    <t>Info Edge</t>
  </si>
  <si>
    <t xml:space="preserve">JK Tyre &amp; Industries </t>
  </si>
  <si>
    <t xml:space="preserve">Bharat Forge </t>
  </si>
  <si>
    <t>Cholamandalam Investment and Finance</t>
  </si>
  <si>
    <t xml:space="preserve">ICICI Bank </t>
  </si>
  <si>
    <t xml:space="preserve">Muthoot Finance </t>
  </si>
  <si>
    <t xml:space="preserve">Shriram Finance </t>
  </si>
  <si>
    <t xml:space="preserve">Aadhar Housing Finance </t>
  </si>
  <si>
    <t xml:space="preserve">PNB Housing Finance </t>
  </si>
  <si>
    <t xml:space="preserve">JK Cements </t>
  </si>
  <si>
    <t xml:space="preserve">Navin Fluorine International </t>
  </si>
  <si>
    <t xml:space="preserve">Sudarshan Chemical Industries </t>
  </si>
  <si>
    <t xml:space="preserve">Finolex Cables </t>
  </si>
  <si>
    <t xml:space="preserve">Pidilite Industries </t>
  </si>
  <si>
    <t xml:space="preserve">TRENT </t>
  </si>
  <si>
    <t>Ntpc</t>
  </si>
  <si>
    <t xml:space="preserve">Dixon Technologies India </t>
  </si>
  <si>
    <t xml:space="preserve">Bharat Heavy Electricals </t>
  </si>
  <si>
    <t xml:space="preserve">Hitachi Energy India </t>
  </si>
  <si>
    <t>Reliance Industries</t>
  </si>
  <si>
    <t xml:space="preserve">KSB </t>
  </si>
  <si>
    <t xml:space="preserve">Kirloskar Pneumatic Company </t>
  </si>
  <si>
    <t xml:space="preserve">Bharat Electronics </t>
  </si>
  <si>
    <t>PNB Housing Finance</t>
  </si>
  <si>
    <t xml:space="preserve">SIEMENS </t>
  </si>
  <si>
    <t>Kotak Mahindra Bank</t>
  </si>
  <si>
    <t xml:space="preserve">Multi Commodity Exchange of India </t>
  </si>
  <si>
    <t>State Bank Of India</t>
  </si>
  <si>
    <t>International Gemmological Institute</t>
  </si>
  <si>
    <t>Balrampur Chini Mills</t>
  </si>
  <si>
    <t xml:space="preserve">Global Health </t>
  </si>
  <si>
    <t>One 97 Communications</t>
  </si>
  <si>
    <t xml:space="preserve">Ajanta Pharma </t>
  </si>
  <si>
    <t xml:space="preserve">Mankind Pharma </t>
  </si>
  <si>
    <t xml:space="preserve">Sequent Scientific </t>
  </si>
  <si>
    <t>ICICI Prudential Life Insurance Company</t>
  </si>
  <si>
    <t xml:space="preserve">Suven Pharmaceuticals </t>
  </si>
  <si>
    <t xml:space="preserve">IPCA Laboratories </t>
  </si>
  <si>
    <t xml:space="preserve">MAN Industries India </t>
  </si>
  <si>
    <t>Motilal Oswal Financial Services</t>
  </si>
  <si>
    <t xml:space="preserve">Tata Power Co </t>
  </si>
  <si>
    <t xml:space="preserve">Coforge </t>
  </si>
  <si>
    <t>Quess Corp</t>
  </si>
  <si>
    <t xml:space="preserve">Infosys </t>
  </si>
  <si>
    <t xml:space="preserve">Tech Mahindra </t>
  </si>
  <si>
    <t>Syngene International</t>
  </si>
  <si>
    <t xml:space="preserve">PB Fintech </t>
  </si>
  <si>
    <t xml:space="preserve">Indus Towers </t>
  </si>
  <si>
    <t>ABB India</t>
  </si>
  <si>
    <t xml:space="preserve">Indo Count Industries </t>
  </si>
  <si>
    <t>Cash and Cash Equivalent</t>
  </si>
  <si>
    <t>Varroc Engineering</t>
  </si>
  <si>
    <t>Exide Industries</t>
  </si>
  <si>
    <t>Piramal Enterprises</t>
  </si>
  <si>
    <t>Onesource Specialty Pharma</t>
  </si>
  <si>
    <t>Emami</t>
  </si>
  <si>
    <t>Sunteck Realty</t>
  </si>
  <si>
    <t>Page Industries</t>
  </si>
  <si>
    <t>Strides Pharma Science</t>
  </si>
  <si>
    <t>APL Apollo Tubes</t>
  </si>
  <si>
    <t>Bharti Airtel RE</t>
  </si>
  <si>
    <t>IndusInd Bank</t>
  </si>
  <si>
    <t>Vedant Fashions</t>
  </si>
  <si>
    <t>Maruti Suzuki India</t>
  </si>
  <si>
    <t>Grasim Industries</t>
  </si>
  <si>
    <t>Elecon Engineering Company</t>
  </si>
  <si>
    <t>KEI Industries</t>
  </si>
  <si>
    <t>Cholamandalam Investment and Finance Company</t>
  </si>
  <si>
    <t>Kotak Mahindra</t>
  </si>
  <si>
    <t>Emcure Pharmaceuticals</t>
  </si>
  <si>
    <t>Pidilite Industries</t>
  </si>
  <si>
    <t>Others</t>
  </si>
  <si>
    <t>Meta Platforms Inc. Class A (FB)</t>
  </si>
  <si>
    <t>Alphabet Inc Class A (GOOGL)</t>
  </si>
  <si>
    <t>Narayana Hrud</t>
  </si>
  <si>
    <t>Tvs Motor Company</t>
  </si>
  <si>
    <t>Jk Tyre &amp; Industries</t>
  </si>
  <si>
    <t>Uno Minda</t>
  </si>
  <si>
    <t>Bharat Forge</t>
  </si>
  <si>
    <t>Pnb Housing Finance</t>
  </si>
  <si>
    <t>Aadhar Housing Finance</t>
  </si>
  <si>
    <t>Cholamandalam Investment And Finance Company</t>
  </si>
  <si>
    <t>Icici Bank</t>
  </si>
  <si>
    <t>Hdfc Bank</t>
  </si>
  <si>
    <t>Jk Cements</t>
  </si>
  <si>
    <t>Navin Fluorine International</t>
  </si>
  <si>
    <t>Dixon Technologies India</t>
  </si>
  <si>
    <t>Finolex Cables</t>
  </si>
  <si>
    <t>Kirloskar Pneumatic Company</t>
  </si>
  <si>
    <t>Bharat Heavy Electricals</t>
  </si>
  <si>
    <t>Ksb</t>
  </si>
  <si>
    <t>Hitachi Energy India</t>
  </si>
  <si>
    <t>Multi Commodity Exchange Of India</t>
  </si>
  <si>
    <t>Sequent Scientific</t>
  </si>
  <si>
    <t>Suven Pharmaceuticals</t>
  </si>
  <si>
    <t>Man Industries India</t>
  </si>
  <si>
    <t>Tata Power Co</t>
  </si>
  <si>
    <t>Tata Consultancy Services</t>
  </si>
  <si>
    <t>Pb Fintech</t>
  </si>
  <si>
    <t>Indus Towers</t>
  </si>
  <si>
    <t>Indo Count Industries</t>
  </si>
  <si>
    <t>Cash</t>
  </si>
  <si>
    <t>Ge T&amp;D India</t>
  </si>
  <si>
    <t>Dr. Reddy'S Labs</t>
  </si>
  <si>
    <t>Chalet Hotels</t>
  </si>
  <si>
    <t>Siemens</t>
  </si>
  <si>
    <t>GAIL (India)</t>
  </si>
  <si>
    <t>Cognizant Technology Solutions Corp Class A (CTSH)</t>
  </si>
  <si>
    <t>Dabur India</t>
  </si>
  <si>
    <t>Biocon</t>
  </si>
  <si>
    <t>Petronet Lng</t>
  </si>
  <si>
    <t>Sumitomo Chemical India</t>
  </si>
  <si>
    <t>Sansera Engineering</t>
  </si>
  <si>
    <t>Gna Axles</t>
  </si>
  <si>
    <t>Craftsman Automation</t>
  </si>
  <si>
    <t>Timken India</t>
  </si>
  <si>
    <t>Ceat</t>
  </si>
  <si>
    <t>Home First Finance Company India</t>
  </si>
  <si>
    <t>Karnataka Bank</t>
  </si>
  <si>
    <t>Jk Lakshmi Cement</t>
  </si>
  <si>
    <t>V2 Retail</t>
  </si>
  <si>
    <t>Eureka Forbes</t>
  </si>
  <si>
    <t>Amber Enterprises India</t>
  </si>
  <si>
    <t>Syrma Sgs Technology</t>
  </si>
  <si>
    <t>Sheela Foam</t>
  </si>
  <si>
    <t>Jyothy Laboratories</t>
  </si>
  <si>
    <t>Aditya Vision</t>
  </si>
  <si>
    <t>Avalon Technologies</t>
  </si>
  <si>
    <t>Pg Electroplast</t>
  </si>
  <si>
    <t>Cg Power And Industrial Solutions</t>
  </si>
  <si>
    <t>Carborundum Universal</t>
  </si>
  <si>
    <t>Vesuvius India</t>
  </si>
  <si>
    <t>Engineers India</t>
  </si>
  <si>
    <t>Concord Enviro Systems</t>
  </si>
  <si>
    <t>Linde India</t>
  </si>
  <si>
    <t>Godavari Biorefineries</t>
  </si>
  <si>
    <t>Cochin Shipyard</t>
  </si>
  <si>
    <t>Krishna Institute Of Medical Sciences</t>
  </si>
  <si>
    <t>Artemis Medicare Services</t>
  </si>
  <si>
    <t>Max Estates</t>
  </si>
  <si>
    <t>Latent View Analytics</t>
  </si>
  <si>
    <t>Mastek</t>
  </si>
  <si>
    <t>Happiest Minds Technologies</t>
  </si>
  <si>
    <t>Cyient</t>
  </si>
  <si>
    <t>Intellect Design Arena</t>
  </si>
  <si>
    <t>Gokaldas Exports</t>
  </si>
  <si>
    <t>Patanjali Foods</t>
  </si>
  <si>
    <t>Bajaj Finserv</t>
  </si>
  <si>
    <t>Torrent Pharmaceuticals</t>
  </si>
  <si>
    <t>Apl Apollo Tubes</t>
  </si>
  <si>
    <t>Adani Ports &amp; Special Economic Zone</t>
  </si>
  <si>
    <t>Dr Reddys Laboratories</t>
  </si>
  <si>
    <t>Divis Laboratories</t>
  </si>
  <si>
    <t>Bharti Airtel Pp</t>
  </si>
  <si>
    <t>Sona Blw Precision Forgings</t>
  </si>
  <si>
    <t>Affle India</t>
  </si>
  <si>
    <t>Kei Industries</t>
  </si>
  <si>
    <t>P I Industries</t>
  </si>
  <si>
    <t>Gravita India</t>
  </si>
  <si>
    <t>Info Edge India</t>
  </si>
  <si>
    <t>Jsw Infrastructure</t>
  </si>
  <si>
    <t>Apar Industries</t>
  </si>
  <si>
    <t>Solar Industries India</t>
  </si>
  <si>
    <t>Astral Poly Technik</t>
  </si>
  <si>
    <t>Max Financial Services</t>
  </si>
  <si>
    <t>Larsen And Toubro</t>
  </si>
  <si>
    <t>Aditya Birla Capital</t>
  </si>
  <si>
    <t>Jindal Stainless</t>
  </si>
  <si>
    <t>Jindal Steel And Power</t>
  </si>
  <si>
    <t>IIFL Finance</t>
  </si>
  <si>
    <t>DCM Shriram</t>
  </si>
  <si>
    <t>Akzo Nobel India</t>
  </si>
  <si>
    <t>Birla Corporation</t>
  </si>
  <si>
    <t>Aditya Birla Real Estate</t>
  </si>
  <si>
    <t>Aarti Pharmalabs</t>
  </si>
  <si>
    <t>IDFC First Bank</t>
  </si>
  <si>
    <t>Shriram Pistons And Rings</t>
  </si>
  <si>
    <t>Tata Communications</t>
  </si>
  <si>
    <t>Aarti Industries</t>
  </si>
  <si>
    <t>FSN E-Commerce</t>
  </si>
  <si>
    <t>SBI Cards</t>
  </si>
  <si>
    <t>UPL</t>
  </si>
  <si>
    <t>Motherson Wiring</t>
  </si>
  <si>
    <t>Sona BLW Precision</t>
  </si>
  <si>
    <t>AIA Engineering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</si>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</sst>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_-* #,##0.00_-;\-* #,##0.00_-;_-* &quot;-&quot;??_-;_-@_-"/>
    <numFmt numFmtId="181" formatCode="0.00000%"/>
    <numFmt numFmtId="182" formatCode="0.0000%"/>
    <numFmt numFmtId="183" formatCode="#,##0_ ;\-#,##0\ "/>
    <numFmt numFmtId="184" formatCode="0.0%"/>
    <numFmt numFmtId="185" formatCode="&quot;₹&quot;\ #,##0"/>
    <numFmt numFmtId="186" formatCode="0.0"/>
    <numFmt numFmtId="187" formatCode="0.000%"/>
    <numFmt numFmtId="188" formatCode="dd/mm/yyyy"/>
    <numFmt numFmtId="189" formatCode="dd/mmm/yy"/>
    <numFmt numFmtId="190" formatCode="mmm/yy"/>
  </numFmts>
  <fonts count="57">
    <font>
      <sz val="11"/>
      <color theme="1"/>
      <name val="Aptos Narrow"/>
      <charset val="134"/>
      <scheme val="minor"/>
    </font>
    <font>
      <b/>
      <sz val="10.8"/>
      <name val="Aptos Narrow"/>
      <charset val="134"/>
      <scheme val="minor"/>
    </font>
    <font>
      <b/>
      <sz val="10.8"/>
      <color theme="1"/>
      <name val="Aptos Narrow"/>
      <charset val="134"/>
      <scheme val="minor"/>
    </font>
    <font>
      <sz val="10.8"/>
      <color theme="1"/>
      <name val="Aptos Narrow"/>
      <charset val="134"/>
      <scheme val="minor"/>
    </font>
    <font>
      <sz val="11"/>
      <name val="Aptos Narrow"/>
      <charset val="134"/>
      <scheme val="minor"/>
    </font>
    <font>
      <b/>
      <sz val="10.5"/>
      <color rgb="FFFFFFFF"/>
      <name val="Aptos Narrow"/>
      <charset val="134"/>
      <scheme val="minor"/>
    </font>
    <font>
      <sz val="10.5"/>
      <color theme="1"/>
      <name val="Aptos Narrow"/>
      <charset val="134"/>
      <scheme val="minor"/>
    </font>
    <font>
      <sz val="10.5"/>
      <name val="Aptos Narrow"/>
      <charset val="134"/>
      <scheme val="minor"/>
    </font>
    <font>
      <b/>
      <sz val="10.5"/>
      <name val="Aptos Narrow"/>
      <charset val="134"/>
      <scheme val="minor"/>
    </font>
    <font>
      <b/>
      <sz val="10.5"/>
      <color rgb="FF0070C0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b/>
      <sz val="10.5"/>
      <color theme="0"/>
      <name val="Aptos Narrow"/>
      <charset val="134"/>
      <scheme val="minor"/>
    </font>
    <font>
      <b/>
      <sz val="11"/>
      <color theme="0"/>
      <name val="Aptos Narrow"/>
      <charset val="134"/>
      <scheme val="minor"/>
    </font>
    <font>
      <sz val="10"/>
      <color theme="1"/>
      <name val="Aptos Narrow"/>
      <charset val="134"/>
      <scheme val="minor"/>
    </font>
    <font>
      <sz val="11"/>
      <color theme="0"/>
      <name val="Aptos Narrow"/>
      <charset val="134"/>
      <scheme val="minor"/>
    </font>
    <font>
      <sz val="10.5"/>
      <color theme="0"/>
      <name val="Aptos Narrow"/>
      <charset val="134"/>
      <scheme val="minor"/>
    </font>
    <font>
      <b/>
      <sz val="10.5"/>
      <color rgb="FF333333"/>
      <name val="Aptos Narrow"/>
      <charset val="134"/>
      <scheme val="minor"/>
    </font>
    <font>
      <b/>
      <sz val="10"/>
      <color theme="1"/>
      <name val="Aptos Narrow"/>
      <charset val="134"/>
      <scheme val="minor"/>
    </font>
    <font>
      <sz val="10.5"/>
      <color rgb="FFFF0000"/>
      <name val="Aptos Narrow"/>
      <charset val="134"/>
      <scheme val="minor"/>
    </font>
    <font>
      <sz val="10.8"/>
      <name val="Aptos Narrow"/>
      <charset val="134"/>
      <scheme val="minor"/>
    </font>
    <font>
      <sz val="10"/>
      <color theme="1"/>
      <name val="Arial Unicode MS"/>
      <charset val="134"/>
    </font>
    <font>
      <b/>
      <sz val="10"/>
      <color theme="1"/>
      <name val="Arial Unicode MS"/>
      <charset val="134"/>
    </font>
    <font>
      <sz val="10"/>
      <color indexed="8"/>
      <name val="Aptos Narrow"/>
      <charset val="134"/>
      <scheme val="minor"/>
    </font>
    <font>
      <sz val="11"/>
      <color theme="1"/>
      <name val="Calibri"/>
      <charset val="134"/>
    </font>
    <font>
      <sz val="10"/>
      <color indexed="8"/>
      <name val="Calibri"/>
      <charset val="134"/>
    </font>
    <font>
      <sz val="11"/>
      <color indexed="8"/>
      <name val="Calibri"/>
      <charset val="134"/>
    </font>
    <font>
      <b/>
      <sz val="10.5"/>
      <color theme="1"/>
      <name val="Aptos Narrow"/>
      <charset val="134"/>
      <scheme val="minor"/>
    </font>
    <font>
      <b/>
      <i/>
      <sz val="10"/>
      <color theme="1"/>
      <name val="Aptos Narrow"/>
      <charset val="134"/>
      <scheme val="minor"/>
    </font>
    <font>
      <b/>
      <sz val="10.8"/>
      <color theme="0"/>
      <name val="Aptos Narrow"/>
      <charset val="134"/>
      <scheme val="minor"/>
    </font>
    <font>
      <b/>
      <sz val="10.5"/>
      <color theme="1"/>
      <name val="Calibri"/>
      <charset val="134"/>
    </font>
    <font>
      <sz val="10.5"/>
      <color theme="1"/>
      <name val="Calibri"/>
      <charset val="134"/>
    </font>
    <font>
      <i/>
      <sz val="10.5"/>
      <color theme="1"/>
      <name val="Calibri"/>
      <charset val="134"/>
    </font>
    <font>
      <b/>
      <i/>
      <sz val="10.5"/>
      <color theme="1"/>
      <name val="Calibri"/>
      <charset val="134"/>
    </font>
    <font>
      <sz val="10.5"/>
      <color rgb="FF00B050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b/>
      <sz val="12"/>
      <color indexed="8"/>
      <name val="Arial"/>
      <charset val="134"/>
    </font>
    <font>
      <sz val="10"/>
      <name val="Arial"/>
      <charset val="134"/>
    </font>
    <font>
      <sz val="11"/>
      <color rgb="FF000000"/>
      <name val="Calibri"/>
      <charset val="1"/>
    </font>
    <font>
      <sz val="8"/>
      <color theme="1"/>
      <name val="Arial"/>
      <charset val="134"/>
    </font>
  </fonts>
  <fills count="44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003366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0.89999084444715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67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0.399975585192419"/>
      </left>
      <right/>
      <top style="thin">
        <color theme="4" tint="0.399975585192419"/>
      </top>
      <bottom style="thin">
        <color theme="4" tint="0.399975585192419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1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0" fillId="20" borderId="59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60" applyNumberFormat="0" applyFill="0" applyAlignment="0" applyProtection="0">
      <alignment vertical="center"/>
    </xf>
    <xf numFmtId="0" fontId="40" fillId="0" borderId="60" applyNumberFormat="0" applyFill="0" applyAlignment="0" applyProtection="0">
      <alignment vertical="center"/>
    </xf>
    <xf numFmtId="0" fontId="41" fillId="0" borderId="61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21" borderId="62" applyNumberFormat="0" applyAlignment="0" applyProtection="0">
      <alignment vertical="center"/>
    </xf>
    <xf numFmtId="0" fontId="43" fillId="22" borderId="63" applyNumberFormat="0" applyAlignment="0" applyProtection="0">
      <alignment vertical="center"/>
    </xf>
    <xf numFmtId="0" fontId="44" fillId="22" borderId="62" applyNumberFormat="0" applyAlignment="0" applyProtection="0">
      <alignment vertical="center"/>
    </xf>
    <xf numFmtId="0" fontId="45" fillId="23" borderId="64" applyNumberFormat="0" applyAlignment="0" applyProtection="0">
      <alignment vertical="center"/>
    </xf>
    <xf numFmtId="0" fontId="46" fillId="0" borderId="65" applyNumberFormat="0" applyFill="0" applyAlignment="0" applyProtection="0">
      <alignment vertical="center"/>
    </xf>
    <xf numFmtId="0" fontId="47" fillId="0" borderId="66" applyNumberFormat="0" applyFill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29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3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2" fillId="34" borderId="0" applyNumberFormat="0" applyBorder="0" applyAlignment="0" applyProtection="0">
      <alignment vertical="center"/>
    </xf>
    <xf numFmtId="0" fontId="52" fillId="35" borderId="0" applyNumberFormat="0" applyBorder="0" applyAlignment="0" applyProtection="0">
      <alignment vertical="center"/>
    </xf>
    <xf numFmtId="0" fontId="51" fillId="36" borderId="0" applyNumberFormat="0" applyBorder="0" applyAlignment="0" applyProtection="0">
      <alignment vertical="center"/>
    </xf>
    <xf numFmtId="0" fontId="51" fillId="37" borderId="0" applyNumberFormat="0" applyBorder="0" applyAlignment="0" applyProtection="0">
      <alignment vertical="center"/>
    </xf>
    <xf numFmtId="0" fontId="52" fillId="38" borderId="0" applyNumberFormat="0" applyBorder="0" applyAlignment="0" applyProtection="0">
      <alignment vertical="center"/>
    </xf>
    <xf numFmtId="0" fontId="52" fillId="5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1" fillId="41" borderId="0" applyNumberFormat="0" applyBorder="0" applyAlignment="0" applyProtection="0">
      <alignment vertical="center"/>
    </xf>
    <xf numFmtId="0" fontId="51" fillId="7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" borderId="0" applyNumberFormat="0" applyBorder="0" applyAlignment="0" applyProtection="0">
      <alignment vertical="center"/>
    </xf>
    <xf numFmtId="0" fontId="51" fillId="43" borderId="0" applyNumberFormat="0" applyBorder="0" applyAlignment="0" applyProtection="0">
      <alignment vertical="center"/>
    </xf>
    <xf numFmtId="176" fontId="53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4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0" fontId="0" fillId="0" borderId="0"/>
    <xf numFmtId="0" fontId="0" fillId="0" borderId="0"/>
    <xf numFmtId="0" fontId="55" fillId="0" borderId="0"/>
    <xf numFmtId="0" fontId="54" fillId="0" borderId="0"/>
    <xf numFmtId="0" fontId="55" fillId="0" borderId="0"/>
    <xf numFmtId="0" fontId="0" fillId="0" borderId="0"/>
    <xf numFmtId="0" fontId="56" fillId="0" borderId="0"/>
    <xf numFmtId="9" fontId="0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6" fillId="0" borderId="0" applyFont="0" applyFill="0" applyBorder="0" applyAlignment="0" applyProtection="0"/>
  </cellStyleXfs>
  <cellXfs count="526">
    <xf numFmtId="0" fontId="0" fillId="0" borderId="0" xfId="0"/>
    <xf numFmtId="9" fontId="1" fillId="2" borderId="0" xfId="0" applyNumberFormat="1" applyFont="1" applyFill="1" applyAlignment="1">
      <alignment horizontal="center" vertical="center"/>
    </xf>
    <xf numFmtId="9" fontId="1" fillId="2" borderId="1" xfId="0" applyNumberFormat="1" applyFont="1" applyFill="1" applyBorder="1" applyAlignment="1">
      <alignment horizontal="center" vertical="center"/>
    </xf>
    <xf numFmtId="9" fontId="1" fillId="2" borderId="2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left"/>
    </xf>
    <xf numFmtId="0" fontId="3" fillId="0" borderId="0" xfId="0" applyFont="1"/>
    <xf numFmtId="10" fontId="3" fillId="4" borderId="4" xfId="3" applyNumberFormat="1" applyFont="1" applyFill="1" applyBorder="1" applyAlignment="1">
      <alignment horizontal="center"/>
    </xf>
    <xf numFmtId="10" fontId="3" fillId="4" borderId="5" xfId="3" applyNumberFormat="1" applyFont="1" applyFill="1" applyBorder="1" applyAlignment="1">
      <alignment horizontal="center"/>
    </xf>
    <xf numFmtId="0" fontId="2" fillId="3" borderId="6" xfId="0" applyFont="1" applyFill="1" applyBorder="1" applyAlignment="1">
      <alignment horizontal="left"/>
    </xf>
    <xf numFmtId="10" fontId="3" fillId="4" borderId="7" xfId="3" applyNumberFormat="1" applyFont="1" applyFill="1" applyBorder="1" applyAlignment="1">
      <alignment horizontal="center"/>
    </xf>
    <xf numFmtId="10" fontId="3" fillId="4" borderId="0" xfId="3" applyNumberFormat="1" applyFont="1" applyFill="1" applyBorder="1" applyAlignment="1">
      <alignment horizontal="center"/>
    </xf>
    <xf numFmtId="0" fontId="2" fillId="3" borderId="8" xfId="0" applyFont="1" applyFill="1" applyBorder="1" applyAlignment="1">
      <alignment horizontal="left"/>
    </xf>
    <xf numFmtId="0" fontId="2" fillId="3" borderId="9" xfId="0" applyFont="1" applyFill="1" applyBorder="1" applyAlignment="1">
      <alignment horizontal="left"/>
    </xf>
    <xf numFmtId="10" fontId="3" fillId="4" borderId="10" xfId="3" applyNumberFormat="1" applyFont="1" applyFill="1" applyBorder="1" applyAlignment="1">
      <alignment horizontal="center"/>
    </xf>
    <xf numFmtId="10" fontId="3" fillId="4" borderId="11" xfId="3" applyNumberFormat="1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10" fontId="3" fillId="4" borderId="16" xfId="3" applyNumberFormat="1" applyFont="1" applyFill="1" applyBorder="1" applyAlignment="1">
      <alignment horizontal="center"/>
    </xf>
    <xf numFmtId="10" fontId="3" fillId="0" borderId="0" xfId="0" applyNumberFormat="1" applyFont="1"/>
    <xf numFmtId="10" fontId="3" fillId="5" borderId="4" xfId="3" applyNumberFormat="1" applyFont="1" applyFill="1" applyBorder="1" applyAlignment="1">
      <alignment horizontal="center"/>
    </xf>
    <xf numFmtId="10" fontId="3" fillId="5" borderId="5" xfId="3" applyNumberFormat="1" applyFont="1" applyFill="1" applyBorder="1" applyAlignment="1">
      <alignment horizontal="center"/>
    </xf>
    <xf numFmtId="10" fontId="3" fillId="4" borderId="17" xfId="3" applyNumberFormat="1" applyFont="1" applyFill="1" applyBorder="1" applyAlignment="1">
      <alignment horizontal="center"/>
    </xf>
    <xf numFmtId="10" fontId="3" fillId="5" borderId="7" xfId="3" applyNumberFormat="1" applyFont="1" applyFill="1" applyBorder="1" applyAlignment="1">
      <alignment horizontal="center"/>
    </xf>
    <xf numFmtId="10" fontId="3" fillId="5" borderId="0" xfId="3" applyNumberFormat="1" applyFont="1" applyFill="1" applyBorder="1" applyAlignment="1">
      <alignment horizontal="center"/>
    </xf>
    <xf numFmtId="10" fontId="3" fillId="5" borderId="18" xfId="3" applyNumberFormat="1" applyFont="1" applyFill="1" applyBorder="1" applyAlignment="1">
      <alignment horizontal="center"/>
    </xf>
    <xf numFmtId="10" fontId="3" fillId="5" borderId="19" xfId="3" applyNumberFormat="1" applyFont="1" applyFill="1" applyBorder="1" applyAlignment="1">
      <alignment horizontal="center"/>
    </xf>
    <xf numFmtId="10" fontId="3" fillId="4" borderId="20" xfId="3" applyNumberFormat="1" applyFont="1" applyFill="1" applyBorder="1" applyAlignment="1">
      <alignment horizontal="center"/>
    </xf>
    <xf numFmtId="10" fontId="3" fillId="5" borderId="10" xfId="3" applyNumberFormat="1" applyFont="1" applyFill="1" applyBorder="1" applyAlignment="1">
      <alignment horizontal="center"/>
    </xf>
    <xf numFmtId="10" fontId="3" fillId="5" borderId="11" xfId="3" applyNumberFormat="1" applyFont="1" applyFill="1" applyBorder="1" applyAlignment="1">
      <alignment horizontal="center"/>
    </xf>
    <xf numFmtId="0" fontId="0" fillId="4" borderId="0" xfId="0" applyFill="1"/>
    <xf numFmtId="10" fontId="0" fillId="0" borderId="0" xfId="3" applyNumberFormat="1" applyFont="1"/>
    <xf numFmtId="2" fontId="0" fillId="0" borderId="0" xfId="0" applyNumberFormat="1"/>
    <xf numFmtId="10" fontId="0" fillId="0" borderId="0" xfId="0" applyNumberFormat="1"/>
    <xf numFmtId="10" fontId="0" fillId="4" borderId="0" xfId="0" applyNumberFormat="1" applyFill="1"/>
    <xf numFmtId="10" fontId="0" fillId="0" borderId="0" xfId="3" applyNumberFormat="1" applyFont="1" applyAlignment="1">
      <alignment horizontal="center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vertical="center" wrapText="1"/>
    </xf>
    <xf numFmtId="0" fontId="4" fillId="4" borderId="0" xfId="0" applyFont="1" applyFill="1"/>
    <xf numFmtId="0" fontId="5" fillId="6" borderId="14" xfId="64" applyFont="1" applyFill="1" applyBorder="1" applyAlignment="1">
      <alignment horizontal="center" vertical="center"/>
    </xf>
    <xf numFmtId="0" fontId="5" fillId="6" borderId="11" xfId="64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/>
    </xf>
    <xf numFmtId="10" fontId="6" fillId="0" borderId="21" xfId="0" applyNumberFormat="1" applyFont="1" applyBorder="1" applyAlignment="1">
      <alignment horizontal="center" vertical="center"/>
    </xf>
    <xf numFmtId="10" fontId="0" fillId="0" borderId="16" xfId="0" applyNumberFormat="1" applyBorder="1" applyAlignment="1">
      <alignment horizontal="center"/>
    </xf>
    <xf numFmtId="10" fontId="0" fillId="0" borderId="7" xfId="3" applyNumberFormat="1" applyFont="1" applyBorder="1" applyAlignment="1">
      <alignment horizontal="center"/>
    </xf>
    <xf numFmtId="10" fontId="0" fillId="0" borderId="0" xfId="0" applyNumberFormat="1" applyAlignment="1">
      <alignment horizontal="center"/>
    </xf>
    <xf numFmtId="10" fontId="0" fillId="0" borderId="17" xfId="0" applyNumberFormat="1" applyBorder="1" applyAlignment="1">
      <alignment horizontal="center"/>
    </xf>
    <xf numFmtId="0" fontId="7" fillId="7" borderId="6" xfId="62" applyFont="1" applyFill="1" applyBorder="1" applyAlignment="1">
      <alignment horizontal="center" wrapText="1"/>
    </xf>
    <xf numFmtId="10" fontId="0" fillId="0" borderId="7" xfId="0" applyNumberFormat="1" applyBorder="1" applyAlignment="1">
      <alignment horizontal="center"/>
    </xf>
    <xf numFmtId="10" fontId="4" fillId="7" borderId="6" xfId="0" applyNumberFormat="1" applyFont="1" applyFill="1" applyBorder="1" applyAlignment="1">
      <alignment horizontal="center"/>
    </xf>
    <xf numFmtId="9" fontId="6" fillId="8" borderId="22" xfId="0" applyNumberFormat="1" applyFont="1" applyFill="1" applyBorder="1" applyAlignment="1">
      <alignment horizontal="center" vertical="center"/>
    </xf>
    <xf numFmtId="9" fontId="6" fillId="8" borderId="21" xfId="0" applyNumberFormat="1" applyFont="1" applyFill="1" applyBorder="1" applyAlignment="1">
      <alignment horizontal="center" vertical="center"/>
    </xf>
    <xf numFmtId="10" fontId="0" fillId="0" borderId="0" xfId="3" applyNumberFormat="1" applyFont="1" applyBorder="1" applyAlignment="1">
      <alignment horizontal="center"/>
    </xf>
    <xf numFmtId="10" fontId="0" fillId="0" borderId="17" xfId="3" applyNumberFormat="1" applyFont="1" applyBorder="1" applyAlignment="1">
      <alignment horizontal="center"/>
    </xf>
    <xf numFmtId="10" fontId="4" fillId="8" borderId="6" xfId="0" applyNumberFormat="1" applyFont="1" applyFill="1" applyBorder="1" applyAlignment="1">
      <alignment horizontal="center"/>
    </xf>
    <xf numFmtId="9" fontId="6" fillId="0" borderId="21" xfId="0" applyNumberFormat="1" applyFont="1" applyBorder="1" applyAlignment="1">
      <alignment horizontal="center" vertical="center"/>
    </xf>
    <xf numFmtId="0" fontId="4" fillId="8" borderId="6" xfId="0" applyFont="1" applyFill="1" applyBorder="1" applyAlignment="1">
      <alignment horizontal="center"/>
    </xf>
    <xf numFmtId="0" fontId="4" fillId="8" borderId="8" xfId="0" applyFont="1" applyFill="1" applyBorder="1" applyAlignment="1">
      <alignment horizontal="center"/>
    </xf>
    <xf numFmtId="10" fontId="0" fillId="0" borderId="18" xfId="3" applyNumberFormat="1" applyFont="1" applyBorder="1" applyAlignment="1">
      <alignment horizontal="center"/>
    </xf>
    <xf numFmtId="10" fontId="0" fillId="0" borderId="19" xfId="0" applyNumberFormat="1" applyBorder="1" applyAlignment="1">
      <alignment horizontal="center"/>
    </xf>
    <xf numFmtId="10" fontId="0" fillId="0" borderId="23" xfId="0" applyNumberFormat="1" applyBorder="1" applyAlignment="1">
      <alignment horizontal="center"/>
    </xf>
    <xf numFmtId="0" fontId="5" fillId="6" borderId="4" xfId="64" applyFont="1" applyFill="1" applyBorder="1" applyAlignment="1">
      <alignment horizontal="center" vertical="center"/>
    </xf>
    <xf numFmtId="0" fontId="5" fillId="6" borderId="16" xfId="64" applyFont="1" applyFill="1" applyBorder="1" applyAlignment="1">
      <alignment horizontal="center" vertical="center"/>
    </xf>
    <xf numFmtId="2" fontId="6" fillId="8" borderId="21" xfId="3" applyNumberFormat="1" applyFont="1" applyFill="1" applyBorder="1" applyAlignment="1">
      <alignment horizontal="center" vertical="center"/>
    </xf>
    <xf numFmtId="2" fontId="6" fillId="8" borderId="21" xfId="0" applyNumberFormat="1" applyFont="1" applyFill="1" applyBorder="1" applyAlignment="1">
      <alignment horizontal="center" vertical="center"/>
    </xf>
    <xf numFmtId="0" fontId="6" fillId="8" borderId="21" xfId="0" applyFont="1" applyFill="1" applyBorder="1" applyAlignment="1">
      <alignment horizontal="center" vertical="center"/>
    </xf>
    <xf numFmtId="2" fontId="6" fillId="8" borderId="22" xfId="0" applyNumberFormat="1" applyFont="1" applyFill="1" applyBorder="1" applyAlignment="1">
      <alignment horizontal="center" vertical="center"/>
    </xf>
    <xf numFmtId="2" fontId="6" fillId="8" borderId="22" xfId="3" applyNumberFormat="1" applyFont="1" applyFill="1" applyBorder="1" applyAlignment="1">
      <alignment horizontal="center" vertical="center"/>
    </xf>
    <xf numFmtId="3" fontId="6" fillId="8" borderId="22" xfId="0" applyNumberFormat="1" applyFont="1" applyFill="1" applyBorder="1" applyAlignment="1">
      <alignment horizontal="center" vertical="center"/>
    </xf>
    <xf numFmtId="3" fontId="6" fillId="8" borderId="0" xfId="0" applyNumberFormat="1" applyFont="1" applyFill="1" applyAlignment="1">
      <alignment horizontal="center" vertical="center"/>
    </xf>
    <xf numFmtId="4" fontId="6" fillId="8" borderId="2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8" borderId="22" xfId="3" applyNumberFormat="1" applyFont="1" applyFill="1" applyBorder="1" applyAlignment="1">
      <alignment horizontal="center" vertical="center"/>
    </xf>
    <xf numFmtId="2" fontId="6" fillId="8" borderId="2" xfId="0" applyNumberFormat="1" applyFont="1" applyFill="1" applyBorder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2" fontId="6" fillId="8" borderId="24" xfId="3" applyNumberFormat="1" applyFont="1" applyFill="1" applyBorder="1" applyAlignment="1">
      <alignment horizontal="center" vertical="center"/>
    </xf>
    <xf numFmtId="2" fontId="6" fillId="8" borderId="0" xfId="0" applyNumberFormat="1" applyFont="1" applyFill="1" applyAlignment="1">
      <alignment horizontal="center" vertical="center"/>
    </xf>
    <xf numFmtId="2" fontId="6" fillId="0" borderId="25" xfId="0" applyNumberFormat="1" applyFont="1" applyBorder="1" applyAlignment="1">
      <alignment horizontal="center" vertical="center"/>
    </xf>
    <xf numFmtId="2" fontId="6" fillId="0" borderId="21" xfId="0" applyNumberFormat="1" applyFont="1" applyBorder="1" applyAlignment="1">
      <alignment horizontal="center" vertical="center"/>
    </xf>
    <xf numFmtId="2" fontId="6" fillId="0" borderId="2" xfId="0" applyNumberFormat="1" applyFont="1" applyBorder="1" applyAlignment="1">
      <alignment horizontal="center" vertical="center"/>
    </xf>
    <xf numFmtId="2" fontId="6" fillId="0" borderId="24" xfId="0" applyNumberFormat="1" applyFont="1" applyBorder="1" applyAlignment="1">
      <alignment horizontal="center" vertical="center"/>
    </xf>
    <xf numFmtId="181" fontId="0" fillId="0" borderId="0" xfId="0" applyNumberFormat="1"/>
    <xf numFmtId="10" fontId="0" fillId="4" borderId="0" xfId="0" applyNumberFormat="1" applyFill="1" applyAlignment="1">
      <alignment horizontal="left"/>
    </xf>
    <xf numFmtId="9" fontId="0" fillId="0" borderId="0" xfId="0" applyNumberFormat="1"/>
    <xf numFmtId="182" fontId="0" fillId="0" borderId="0" xfId="0" applyNumberFormat="1"/>
    <xf numFmtId="0" fontId="5" fillId="6" borderId="10" xfId="64" applyFont="1" applyFill="1" applyBorder="1" applyAlignment="1">
      <alignment horizontal="center" vertical="center"/>
    </xf>
    <xf numFmtId="9" fontId="8" fillId="0" borderId="26" xfId="64" applyNumberFormat="1" applyFont="1" applyBorder="1" applyAlignment="1">
      <alignment horizontal="center" vertical="center"/>
    </xf>
    <xf numFmtId="0" fontId="8" fillId="9" borderId="9" xfId="64" applyFont="1" applyFill="1" applyBorder="1" applyAlignment="1">
      <alignment horizontal="center" vertical="center"/>
    </xf>
    <xf numFmtId="183" fontId="9" fillId="0" borderId="26" xfId="64" applyNumberFormat="1" applyFont="1" applyBorder="1" applyAlignment="1">
      <alignment horizontal="center" vertical="center"/>
    </xf>
    <xf numFmtId="0" fontId="5" fillId="6" borderId="20" xfId="64" applyFont="1" applyFill="1" applyBorder="1" applyAlignment="1">
      <alignment horizontal="center" vertical="center"/>
    </xf>
    <xf numFmtId="0" fontId="5" fillId="10" borderId="9" xfId="64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5" fillId="6" borderId="9" xfId="64" applyFont="1" applyFill="1" applyBorder="1" applyAlignment="1">
      <alignment vertical="center"/>
    </xf>
    <xf numFmtId="0" fontId="8" fillId="0" borderId="7" xfId="64" applyFont="1" applyBorder="1"/>
    <xf numFmtId="184" fontId="9" fillId="8" borderId="6" xfId="68" applyNumberFormat="1" applyFont="1" applyFill="1" applyBorder="1" applyAlignment="1">
      <alignment horizontal="center"/>
    </xf>
    <xf numFmtId="0" fontId="10" fillId="11" borderId="6" xfId="0" applyFont="1" applyFill="1" applyBorder="1" applyAlignment="1">
      <alignment horizontal="left" vertical="center" wrapText="1"/>
    </xf>
    <xf numFmtId="0" fontId="7" fillId="0" borderId="3" xfId="64" applyFont="1" applyBorder="1" applyAlignment="1">
      <alignment horizontal="left" vertical="top" wrapText="1"/>
    </xf>
    <xf numFmtId="0" fontId="7" fillId="0" borderId="6" xfId="64" applyFont="1" applyBorder="1" applyAlignment="1">
      <alignment horizontal="left" vertical="top" wrapText="1"/>
    </xf>
    <xf numFmtId="0" fontId="10" fillId="11" borderId="8" xfId="0" applyFont="1" applyFill="1" applyBorder="1" applyAlignment="1">
      <alignment horizontal="left" vertical="center" wrapText="1"/>
    </xf>
    <xf numFmtId="184" fontId="11" fillId="12" borderId="9" xfId="68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24" xfId="0" applyBorder="1"/>
    <xf numFmtId="0" fontId="5" fillId="6" borderId="18" xfId="64" applyFont="1" applyFill="1" applyBorder="1" applyAlignment="1">
      <alignment horizontal="center" vertical="center"/>
    </xf>
    <xf numFmtId="0" fontId="5" fillId="6" borderId="19" xfId="64" applyFont="1" applyFill="1" applyBorder="1" applyAlignment="1">
      <alignment horizontal="center" vertical="center"/>
    </xf>
    <xf numFmtId="0" fontId="7" fillId="0" borderId="8" xfId="64" applyFont="1" applyBorder="1" applyAlignment="1">
      <alignment horizontal="left" vertical="top" wrapText="1"/>
    </xf>
    <xf numFmtId="0" fontId="5" fillId="6" borderId="10" xfId="64" applyFont="1" applyFill="1" applyBorder="1" applyAlignment="1">
      <alignment vertical="center"/>
    </xf>
    <xf numFmtId="0" fontId="5" fillId="6" borderId="20" xfId="64" applyFont="1" applyFill="1" applyBorder="1" applyAlignment="1">
      <alignment vertical="center"/>
    </xf>
    <xf numFmtId="184" fontId="5" fillId="10" borderId="19" xfId="64" applyNumberFormat="1" applyFont="1" applyFill="1" applyBorder="1" applyAlignment="1">
      <alignment horizontal="center" vertical="center"/>
    </xf>
    <xf numFmtId="184" fontId="5" fillId="10" borderId="9" xfId="64" applyNumberFormat="1" applyFont="1" applyFill="1" applyBorder="1" applyAlignment="1">
      <alignment horizontal="center" vertical="center"/>
    </xf>
    <xf numFmtId="184" fontId="5" fillId="10" borderId="3" xfId="64" applyNumberFormat="1" applyFont="1" applyFill="1" applyBorder="1" applyAlignment="1">
      <alignment horizontal="center" vertical="center"/>
    </xf>
    <xf numFmtId="0" fontId="8" fillId="9" borderId="10" xfId="64" applyFont="1" applyFill="1" applyBorder="1"/>
    <xf numFmtId="0" fontId="8" fillId="9" borderId="20" xfId="64" applyFont="1" applyFill="1" applyBorder="1"/>
    <xf numFmtId="184" fontId="8" fillId="9" borderId="9" xfId="64" applyNumberFormat="1" applyFont="1" applyFill="1" applyBorder="1" applyAlignment="1">
      <alignment horizontal="center" vertical="center" wrapText="1"/>
    </xf>
    <xf numFmtId="185" fontId="8" fillId="9" borderId="9" xfId="64" applyNumberFormat="1" applyFont="1" applyFill="1" applyBorder="1" applyAlignment="1">
      <alignment horizontal="center" vertical="center" wrapText="1"/>
    </xf>
    <xf numFmtId="0" fontId="10" fillId="13" borderId="3" xfId="0" applyFont="1" applyFill="1" applyBorder="1"/>
    <xf numFmtId="0" fontId="0" fillId="13" borderId="0" xfId="0" applyFill="1"/>
    <xf numFmtId="0" fontId="6" fillId="13" borderId="6" xfId="62" applyFont="1" applyFill="1" applyBorder="1" applyAlignment="1">
      <alignment wrapText="1"/>
    </xf>
    <xf numFmtId="184" fontId="0" fillId="13" borderId="0" xfId="3" applyNumberFormat="1" applyFont="1" applyFill="1" applyAlignment="1">
      <alignment horizontal="center"/>
    </xf>
    <xf numFmtId="184" fontId="7" fillId="13" borderId="6" xfId="64" applyNumberFormat="1" applyFont="1" applyFill="1" applyBorder="1" applyAlignment="1">
      <alignment horizontal="center" vertical="center" wrapText="1"/>
    </xf>
    <xf numFmtId="185" fontId="7" fillId="13" borderId="6" xfId="64" applyNumberFormat="1" applyFont="1" applyFill="1" applyBorder="1" applyAlignment="1">
      <alignment horizontal="center" vertical="center" wrapText="1"/>
    </xf>
    <xf numFmtId="0" fontId="10" fillId="11" borderId="6" xfId="0" applyFont="1" applyFill="1" applyBorder="1"/>
    <xf numFmtId="0" fontId="7" fillId="13" borderId="6" xfId="62" applyFont="1" applyFill="1" applyBorder="1" applyAlignment="1">
      <alignment wrapText="1"/>
    </xf>
    <xf numFmtId="0" fontId="12" fillId="14" borderId="8" xfId="0" applyFont="1" applyFill="1" applyBorder="1"/>
    <xf numFmtId="0" fontId="7" fillId="13" borderId="6" xfId="64" applyFont="1" applyFill="1" applyBorder="1" applyAlignment="1">
      <alignment wrapText="1"/>
    </xf>
    <xf numFmtId="9" fontId="0" fillId="0" borderId="0" xfId="3" applyFont="1"/>
    <xf numFmtId="0" fontId="0" fillId="11" borderId="0" xfId="0" applyFill="1"/>
    <xf numFmtId="0" fontId="7" fillId="11" borderId="6" xfId="62" applyFont="1" applyFill="1" applyBorder="1" applyAlignment="1">
      <alignment wrapText="1"/>
    </xf>
    <xf numFmtId="184" fontId="0" fillId="11" borderId="0" xfId="3" applyNumberFormat="1" applyFont="1" applyFill="1" applyAlignment="1">
      <alignment horizontal="center"/>
    </xf>
    <xf numFmtId="184" fontId="7" fillId="11" borderId="6" xfId="64" applyNumberFormat="1" applyFont="1" applyFill="1" applyBorder="1" applyAlignment="1">
      <alignment horizontal="center" vertical="center" wrapText="1"/>
    </xf>
    <xf numFmtId="185" fontId="7" fillId="11" borderId="6" xfId="64" applyNumberFormat="1" applyFont="1" applyFill="1" applyBorder="1" applyAlignment="1">
      <alignment horizontal="center" vertical="center" wrapText="1"/>
    </xf>
    <xf numFmtId="0" fontId="13" fillId="0" borderId="0" xfId="0" applyFont="1"/>
    <xf numFmtId="184" fontId="8" fillId="9" borderId="11" xfId="64" applyNumberFormat="1" applyFont="1" applyFill="1" applyBorder="1" applyAlignment="1">
      <alignment horizontal="center"/>
    </xf>
    <xf numFmtId="184" fontId="7" fillId="11" borderId="6" xfId="3" applyNumberFormat="1" applyFont="1" applyFill="1" applyBorder="1" applyAlignment="1">
      <alignment horizontal="center" wrapText="1"/>
    </xf>
    <xf numFmtId="0" fontId="14" fillId="14" borderId="0" xfId="0" applyFont="1" applyFill="1"/>
    <xf numFmtId="0" fontId="15" fillId="14" borderId="6" xfId="62" applyFont="1" applyFill="1" applyBorder="1" applyAlignment="1">
      <alignment wrapText="1"/>
    </xf>
    <xf numFmtId="184" fontId="14" fillId="14" borderId="0" xfId="3" applyNumberFormat="1" applyFont="1" applyFill="1" applyAlignment="1">
      <alignment horizontal="center"/>
    </xf>
    <xf numFmtId="184" fontId="15" fillId="14" borderId="6" xfId="64" applyNumberFormat="1" applyFont="1" applyFill="1" applyBorder="1" applyAlignment="1">
      <alignment horizontal="center" vertical="center" wrapText="1"/>
    </xf>
    <xf numFmtId="185" fontId="15" fillId="14" borderId="6" xfId="64" applyNumberFormat="1" applyFont="1" applyFill="1" applyBorder="1" applyAlignment="1">
      <alignment horizontal="center" vertical="center" wrapText="1"/>
    </xf>
    <xf numFmtId="0" fontId="16" fillId="8" borderId="10" xfId="64" applyFont="1" applyFill="1" applyBorder="1"/>
    <xf numFmtId="184" fontId="8" fillId="8" borderId="11" xfId="64" applyNumberFormat="1" applyFont="1" applyFill="1" applyBorder="1" applyAlignment="1">
      <alignment horizontal="center"/>
    </xf>
    <xf numFmtId="184" fontId="8" fillId="8" borderId="9" xfId="64" applyNumberFormat="1" applyFont="1" applyFill="1" applyBorder="1" applyAlignment="1">
      <alignment horizontal="center"/>
    </xf>
    <xf numFmtId="185" fontId="8" fillId="8" borderId="9" xfId="64" applyNumberFormat="1" applyFont="1" applyFill="1" applyBorder="1" applyAlignment="1">
      <alignment horizontal="center"/>
    </xf>
    <xf numFmtId="184" fontId="5" fillId="6" borderId="0" xfId="3" applyNumberFormat="1" applyFont="1" applyFill="1" applyBorder="1" applyAlignment="1">
      <alignment horizontal="center" vertical="center"/>
    </xf>
    <xf numFmtId="184" fontId="5" fillId="6" borderId="9" xfId="3" applyNumberFormat="1" applyFont="1" applyFill="1" applyBorder="1" applyAlignment="1">
      <alignment horizontal="center" vertical="center"/>
    </xf>
    <xf numFmtId="185" fontId="5" fillId="6" borderId="9" xfId="3" applyNumberFormat="1" applyFont="1" applyFill="1" applyBorder="1" applyAlignment="1">
      <alignment horizontal="center" vertical="center"/>
    </xf>
    <xf numFmtId="0" fontId="7" fillId="11" borderId="6" xfId="62" applyFont="1" applyFill="1" applyBorder="1" applyAlignment="1">
      <alignment horizontal="left" wrapText="1"/>
    </xf>
    <xf numFmtId="0" fontId="16" fillId="0" borderId="10" xfId="64" applyFont="1" applyBorder="1"/>
    <xf numFmtId="0" fontId="16" fillId="0" borderId="11" xfId="64" applyFont="1" applyBorder="1"/>
    <xf numFmtId="184" fontId="8" fillId="8" borderId="20" xfId="64" applyNumberFormat="1" applyFont="1" applyFill="1" applyBorder="1" applyAlignment="1">
      <alignment horizontal="center"/>
    </xf>
    <xf numFmtId="185" fontId="8" fillId="8" borderId="20" xfId="64" applyNumberFormat="1" applyFont="1" applyFill="1" applyBorder="1" applyAlignment="1">
      <alignment horizontal="center"/>
    </xf>
    <xf numFmtId="0" fontId="8" fillId="9" borderId="9" xfId="64" applyFont="1" applyFill="1" applyBorder="1"/>
    <xf numFmtId="0" fontId="17" fillId="11" borderId="3" xfId="0" applyFont="1" applyFill="1" applyBorder="1" applyAlignment="1">
      <alignment horizontal="left" vertical="center" wrapText="1"/>
    </xf>
    <xf numFmtId="0" fontId="17" fillId="11" borderId="8" xfId="0" applyFont="1" applyFill="1" applyBorder="1" applyAlignment="1">
      <alignment horizontal="left" vertical="center" wrapText="1"/>
    </xf>
    <xf numFmtId="184" fontId="5" fillId="6" borderId="4" xfId="3" applyNumberFormat="1" applyFont="1" applyFill="1" applyBorder="1" applyAlignment="1">
      <alignment horizontal="center" vertical="center"/>
    </xf>
    <xf numFmtId="184" fontId="8" fillId="9" borderId="10" xfId="64" applyNumberFormat="1" applyFont="1" applyFill="1" applyBorder="1" applyAlignment="1">
      <alignment horizontal="center"/>
    </xf>
    <xf numFmtId="184" fontId="0" fillId="13" borderId="3" xfId="3" applyNumberFormat="1" applyFont="1" applyFill="1" applyBorder="1" applyAlignment="1">
      <alignment horizontal="center"/>
    </xf>
    <xf numFmtId="184" fontId="7" fillId="13" borderId="3" xfId="64" applyNumberFormat="1" applyFont="1" applyFill="1" applyBorder="1" applyAlignment="1">
      <alignment horizontal="center" vertical="center" wrapText="1"/>
    </xf>
    <xf numFmtId="185" fontId="7" fillId="13" borderId="3" xfId="64" applyNumberFormat="1" applyFont="1" applyFill="1" applyBorder="1" applyAlignment="1">
      <alignment horizontal="center" vertical="center" wrapText="1"/>
    </xf>
    <xf numFmtId="184" fontId="0" fillId="11" borderId="8" xfId="3" applyNumberFormat="1" applyFont="1" applyFill="1" applyBorder="1" applyAlignment="1">
      <alignment horizontal="center"/>
    </xf>
    <xf numFmtId="184" fontId="7" fillId="11" borderId="8" xfId="64" applyNumberFormat="1" applyFont="1" applyFill="1" applyBorder="1" applyAlignment="1">
      <alignment horizontal="center" vertical="center" wrapText="1"/>
    </xf>
    <xf numFmtId="185" fontId="7" fillId="11" borderId="8" xfId="64" applyNumberFormat="1" applyFont="1" applyFill="1" applyBorder="1" applyAlignment="1">
      <alignment horizontal="center" vertical="center" wrapText="1"/>
    </xf>
    <xf numFmtId="0" fontId="18" fillId="0" borderId="0" xfId="64" applyFont="1"/>
    <xf numFmtId="0" fontId="5" fillId="6" borderId="7" xfId="64" applyFont="1" applyFill="1" applyBorder="1" applyAlignment="1">
      <alignment horizontal="center" vertical="center"/>
    </xf>
    <xf numFmtId="0" fontId="5" fillId="6" borderId="0" xfId="64" applyFont="1" applyFill="1" applyAlignment="1">
      <alignment horizontal="center" vertical="center"/>
    </xf>
    <xf numFmtId="0" fontId="5" fillId="6" borderId="27" xfId="64" applyFont="1" applyFill="1" applyBorder="1" applyAlignment="1">
      <alignment horizontal="center" vertical="center"/>
    </xf>
    <xf numFmtId="0" fontId="5" fillId="6" borderId="3" xfId="64" applyFont="1" applyFill="1" applyBorder="1" applyAlignment="1">
      <alignment horizontal="center" vertical="center"/>
    </xf>
    <xf numFmtId="0" fontId="8" fillId="9" borderId="11" xfId="64" applyFont="1" applyFill="1" applyBorder="1"/>
    <xf numFmtId="0" fontId="0" fillId="0" borderId="7" xfId="0" applyBorder="1"/>
    <xf numFmtId="184" fontId="0" fillId="0" borderId="17" xfId="3" applyNumberFormat="1" applyFont="1" applyFill="1" applyBorder="1" applyAlignment="1">
      <alignment horizontal="center"/>
    </xf>
    <xf numFmtId="184" fontId="0" fillId="0" borderId="7" xfId="3" applyNumberFormat="1" applyFont="1" applyFill="1" applyBorder="1" applyAlignment="1">
      <alignment horizontal="center"/>
    </xf>
    <xf numFmtId="184" fontId="0" fillId="0" borderId="0" xfId="3" applyNumberFormat="1" applyFont="1" applyFill="1" applyBorder="1" applyAlignment="1">
      <alignment horizontal="center"/>
    </xf>
    <xf numFmtId="2" fontId="0" fillId="0" borderId="4" xfId="3" applyNumberFormat="1" applyFont="1" applyFill="1" applyBorder="1" applyAlignment="1">
      <alignment horizontal="center"/>
    </xf>
    <xf numFmtId="2" fontId="0" fillId="0" borderId="7" xfId="3" applyNumberFormat="1" applyFont="1" applyFill="1" applyBorder="1" applyAlignment="1">
      <alignment horizontal="center"/>
    </xf>
    <xf numFmtId="184" fontId="0" fillId="0" borderId="17" xfId="3" applyNumberFormat="1" applyFont="1" applyBorder="1" applyAlignment="1">
      <alignment horizontal="center"/>
    </xf>
    <xf numFmtId="184" fontId="0" fillId="0" borderId="7" xfId="3" applyNumberFormat="1" applyFont="1" applyBorder="1" applyAlignment="1">
      <alignment horizontal="center"/>
    </xf>
    <xf numFmtId="184" fontId="0" fillId="0" borderId="0" xfId="3" applyNumberFormat="1" applyFont="1" applyBorder="1" applyAlignment="1">
      <alignment horizontal="center"/>
    </xf>
    <xf numFmtId="2" fontId="0" fillId="0" borderId="18" xfId="3" applyNumberFormat="1" applyFont="1" applyBorder="1" applyAlignment="1">
      <alignment horizontal="center"/>
    </xf>
    <xf numFmtId="2" fontId="0" fillId="0" borderId="4" xfId="3" applyNumberFormat="1" applyFont="1" applyBorder="1" applyAlignment="1">
      <alignment horizontal="center"/>
    </xf>
    <xf numFmtId="2" fontId="0" fillId="0" borderId="7" xfId="3" applyNumberFormat="1" applyFont="1" applyBorder="1" applyAlignment="1">
      <alignment horizontal="center"/>
    </xf>
    <xf numFmtId="0" fontId="5" fillId="6" borderId="7" xfId="64" applyFont="1" applyFill="1" applyBorder="1" applyAlignment="1">
      <alignment horizontal="left" vertical="center"/>
    </xf>
    <xf numFmtId="0" fontId="5" fillId="6" borderId="17" xfId="64" applyFont="1" applyFill="1" applyBorder="1" applyAlignment="1">
      <alignment horizontal="center" vertical="center"/>
    </xf>
    <xf numFmtId="9" fontId="0" fillId="0" borderId="0" xfId="3" applyFont="1" applyBorder="1" applyAlignment="1">
      <alignment horizontal="center"/>
    </xf>
    <xf numFmtId="9" fontId="0" fillId="0" borderId="17" xfId="3" applyFont="1" applyBorder="1" applyAlignment="1">
      <alignment horizontal="center"/>
    </xf>
    <xf numFmtId="0" fontId="0" fillId="0" borderId="18" xfId="0" applyBorder="1"/>
    <xf numFmtId="184" fontId="0" fillId="0" borderId="23" xfId="3" applyNumberFormat="1" applyFont="1" applyBorder="1" applyAlignment="1">
      <alignment horizontal="center"/>
    </xf>
    <xf numFmtId="0" fontId="0" fillId="0" borderId="19" xfId="0" applyBorder="1"/>
    <xf numFmtId="0" fontId="0" fillId="0" borderId="23" xfId="0" applyBorder="1"/>
    <xf numFmtId="2" fontId="0" fillId="0" borderId="18" xfId="0" applyNumberFormat="1" applyBorder="1"/>
    <xf numFmtId="0" fontId="10" fillId="11" borderId="4" xfId="0" applyFont="1" applyFill="1" applyBorder="1" applyAlignment="1">
      <alignment horizontal="center" vertical="center" wrapText="1"/>
    </xf>
    <xf numFmtId="0" fontId="10" fillId="11" borderId="16" xfId="0" applyFont="1" applyFill="1" applyBorder="1" applyAlignment="1">
      <alignment horizontal="center" vertical="center" wrapText="1"/>
    </xf>
    <xf numFmtId="184" fontId="0" fillId="0" borderId="0" xfId="3" applyNumberFormat="1" applyFont="1"/>
    <xf numFmtId="0" fontId="10" fillId="11" borderId="18" xfId="0" applyFont="1" applyFill="1" applyBorder="1" applyAlignment="1">
      <alignment horizontal="center" vertical="center" wrapText="1"/>
    </xf>
    <xf numFmtId="0" fontId="10" fillId="11" borderId="23" xfId="0" applyFont="1" applyFill="1" applyBorder="1" applyAlignment="1">
      <alignment horizontal="center" vertical="center" wrapText="1"/>
    </xf>
    <xf numFmtId="184" fontId="0" fillId="0" borderId="0" xfId="0" applyNumberFormat="1"/>
    <xf numFmtId="1" fontId="0" fillId="0" borderId="0" xfId="0" applyNumberFormat="1"/>
    <xf numFmtId="1" fontId="0" fillId="0" borderId="3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19" fillId="2" borderId="3" xfId="0" applyFont="1" applyFill="1" applyBorder="1" applyAlignment="1">
      <alignment horizontal="center" vertical="center"/>
    </xf>
    <xf numFmtId="184" fontId="0" fillId="0" borderId="16" xfId="3" applyNumberFormat="1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19" fillId="2" borderId="6" xfId="0" applyFont="1" applyFill="1" applyBorder="1" applyAlignment="1">
      <alignment horizontal="center" vertical="center"/>
    </xf>
    <xf numFmtId="0" fontId="19" fillId="2" borderId="8" xfId="0" applyFont="1" applyFill="1" applyBorder="1" applyAlignment="1">
      <alignment horizontal="center" vertical="center"/>
    </xf>
    <xf numFmtId="0" fontId="5" fillId="6" borderId="5" xfId="64" applyFont="1" applyFill="1" applyBorder="1" applyAlignment="1">
      <alignment horizontal="center" vertical="center"/>
    </xf>
    <xf numFmtId="0" fontId="5" fillId="6" borderId="6" xfId="64" applyFont="1" applyFill="1" applyBorder="1" applyAlignment="1">
      <alignment vertical="center"/>
    </xf>
    <xf numFmtId="0" fontId="5" fillId="6" borderId="23" xfId="64" applyFont="1" applyFill="1" applyBorder="1" applyAlignment="1">
      <alignment horizontal="center" vertical="center"/>
    </xf>
    <xf numFmtId="0" fontId="5" fillId="6" borderId="6" xfId="64" applyFont="1" applyFill="1" applyBorder="1" applyAlignment="1">
      <alignment horizontal="center" vertical="center"/>
    </xf>
    <xf numFmtId="9" fontId="1" fillId="2" borderId="28" xfId="0" applyNumberFormat="1" applyFont="1" applyFill="1" applyBorder="1" applyAlignment="1">
      <alignment horizontal="center" vertical="center"/>
    </xf>
    <xf numFmtId="9" fontId="1" fillId="2" borderId="22" xfId="0" applyNumberFormat="1" applyFont="1" applyFill="1" applyBorder="1" applyAlignment="1">
      <alignment horizontal="center" vertical="center"/>
    </xf>
    <xf numFmtId="2" fontId="0" fillId="0" borderId="5" xfId="3" applyNumberFormat="1" applyFont="1" applyFill="1" applyBorder="1" applyAlignment="1">
      <alignment horizontal="center"/>
    </xf>
    <xf numFmtId="2" fontId="0" fillId="0" borderId="16" xfId="3" applyNumberFormat="1" applyFont="1" applyFill="1" applyBorder="1" applyAlignment="1">
      <alignment horizontal="center"/>
    </xf>
    <xf numFmtId="0" fontId="20" fillId="0" borderId="6" xfId="0" applyFont="1" applyBorder="1" applyAlignment="1">
      <alignment vertical="center"/>
    </xf>
    <xf numFmtId="10" fontId="0" fillId="0" borderId="0" xfId="3" applyNumberFormat="1" applyFont="1" applyFill="1" applyBorder="1" applyAlignment="1">
      <alignment horizontal="center"/>
    </xf>
    <xf numFmtId="2" fontId="0" fillId="0" borderId="0" xfId="3" applyNumberFormat="1" applyFont="1" applyFill="1" applyBorder="1" applyAlignment="1">
      <alignment horizontal="center"/>
    </xf>
    <xf numFmtId="2" fontId="0" fillId="0" borderId="17" xfId="3" applyNumberFormat="1" applyFont="1" applyFill="1" applyBorder="1" applyAlignment="1">
      <alignment horizontal="center"/>
    </xf>
    <xf numFmtId="2" fontId="0" fillId="0" borderId="19" xfId="3" applyNumberFormat="1" applyFont="1" applyBorder="1" applyAlignment="1">
      <alignment horizontal="center"/>
    </xf>
    <xf numFmtId="2" fontId="0" fillId="0" borderId="23" xfId="3" applyNumberFormat="1" applyFont="1" applyBorder="1" applyAlignment="1">
      <alignment horizontal="center"/>
    </xf>
    <xf numFmtId="0" fontId="21" fillId="15" borderId="6" xfId="0" applyFont="1" applyFill="1" applyBorder="1" applyAlignment="1">
      <alignment vertical="center"/>
    </xf>
    <xf numFmtId="0" fontId="0" fillId="15" borderId="0" xfId="0" applyFill="1" applyAlignment="1">
      <alignment horizontal="center"/>
    </xf>
    <xf numFmtId="184" fontId="0" fillId="15" borderId="0" xfId="3" applyNumberFormat="1" applyFont="1" applyFill="1" applyBorder="1" applyAlignment="1">
      <alignment horizontal="center"/>
    </xf>
    <xf numFmtId="2" fontId="0" fillId="0" borderId="5" xfId="3" applyNumberFormat="1" applyFont="1" applyBorder="1" applyAlignment="1">
      <alignment horizontal="center"/>
    </xf>
    <xf numFmtId="2" fontId="0" fillId="0" borderId="16" xfId="3" applyNumberFormat="1" applyFont="1" applyBorder="1" applyAlignment="1">
      <alignment horizontal="center"/>
    </xf>
    <xf numFmtId="2" fontId="0" fillId="0" borderId="0" xfId="3" applyNumberFormat="1" applyFont="1" applyBorder="1" applyAlignment="1">
      <alignment horizontal="center"/>
    </xf>
    <xf numFmtId="2" fontId="0" fillId="0" borderId="17" xfId="3" applyNumberFormat="1" applyFont="1" applyBorder="1" applyAlignment="1">
      <alignment horizontal="center"/>
    </xf>
    <xf numFmtId="0" fontId="0" fillId="0" borderId="6" xfId="0" applyBorder="1"/>
    <xf numFmtId="186" fontId="0" fillId="0" borderId="0" xfId="0" applyNumberFormat="1" applyAlignment="1">
      <alignment horizontal="center"/>
    </xf>
    <xf numFmtId="2" fontId="0" fillId="0" borderId="23" xfId="0" applyNumberFormat="1" applyBorder="1"/>
    <xf numFmtId="2" fontId="0" fillId="0" borderId="19" xfId="0" applyNumberFormat="1" applyBorder="1"/>
    <xf numFmtId="0" fontId="21" fillId="15" borderId="8" xfId="0" applyFont="1" applyFill="1" applyBorder="1" applyAlignment="1">
      <alignment vertical="center"/>
    </xf>
    <xf numFmtId="0" fontId="0" fillId="15" borderId="19" xfId="0" applyFill="1" applyBorder="1" applyAlignment="1">
      <alignment horizontal="center"/>
    </xf>
    <xf numFmtId="184" fontId="0" fillId="15" borderId="19" xfId="3" applyNumberFormat="1" applyFont="1" applyFill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2" fontId="0" fillId="0" borderId="23" xfId="0" applyNumberFormat="1" applyBorder="1" applyAlignment="1">
      <alignment horizontal="center"/>
    </xf>
    <xf numFmtId="0" fontId="5" fillId="6" borderId="29" xfId="64" applyFont="1" applyFill="1" applyBorder="1" applyAlignment="1">
      <alignment horizontal="center" vertical="center"/>
    </xf>
    <xf numFmtId="0" fontId="5" fillId="6" borderId="30" xfId="64" applyFont="1" applyFill="1" applyBorder="1" applyAlignment="1">
      <alignment horizontal="center" vertical="center"/>
    </xf>
    <xf numFmtId="0" fontId="0" fillId="0" borderId="22" xfId="0" applyBorder="1" applyAlignment="1">
      <alignment horizontal="left"/>
    </xf>
    <xf numFmtId="0" fontId="0" fillId="0" borderId="7" xfId="0" applyBorder="1" applyAlignment="1">
      <alignment horizontal="center"/>
    </xf>
    <xf numFmtId="0" fontId="0" fillId="0" borderId="31" xfId="0" applyBorder="1" applyAlignment="1">
      <alignment horizontal="left"/>
    </xf>
    <xf numFmtId="0" fontId="0" fillId="0" borderId="32" xfId="0" applyBorder="1" applyAlignment="1">
      <alignment horizontal="left"/>
    </xf>
    <xf numFmtId="0" fontId="1" fillId="2" borderId="33" xfId="0" applyFont="1" applyFill="1" applyBorder="1" applyAlignment="1">
      <alignment horizontal="center" vertical="center"/>
    </xf>
    <xf numFmtId="184" fontId="0" fillId="15" borderId="17" xfId="3" applyNumberFormat="1" applyFont="1" applyFill="1" applyBorder="1" applyAlignment="1">
      <alignment horizontal="center"/>
    </xf>
    <xf numFmtId="184" fontId="0" fillId="15" borderId="23" xfId="3" applyNumberFormat="1" applyFont="1" applyFill="1" applyBorder="1" applyAlignment="1">
      <alignment horizontal="center"/>
    </xf>
    <xf numFmtId="0" fontId="5" fillId="6" borderId="34" xfId="64" applyFont="1" applyFill="1" applyBorder="1" applyAlignment="1">
      <alignment horizontal="center" vertical="center"/>
    </xf>
    <xf numFmtId="0" fontId="5" fillId="6" borderId="35" xfId="64" applyFont="1" applyFill="1" applyBorder="1" applyAlignment="1">
      <alignment horizontal="center" vertical="center"/>
    </xf>
    <xf numFmtId="10" fontId="0" fillId="0" borderId="35" xfId="0" applyNumberFormat="1" applyBorder="1" applyAlignment="1">
      <alignment horizontal="center"/>
    </xf>
    <xf numFmtId="10" fontId="0" fillId="0" borderId="28" xfId="0" applyNumberFormat="1" applyBorder="1" applyAlignment="1">
      <alignment horizontal="center"/>
    </xf>
    <xf numFmtId="0" fontId="5" fillId="6" borderId="36" xfId="64" applyFont="1" applyFill="1" applyBorder="1" applyAlignment="1">
      <alignment horizontal="center" vertical="center"/>
    </xf>
    <xf numFmtId="0" fontId="5" fillId="6" borderId="1" xfId="64" applyFont="1" applyFill="1" applyBorder="1" applyAlignment="1">
      <alignment horizontal="center" vertical="center"/>
    </xf>
    <xf numFmtId="0" fontId="0" fillId="0" borderId="22" xfId="0" applyBorder="1" applyAlignment="1">
      <alignment horizontal="center"/>
    </xf>
    <xf numFmtId="10" fontId="0" fillId="0" borderId="24" xfId="0" applyNumberFormat="1" applyBorder="1" applyAlignment="1">
      <alignment horizontal="center"/>
    </xf>
    <xf numFmtId="10" fontId="0" fillId="0" borderId="37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0" fontId="4" fillId="0" borderId="16" xfId="3" applyNumberFormat="1" applyFont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29" xfId="0" applyNumberFormat="1" applyBorder="1" applyAlignment="1">
      <alignment horizontal="center"/>
    </xf>
    <xf numFmtId="10" fontId="0" fillId="0" borderId="38" xfId="0" applyNumberFormat="1" applyBorder="1" applyAlignment="1">
      <alignment horizontal="center"/>
    </xf>
    <xf numFmtId="0" fontId="0" fillId="8" borderId="18" xfId="0" applyFill="1" applyBorder="1" applyAlignment="1">
      <alignment horizontal="center"/>
    </xf>
    <xf numFmtId="10" fontId="0" fillId="0" borderId="23" xfId="3" applyNumberFormat="1" applyFont="1" applyBorder="1" applyAlignment="1">
      <alignment horizontal="center"/>
    </xf>
    <xf numFmtId="0" fontId="14" fillId="8" borderId="0" xfId="0" applyFont="1" applyFill="1" applyAlignment="1">
      <alignment horizontal="center"/>
    </xf>
    <xf numFmtId="10" fontId="14" fillId="8" borderId="0" xfId="3" applyNumberFormat="1" applyFont="1" applyFill="1" applyAlignment="1">
      <alignment horizontal="center"/>
    </xf>
    <xf numFmtId="0" fontId="14" fillId="8" borderId="0" xfId="0" applyFont="1" applyFill="1"/>
    <xf numFmtId="0" fontId="5" fillId="6" borderId="39" xfId="64" applyFont="1" applyFill="1" applyBorder="1" applyAlignment="1">
      <alignment horizontal="center" vertical="center"/>
    </xf>
    <xf numFmtId="0" fontId="5" fillId="6" borderId="40" xfId="64" applyFont="1" applyFill="1" applyBorder="1" applyAlignment="1">
      <alignment horizontal="center" vertical="center"/>
    </xf>
    <xf numFmtId="0" fontId="5" fillId="6" borderId="41" xfId="64" applyFont="1" applyFill="1" applyBorder="1" applyAlignment="1">
      <alignment horizontal="center" vertical="center"/>
    </xf>
    <xf numFmtId="184" fontId="0" fillId="0" borderId="35" xfId="0" applyNumberFormat="1" applyBorder="1" applyAlignment="1">
      <alignment horizontal="center"/>
    </xf>
    <xf numFmtId="184" fontId="0" fillId="0" borderId="28" xfId="0" applyNumberFormat="1" applyBorder="1" applyAlignment="1">
      <alignment horizontal="center"/>
    </xf>
    <xf numFmtId="184" fontId="0" fillId="0" borderId="24" xfId="0" applyNumberFormat="1" applyBorder="1" applyAlignment="1">
      <alignment horizontal="center"/>
    </xf>
    <xf numFmtId="184" fontId="0" fillId="0" borderId="37" xfId="0" applyNumberFormat="1" applyBorder="1" applyAlignment="1">
      <alignment horizontal="center"/>
    </xf>
    <xf numFmtId="184" fontId="0" fillId="0" borderId="29" xfId="0" applyNumberFormat="1" applyBorder="1" applyAlignment="1">
      <alignment horizontal="center"/>
    </xf>
    <xf numFmtId="184" fontId="0" fillId="0" borderId="38" xfId="0" applyNumberFormat="1" applyBorder="1" applyAlignment="1">
      <alignment horizontal="center"/>
    </xf>
    <xf numFmtId="0" fontId="1" fillId="2" borderId="42" xfId="0" applyFont="1" applyFill="1" applyBorder="1" applyAlignment="1">
      <alignment horizontal="center" vertical="center"/>
    </xf>
    <xf numFmtId="184" fontId="0" fillId="15" borderId="0" xfId="3" applyNumberFormat="1" applyFont="1" applyFill="1" applyAlignment="1">
      <alignment horizontal="center"/>
    </xf>
    <xf numFmtId="10" fontId="0" fillId="15" borderId="0" xfId="3" applyNumberFormat="1" applyFont="1" applyFill="1" applyBorder="1" applyAlignment="1">
      <alignment horizontal="center"/>
    </xf>
    <xf numFmtId="0" fontId="5" fillId="6" borderId="28" xfId="64" applyFont="1" applyFill="1" applyBorder="1" applyAlignment="1">
      <alignment horizontal="center" vertical="center"/>
    </xf>
    <xf numFmtId="10" fontId="0" fillId="0" borderId="22" xfId="3" applyNumberFormat="1" applyFont="1" applyBorder="1" applyAlignment="1">
      <alignment horizontal="center"/>
    </xf>
    <xf numFmtId="10" fontId="0" fillId="0" borderId="22" xfId="0" applyNumberFormat="1" applyBorder="1" applyAlignment="1">
      <alignment horizontal="center"/>
    </xf>
    <xf numFmtId="10" fontId="0" fillId="0" borderId="31" xfId="3" applyNumberFormat="1" applyFont="1" applyBorder="1" applyAlignment="1">
      <alignment horizontal="center"/>
    </xf>
    <xf numFmtId="10" fontId="0" fillId="0" borderId="31" xfId="0" applyNumberFormat="1" applyBorder="1" applyAlignment="1">
      <alignment horizontal="center"/>
    </xf>
    <xf numFmtId="10" fontId="0" fillId="0" borderId="32" xfId="3" applyNumberFormat="1" applyFont="1" applyBorder="1" applyAlignment="1">
      <alignment horizontal="center"/>
    </xf>
    <xf numFmtId="10" fontId="0" fillId="0" borderId="32" xfId="0" applyNumberFormat="1" applyBorder="1" applyAlignment="1">
      <alignment horizontal="center"/>
    </xf>
    <xf numFmtId="184" fontId="0" fillId="0" borderId="3" xfId="3" applyNumberFormat="1" applyFont="1" applyBorder="1" applyAlignment="1">
      <alignment horizontal="center"/>
    </xf>
    <xf numFmtId="184" fontId="0" fillId="0" borderId="6" xfId="3" applyNumberFormat="1" applyFont="1" applyBorder="1" applyAlignment="1">
      <alignment horizontal="center"/>
    </xf>
    <xf numFmtId="187" fontId="0" fillId="0" borderId="6" xfId="3" applyNumberFormat="1" applyFont="1" applyBorder="1" applyAlignment="1">
      <alignment horizontal="center"/>
    </xf>
    <xf numFmtId="184" fontId="0" fillId="0" borderId="8" xfId="3" applyNumberFormat="1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12" fillId="16" borderId="43" xfId="0" applyFont="1" applyFill="1" applyBorder="1"/>
    <xf numFmtId="0" fontId="12" fillId="16" borderId="44" xfId="0" applyFont="1" applyFill="1" applyBorder="1"/>
    <xf numFmtId="0" fontId="0" fillId="17" borderId="45" xfId="0" applyFill="1" applyBorder="1"/>
    <xf numFmtId="0" fontId="0" fillId="0" borderId="43" xfId="0" applyBorder="1"/>
    <xf numFmtId="10" fontId="0" fillId="17" borderId="46" xfId="3" applyNumberFormat="1" applyFont="1" applyFill="1" applyBorder="1"/>
    <xf numFmtId="10" fontId="0" fillId="0" borderId="43" xfId="0" applyNumberFormat="1" applyBorder="1"/>
    <xf numFmtId="0" fontId="0" fillId="0" borderId="45" xfId="0" applyBorder="1"/>
    <xf numFmtId="10" fontId="0" fillId="0" borderId="46" xfId="3" applyNumberFormat="1" applyFont="1" applyBorder="1"/>
    <xf numFmtId="0" fontId="12" fillId="16" borderId="47" xfId="0" applyFont="1" applyFill="1" applyBorder="1"/>
    <xf numFmtId="0" fontId="12" fillId="16" borderId="0" xfId="0" applyFont="1" applyFill="1"/>
    <xf numFmtId="0" fontId="0" fillId="17" borderId="48" xfId="0" applyFill="1" applyBorder="1"/>
    <xf numFmtId="10" fontId="0" fillId="17" borderId="46" xfId="0" applyNumberFormat="1" applyFill="1" applyBorder="1"/>
    <xf numFmtId="0" fontId="0" fillId="0" borderId="48" xfId="0" applyBorder="1"/>
    <xf numFmtId="10" fontId="0" fillId="0" borderId="46" xfId="0" applyNumberFormat="1" applyBorder="1"/>
    <xf numFmtId="9" fontId="0" fillId="0" borderId="0" xfId="3" applyFont="1" applyAlignment="1">
      <alignment horizontal="center"/>
    </xf>
    <xf numFmtId="10" fontId="22" fillId="0" borderId="21" xfId="0" applyNumberFormat="1" applyFont="1" applyBorder="1" applyAlignment="1">
      <alignment horizontal="left" vertical="center"/>
    </xf>
    <xf numFmtId="184" fontId="0" fillId="0" borderId="43" xfId="3" applyNumberFormat="1" applyFont="1" applyBorder="1" applyAlignment="1">
      <alignment horizontal="center"/>
    </xf>
    <xf numFmtId="0" fontId="0" fillId="0" borderId="44" xfId="0" applyBorder="1"/>
    <xf numFmtId="0" fontId="23" fillId="0" borderId="21" xfId="0" applyFont="1" applyBorder="1"/>
    <xf numFmtId="10" fontId="24" fillId="0" borderId="21" xfId="0" applyNumberFormat="1" applyFont="1" applyBorder="1" applyAlignment="1">
      <alignment horizontal="center" vertical="center"/>
    </xf>
    <xf numFmtId="10" fontId="23" fillId="0" borderId="21" xfId="3" applyNumberFormat="1" applyFont="1" applyBorder="1" applyAlignment="1">
      <alignment horizontal="center" vertical="center"/>
    </xf>
    <xf numFmtId="10" fontId="0" fillId="0" borderId="43" xfId="3" applyNumberFormat="1" applyFont="1" applyBorder="1"/>
    <xf numFmtId="0" fontId="25" fillId="0" borderId="21" xfId="59" applyFont="1" applyBorder="1"/>
    <xf numFmtId="0" fontId="26" fillId="0" borderId="39" xfId="0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26" fillId="0" borderId="41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6" fillId="2" borderId="21" xfId="0" applyFont="1" applyFill="1" applyBorder="1" applyAlignment="1">
      <alignment horizontal="center" vertical="center"/>
    </xf>
    <xf numFmtId="10" fontId="6" fillId="0" borderId="21" xfId="0" applyNumberFormat="1" applyFont="1" applyBorder="1"/>
    <xf numFmtId="184" fontId="6" fillId="0" borderId="21" xfId="0" applyNumberFormat="1" applyFont="1" applyBorder="1" applyAlignment="1">
      <alignment horizontal="center" vertical="center"/>
    </xf>
    <xf numFmtId="184" fontId="6" fillId="0" borderId="21" xfId="3" applyNumberFormat="1" applyFont="1" applyFill="1" applyBorder="1" applyAlignment="1">
      <alignment horizontal="center" vertical="center"/>
    </xf>
    <xf numFmtId="184" fontId="6" fillId="0" borderId="0" xfId="3" applyNumberFormat="1" applyFont="1" applyFill="1" applyBorder="1" applyAlignment="1">
      <alignment horizontal="center" vertical="center"/>
    </xf>
    <xf numFmtId="0" fontId="6" fillId="0" borderId="21" xfId="0" applyFont="1" applyBorder="1"/>
    <xf numFmtId="9" fontId="0" fillId="0" borderId="0" xfId="0" applyNumberFormat="1" applyAlignment="1">
      <alignment horizontal="center"/>
    </xf>
    <xf numFmtId="184" fontId="0" fillId="0" borderId="0" xfId="3" applyNumberFormat="1" applyFont="1" applyAlignment="1">
      <alignment horizontal="center"/>
    </xf>
    <xf numFmtId="9" fontId="0" fillId="0" borderId="0" xfId="3" applyFont="1" applyFill="1" applyBorder="1" applyAlignment="1">
      <alignment horizontal="center"/>
    </xf>
    <xf numFmtId="0" fontId="3" fillId="8" borderId="0" xfId="0" applyFont="1" applyFill="1"/>
    <xf numFmtId="188" fontId="3" fillId="0" borderId="0" xfId="0" applyNumberFormat="1" applyFont="1"/>
    <xf numFmtId="2" fontId="3" fillId="0" borderId="0" xfId="0" applyNumberFormat="1" applyFont="1"/>
    <xf numFmtId="0" fontId="27" fillId="0" borderId="9" xfId="0" applyFont="1" applyBorder="1" applyAlignment="1">
      <alignment horizontal="left" vertical="center"/>
    </xf>
    <xf numFmtId="0" fontId="27" fillId="0" borderId="0" xfId="0" applyFont="1"/>
    <xf numFmtId="189" fontId="3" fillId="0" borderId="0" xfId="0" applyNumberFormat="1" applyFont="1"/>
    <xf numFmtId="0" fontId="28" fillId="12" borderId="26" xfId="0" applyFont="1" applyFill="1" applyBorder="1" applyAlignment="1">
      <alignment vertical="center" wrapText="1"/>
    </xf>
    <xf numFmtId="0" fontId="28" fillId="12" borderId="3" xfId="0" applyFont="1" applyFill="1" applyBorder="1" applyAlignment="1">
      <alignment vertical="center" wrapText="1"/>
    </xf>
    <xf numFmtId="0" fontId="28" fillId="12" borderId="10" xfId="0" applyFont="1" applyFill="1" applyBorder="1" applyAlignment="1">
      <alignment horizontal="center" vertical="center" wrapText="1"/>
    </xf>
    <xf numFmtId="0" fontId="28" fillId="12" borderId="20" xfId="0" applyFont="1" applyFill="1" applyBorder="1" applyAlignment="1">
      <alignment horizontal="center" vertical="center" wrapText="1"/>
    </xf>
    <xf numFmtId="9" fontId="28" fillId="12" borderId="49" xfId="0" applyNumberFormat="1" applyFont="1" applyFill="1" applyBorder="1" applyAlignment="1">
      <alignment horizontal="center" vertical="center"/>
    </xf>
    <xf numFmtId="9" fontId="28" fillId="12" borderId="50" xfId="0" applyNumberFormat="1" applyFont="1" applyFill="1" applyBorder="1" applyAlignment="1">
      <alignment horizontal="center" vertical="center"/>
    </xf>
    <xf numFmtId="0" fontId="28" fillId="12" borderId="8" xfId="0" applyFont="1" applyFill="1" applyBorder="1" applyAlignment="1">
      <alignment vertical="center" wrapText="1"/>
    </xf>
    <xf numFmtId="0" fontId="28" fillId="12" borderId="37" xfId="0" applyFont="1" applyFill="1" applyBorder="1" applyAlignment="1">
      <alignment horizontal="center" vertical="center" wrapText="1"/>
    </xf>
    <xf numFmtId="0" fontId="28" fillId="12" borderId="0" xfId="0" applyFont="1" applyFill="1" applyAlignment="1">
      <alignment horizontal="center" vertical="center" wrapText="1"/>
    </xf>
    <xf numFmtId="0" fontId="3" fillId="0" borderId="6" xfId="0" applyFont="1" applyBorder="1" applyAlignment="1">
      <alignment horizontal="left"/>
    </xf>
    <xf numFmtId="2" fontId="3" fillId="0" borderId="3" xfId="0" applyNumberFormat="1" applyFont="1" applyBorder="1" applyAlignment="1">
      <alignment horizontal="center" vertical="center"/>
    </xf>
    <xf numFmtId="190" fontId="3" fillId="0" borderId="4" xfId="0" applyNumberFormat="1" applyFont="1" applyBorder="1" applyAlignment="1">
      <alignment horizontal="center" vertical="center"/>
    </xf>
    <xf numFmtId="2" fontId="3" fillId="0" borderId="16" xfId="0" applyNumberFormat="1" applyFont="1" applyBorder="1" applyAlignment="1">
      <alignment horizontal="center" vertical="center"/>
    </xf>
    <xf numFmtId="2" fontId="3" fillId="0" borderId="6" xfId="0" applyNumberFormat="1" applyFont="1" applyBorder="1" applyAlignment="1">
      <alignment horizontal="center" vertical="center"/>
    </xf>
    <xf numFmtId="190" fontId="3" fillId="0" borderId="7" xfId="0" applyNumberFormat="1" applyFont="1" applyBorder="1" applyAlignment="1">
      <alignment horizontal="center" vertical="center"/>
    </xf>
    <xf numFmtId="2" fontId="3" fillId="0" borderId="17" xfId="0" applyNumberFormat="1" applyFont="1" applyBorder="1" applyAlignment="1">
      <alignment horizontal="center" vertical="center"/>
    </xf>
    <xf numFmtId="2" fontId="3" fillId="0" borderId="8" xfId="0" applyNumberFormat="1" applyFont="1" applyBorder="1" applyAlignment="1">
      <alignment horizontal="center" vertical="center"/>
    </xf>
    <xf numFmtId="190" fontId="3" fillId="0" borderId="18" xfId="0" applyNumberFormat="1" applyFont="1" applyBorder="1" applyAlignment="1">
      <alignment horizontal="center" vertical="center"/>
    </xf>
    <xf numFmtId="2" fontId="3" fillId="0" borderId="23" xfId="0" applyNumberFormat="1" applyFont="1" applyBorder="1" applyAlignment="1">
      <alignment horizontal="center" vertical="center"/>
    </xf>
    <xf numFmtId="0" fontId="28" fillId="12" borderId="26" xfId="0" applyFont="1" applyFill="1" applyBorder="1" applyAlignment="1">
      <alignment horizontal="center" vertical="center" wrapText="1"/>
    </xf>
    <xf numFmtId="0" fontId="28" fillId="12" borderId="3" xfId="0" applyFont="1" applyFill="1" applyBorder="1" applyAlignment="1">
      <alignment horizontal="center" vertical="center" wrapText="1"/>
    </xf>
    <xf numFmtId="0" fontId="28" fillId="12" borderId="51" xfId="0" applyFont="1" applyFill="1" applyBorder="1" applyAlignment="1">
      <alignment horizontal="center" vertical="center" wrapText="1"/>
    </xf>
    <xf numFmtId="0" fontId="28" fillId="12" borderId="8" xfId="0" applyFont="1" applyFill="1" applyBorder="1" applyAlignment="1">
      <alignment horizontal="center" vertical="center" wrapText="1"/>
    </xf>
    <xf numFmtId="9" fontId="28" fillId="12" borderId="10" xfId="0" applyNumberFormat="1" applyFont="1" applyFill="1" applyBorder="1" applyAlignment="1">
      <alignment horizontal="center" vertical="center"/>
    </xf>
    <xf numFmtId="9" fontId="28" fillId="12" borderId="11" xfId="0" applyNumberFormat="1" applyFont="1" applyFill="1" applyBorder="1" applyAlignment="1">
      <alignment horizontal="center" vertical="center"/>
    </xf>
    <xf numFmtId="0" fontId="28" fillId="12" borderId="18" xfId="0" applyFont="1" applyFill="1" applyBorder="1" applyAlignment="1">
      <alignment horizontal="center" vertical="center" wrapText="1"/>
    </xf>
    <xf numFmtId="0" fontId="28" fillId="12" borderId="52" xfId="0" applyFont="1" applyFill="1" applyBorder="1" applyAlignment="1">
      <alignment horizontal="center" vertical="center" wrapText="1"/>
    </xf>
    <xf numFmtId="9" fontId="1" fillId="2" borderId="13" xfId="0" applyNumberFormat="1" applyFont="1" applyFill="1" applyBorder="1" applyAlignment="1">
      <alignment horizontal="center" vertical="center"/>
    </xf>
    <xf numFmtId="9" fontId="1" fillId="2" borderId="15" xfId="0" applyNumberFormat="1" applyFont="1" applyFill="1" applyBorder="1" applyAlignment="1">
      <alignment horizontal="center" vertical="center"/>
    </xf>
    <xf numFmtId="9" fontId="28" fillId="12" borderId="53" xfId="0" applyNumberFormat="1" applyFont="1" applyFill="1" applyBorder="1" applyAlignment="1">
      <alignment horizontal="center" vertical="center"/>
    </xf>
    <xf numFmtId="9" fontId="28" fillId="12" borderId="4" xfId="0" applyNumberFormat="1" applyFont="1" applyFill="1" applyBorder="1" applyAlignment="1">
      <alignment horizontal="center" vertical="center"/>
    </xf>
    <xf numFmtId="9" fontId="28" fillId="12" borderId="5" xfId="0" applyNumberFormat="1" applyFont="1" applyFill="1" applyBorder="1" applyAlignment="1">
      <alignment horizontal="center" vertical="center"/>
    </xf>
    <xf numFmtId="10" fontId="3" fillId="5" borderId="20" xfId="3" applyNumberFormat="1" applyFont="1" applyFill="1" applyBorder="1" applyAlignment="1">
      <alignment horizontal="center"/>
    </xf>
    <xf numFmtId="9" fontId="28" fillId="12" borderId="20" xfId="0" applyNumberFormat="1" applyFont="1" applyFill="1" applyBorder="1" applyAlignment="1">
      <alignment horizontal="center" vertical="center"/>
    </xf>
    <xf numFmtId="9" fontId="28" fillId="12" borderId="16" xfId="0" applyNumberFormat="1" applyFont="1" applyFill="1" applyBorder="1" applyAlignment="1">
      <alignment horizontal="center" vertical="center"/>
    </xf>
    <xf numFmtId="10" fontId="3" fillId="5" borderId="17" xfId="3" applyNumberFormat="1" applyFont="1" applyFill="1" applyBorder="1" applyAlignment="1">
      <alignment horizontal="center"/>
    </xf>
    <xf numFmtId="10" fontId="3" fillId="5" borderId="16" xfId="3" applyNumberFormat="1" applyFont="1" applyFill="1" applyBorder="1" applyAlignment="1">
      <alignment horizontal="center"/>
    </xf>
    <xf numFmtId="10" fontId="3" fillId="5" borderId="23" xfId="3" applyNumberFormat="1" applyFont="1" applyFill="1" applyBorder="1" applyAlignment="1">
      <alignment horizontal="center"/>
    </xf>
    <xf numFmtId="0" fontId="28" fillId="12" borderId="3" xfId="0" applyFont="1" applyFill="1" applyBorder="1" applyAlignment="1">
      <alignment vertical="center"/>
    </xf>
    <xf numFmtId="0" fontId="12" fillId="12" borderId="54" xfId="0" applyFont="1" applyFill="1" applyBorder="1" applyAlignment="1">
      <alignment horizontal="center" vertical="center"/>
    </xf>
    <xf numFmtId="0" fontId="12" fillId="12" borderId="27" xfId="0" applyFont="1" applyFill="1" applyBorder="1" applyAlignment="1">
      <alignment horizontal="center" vertical="center"/>
    </xf>
    <xf numFmtId="0" fontId="12" fillId="12" borderId="55" xfId="0" applyFont="1" applyFill="1" applyBorder="1" applyAlignment="1">
      <alignment horizontal="center" vertical="center"/>
    </xf>
    <xf numFmtId="0" fontId="28" fillId="12" borderId="8" xfId="0" applyFont="1" applyFill="1" applyBorder="1" applyAlignment="1">
      <alignment vertical="center"/>
    </xf>
    <xf numFmtId="2" fontId="10" fillId="2" borderId="42" xfId="0" applyNumberFormat="1" applyFont="1" applyFill="1" applyBorder="1" applyAlignment="1">
      <alignment horizontal="center" vertical="center"/>
    </xf>
    <xf numFmtId="190" fontId="10" fillId="2" borderId="13" xfId="0" applyNumberFormat="1" applyFont="1" applyFill="1" applyBorder="1" applyAlignment="1">
      <alignment horizontal="center" vertical="center"/>
    </xf>
    <xf numFmtId="2" fontId="10" fillId="2" borderId="15" xfId="0" applyNumberFormat="1" applyFont="1" applyFill="1" applyBorder="1" applyAlignment="1">
      <alignment horizontal="center" vertical="center"/>
    </xf>
    <xf numFmtId="2" fontId="10" fillId="2" borderId="24" xfId="0" applyNumberFormat="1" applyFont="1" applyFill="1" applyBorder="1" applyAlignment="1">
      <alignment horizontal="center" vertical="center"/>
    </xf>
    <xf numFmtId="190" fontId="10" fillId="2" borderId="37" xfId="0" applyNumberFormat="1" applyFont="1" applyFill="1" applyBorder="1" applyAlignment="1">
      <alignment horizontal="center" vertical="center"/>
    </xf>
    <xf numFmtId="2" fontId="10" fillId="2" borderId="31" xfId="0" applyNumberFormat="1" applyFont="1" applyFill="1" applyBorder="1" applyAlignment="1">
      <alignment horizontal="center" vertical="center"/>
    </xf>
    <xf numFmtId="0" fontId="0" fillId="0" borderId="21" xfId="0" applyBorder="1"/>
    <xf numFmtId="2" fontId="0" fillId="0" borderId="32" xfId="0" applyNumberFormat="1" applyBorder="1" applyAlignment="1">
      <alignment horizontal="center" vertical="center"/>
    </xf>
    <xf numFmtId="190" fontId="0" fillId="0" borderId="32" xfId="0" applyNumberFormat="1" applyBorder="1" applyAlignment="1">
      <alignment horizontal="center" vertical="center"/>
    </xf>
    <xf numFmtId="2" fontId="0" fillId="0" borderId="21" xfId="0" applyNumberFormat="1" applyBorder="1" applyAlignment="1">
      <alignment horizontal="center" vertical="center"/>
    </xf>
    <xf numFmtId="190" fontId="0" fillId="0" borderId="21" xfId="0" applyNumberFormat="1" applyBorder="1" applyAlignment="1">
      <alignment horizontal="center" vertical="center"/>
    </xf>
    <xf numFmtId="0" fontId="28" fillId="12" borderId="3" xfId="0" applyFont="1" applyFill="1" applyBorder="1" applyAlignment="1">
      <alignment horizontal="center" vertical="center"/>
    </xf>
    <xf numFmtId="0" fontId="28" fillId="12" borderId="8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2" borderId="37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10" fontId="1" fillId="2" borderId="31" xfId="0" applyNumberFormat="1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10" fontId="1" fillId="2" borderId="37" xfId="0" applyNumberFormat="1" applyFont="1" applyFill="1" applyBorder="1" applyAlignment="1">
      <alignment horizontal="center" vertical="center"/>
    </xf>
    <xf numFmtId="10" fontId="0" fillId="0" borderId="32" xfId="0" applyNumberFormat="1" applyBorder="1" applyAlignment="1">
      <alignment horizontal="center" vertical="center"/>
    </xf>
    <xf numFmtId="10" fontId="0" fillId="0" borderId="21" xfId="0" applyNumberFormat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0" fontId="0" fillId="18" borderId="21" xfId="0" applyNumberFormat="1" applyFill="1" applyBorder="1" applyAlignment="1">
      <alignment horizontal="center" vertical="center"/>
    </xf>
    <xf numFmtId="10" fontId="0" fillId="18" borderId="21" xfId="3" applyNumberFormat="1" applyFont="1" applyFill="1" applyBorder="1" applyAlignment="1">
      <alignment horizontal="center" vertical="center"/>
    </xf>
    <xf numFmtId="0" fontId="12" fillId="12" borderId="4" xfId="0" applyFont="1" applyFill="1" applyBorder="1" applyAlignment="1">
      <alignment horizontal="center" vertical="center"/>
    </xf>
    <xf numFmtId="0" fontId="12" fillId="12" borderId="5" xfId="0" applyFont="1" applyFill="1" applyBorder="1" applyAlignment="1">
      <alignment horizontal="center" vertical="center"/>
    </xf>
    <xf numFmtId="10" fontId="0" fillId="0" borderId="0" xfId="3" applyNumberFormat="1" applyFont="1" applyFill="1" applyBorder="1" applyAlignment="1">
      <alignment horizontal="center" vertical="center"/>
    </xf>
    <xf numFmtId="0" fontId="12" fillId="12" borderId="16" xfId="0" applyFont="1" applyFill="1" applyBorder="1" applyAlignment="1">
      <alignment horizontal="center" vertical="center"/>
    </xf>
    <xf numFmtId="10" fontId="3" fillId="0" borderId="0" xfId="0" applyNumberFormat="1" applyFont="1" applyAlignment="1">
      <alignment horizontal="center"/>
    </xf>
    <xf numFmtId="0" fontId="28" fillId="12" borderId="6" xfId="0" applyFont="1" applyFill="1" applyBorder="1" applyAlignment="1">
      <alignment horizontal="center" vertical="center" wrapText="1"/>
    </xf>
    <xf numFmtId="0" fontId="28" fillId="12" borderId="19" xfId="0" applyFont="1" applyFill="1" applyBorder="1" applyAlignment="1">
      <alignment horizontal="center" vertical="center" wrapText="1"/>
    </xf>
    <xf numFmtId="2" fontId="0" fillId="0" borderId="34" xfId="0" applyNumberFormat="1" applyBorder="1" applyAlignment="1">
      <alignment horizontal="center" vertical="center"/>
    </xf>
    <xf numFmtId="10" fontId="0" fillId="0" borderId="34" xfId="0" applyNumberFormat="1" applyBorder="1" applyAlignment="1">
      <alignment horizontal="center" vertical="center"/>
    </xf>
    <xf numFmtId="0" fontId="3" fillId="0" borderId="8" xfId="0" applyFont="1" applyBorder="1" applyAlignment="1">
      <alignment horizontal="left"/>
    </xf>
    <xf numFmtId="10" fontId="3" fillId="4" borderId="18" xfId="3" applyNumberFormat="1" applyFont="1" applyFill="1" applyBorder="1" applyAlignment="1">
      <alignment horizontal="center"/>
    </xf>
    <xf numFmtId="10" fontId="3" fillId="4" borderId="19" xfId="3" applyNumberFormat="1" applyFont="1" applyFill="1" applyBorder="1" applyAlignment="1">
      <alignment horizontal="center"/>
    </xf>
    <xf numFmtId="10" fontId="3" fillId="4" borderId="23" xfId="3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center" vertical="center"/>
    </xf>
    <xf numFmtId="0" fontId="12" fillId="12" borderId="14" xfId="0" applyFont="1" applyFill="1" applyBorder="1" applyAlignment="1">
      <alignment horizontal="center" vertical="center"/>
    </xf>
    <xf numFmtId="10" fontId="0" fillId="18" borderId="56" xfId="3" applyNumberFormat="1" applyFont="1" applyFill="1" applyBorder="1" applyAlignment="1">
      <alignment horizontal="center" vertical="center"/>
    </xf>
    <xf numFmtId="0" fontId="12" fillId="12" borderId="11" xfId="0" applyFont="1" applyFill="1" applyBorder="1" applyAlignment="1">
      <alignment horizontal="center" vertical="center"/>
    </xf>
    <xf numFmtId="10" fontId="0" fillId="18" borderId="57" xfId="3" applyNumberFormat="1" applyFont="1" applyFill="1" applyBorder="1" applyAlignment="1">
      <alignment horizontal="center" vertical="center"/>
    </xf>
    <xf numFmtId="0" fontId="12" fillId="12" borderId="20" xfId="0" applyFont="1" applyFill="1" applyBorder="1" applyAlignment="1">
      <alignment horizontal="center" vertical="center"/>
    </xf>
    <xf numFmtId="0" fontId="29" fillId="2" borderId="21" xfId="0" applyFont="1" applyFill="1" applyBorder="1" applyAlignment="1">
      <alignment vertical="center"/>
    </xf>
    <xf numFmtId="0" fontId="29" fillId="2" borderId="39" xfId="0" applyFont="1" applyFill="1" applyBorder="1" applyAlignment="1">
      <alignment vertical="center"/>
    </xf>
    <xf numFmtId="0" fontId="29" fillId="2" borderId="39" xfId="0" applyFont="1" applyFill="1" applyBorder="1" applyAlignment="1">
      <alignment horizontal="center" vertical="center"/>
    </xf>
    <xf numFmtId="0" fontId="29" fillId="2" borderId="40" xfId="0" applyFont="1" applyFill="1" applyBorder="1" applyAlignment="1">
      <alignment horizontal="center" vertical="center"/>
    </xf>
    <xf numFmtId="0" fontId="30" fillId="2" borderId="22" xfId="0" applyFont="1" applyFill="1" applyBorder="1" applyAlignment="1">
      <alignment vertical="center"/>
    </xf>
    <xf numFmtId="0" fontId="30" fillId="2" borderId="35" xfId="0" applyFont="1" applyFill="1" applyBorder="1" applyAlignment="1">
      <alignment vertical="center"/>
    </xf>
    <xf numFmtId="184" fontId="30" fillId="0" borderId="35" xfId="0" applyNumberFormat="1" applyFont="1" applyBorder="1" applyAlignment="1">
      <alignment horizontal="center" vertical="center"/>
    </xf>
    <xf numFmtId="184" fontId="30" fillId="0" borderId="58" xfId="0" applyNumberFormat="1" applyFont="1" applyBorder="1" applyAlignment="1">
      <alignment horizontal="center" vertical="center"/>
    </xf>
    <xf numFmtId="0" fontId="30" fillId="2" borderId="31" xfId="0" applyFont="1" applyFill="1" applyBorder="1" applyAlignment="1">
      <alignment vertical="center"/>
    </xf>
    <xf numFmtId="0" fontId="30" fillId="2" borderId="24" xfId="0" applyFont="1" applyFill="1" applyBorder="1" applyAlignment="1">
      <alignment vertical="center"/>
    </xf>
    <xf numFmtId="184" fontId="30" fillId="0" borderId="24" xfId="0" applyNumberFormat="1" applyFont="1" applyBorder="1" applyAlignment="1">
      <alignment horizontal="center" vertical="center"/>
    </xf>
    <xf numFmtId="184" fontId="30" fillId="0" borderId="0" xfId="0" applyNumberFormat="1" applyFont="1" applyAlignment="1">
      <alignment horizontal="center" vertical="center"/>
    </xf>
    <xf numFmtId="0" fontId="30" fillId="2" borderId="32" xfId="0" applyFont="1" applyFill="1" applyBorder="1" applyAlignment="1">
      <alignment vertical="center"/>
    </xf>
    <xf numFmtId="0" fontId="30" fillId="2" borderId="29" xfId="0" applyFont="1" applyFill="1" applyBorder="1" applyAlignment="1">
      <alignment vertical="center"/>
    </xf>
    <xf numFmtId="184" fontId="30" fillId="0" borderId="29" xfId="0" applyNumberFormat="1" applyFont="1" applyBorder="1" applyAlignment="1">
      <alignment horizontal="center" vertical="center"/>
    </xf>
    <xf numFmtId="184" fontId="30" fillId="0" borderId="34" xfId="0" applyNumberFormat="1" applyFont="1" applyBorder="1" applyAlignment="1">
      <alignment horizontal="center" vertical="center"/>
    </xf>
    <xf numFmtId="0" fontId="29" fillId="2" borderId="22" xfId="0" applyFont="1" applyFill="1" applyBorder="1" applyAlignment="1">
      <alignment vertical="center"/>
    </xf>
    <xf numFmtId="0" fontId="29" fillId="2" borderId="35" xfId="0" applyFont="1" applyFill="1" applyBorder="1" applyAlignment="1">
      <alignment vertical="center"/>
    </xf>
    <xf numFmtId="184" fontId="29" fillId="0" borderId="35" xfId="0" applyNumberFormat="1" applyFont="1" applyBorder="1" applyAlignment="1">
      <alignment horizontal="center" vertical="center"/>
    </xf>
    <xf numFmtId="184" fontId="29" fillId="0" borderId="58" xfId="0" applyNumberFormat="1" applyFont="1" applyBorder="1" applyAlignment="1">
      <alignment horizontal="center" vertical="center"/>
    </xf>
    <xf numFmtId="0" fontId="29" fillId="2" borderId="31" xfId="0" applyFont="1" applyFill="1" applyBorder="1" applyAlignment="1">
      <alignment vertical="center"/>
    </xf>
    <xf numFmtId="0" fontId="29" fillId="2" borderId="24" xfId="0" applyFont="1" applyFill="1" applyBorder="1" applyAlignment="1">
      <alignment vertical="center"/>
    </xf>
    <xf numFmtId="184" fontId="29" fillId="0" borderId="24" xfId="0" applyNumberFormat="1" applyFont="1" applyBorder="1" applyAlignment="1">
      <alignment horizontal="center" vertical="center"/>
    </xf>
    <xf numFmtId="184" fontId="29" fillId="0" borderId="0" xfId="0" applyNumberFormat="1" applyFont="1" applyAlignment="1">
      <alignment horizontal="center" vertical="center"/>
    </xf>
    <xf numFmtId="184" fontId="29" fillId="0" borderId="29" xfId="0" applyNumberFormat="1" applyFont="1" applyBorder="1" applyAlignment="1">
      <alignment horizontal="center" vertical="center"/>
    </xf>
    <xf numFmtId="184" fontId="29" fillId="0" borderId="34" xfId="0" applyNumberFormat="1" applyFont="1" applyBorder="1" applyAlignment="1">
      <alignment horizontal="center" vertical="center"/>
    </xf>
    <xf numFmtId="184" fontId="29" fillId="0" borderId="39" xfId="0" applyNumberFormat="1" applyFont="1" applyBorder="1" applyAlignment="1">
      <alignment horizontal="center" vertical="center"/>
    </xf>
    <xf numFmtId="184" fontId="29" fillId="0" borderId="40" xfId="0" applyNumberFormat="1" applyFont="1" applyBorder="1" applyAlignment="1">
      <alignment horizontal="center" vertical="center"/>
    </xf>
    <xf numFmtId="0" fontId="31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30" fillId="0" borderId="22" xfId="0" applyFont="1" applyBorder="1" applyAlignment="1">
      <alignment vertical="center"/>
    </xf>
    <xf numFmtId="0" fontId="30" fillId="0" borderId="35" xfId="0" applyFont="1" applyBorder="1" applyAlignment="1">
      <alignment vertical="center"/>
    </xf>
    <xf numFmtId="0" fontId="30" fillId="0" borderId="24" xfId="0" applyFont="1" applyBorder="1" applyAlignment="1">
      <alignment vertical="center"/>
    </xf>
    <xf numFmtId="0" fontId="30" fillId="0" borderId="31" xfId="0" applyFont="1" applyBorder="1" applyAlignment="1">
      <alignment vertical="center"/>
    </xf>
    <xf numFmtId="0" fontId="30" fillId="8" borderId="31" xfId="0" applyFont="1" applyFill="1" applyBorder="1" applyAlignment="1">
      <alignment vertical="center"/>
    </xf>
    <xf numFmtId="0" fontId="30" fillId="8" borderId="24" xfId="0" applyFont="1" applyFill="1" applyBorder="1" applyAlignment="1">
      <alignment vertical="center"/>
    </xf>
    <xf numFmtId="184" fontId="0" fillId="18" borderId="21" xfId="3" applyNumberFormat="1" applyFont="1" applyFill="1" applyBorder="1" applyAlignment="1">
      <alignment horizontal="center" vertical="center"/>
    </xf>
    <xf numFmtId="0" fontId="29" fillId="2" borderId="40" xfId="0" applyFont="1" applyFill="1" applyBorder="1" applyAlignment="1">
      <alignment horizontal="center" vertical="center" wrapText="1"/>
    </xf>
    <xf numFmtId="0" fontId="29" fillId="2" borderId="41" xfId="0" applyFont="1" applyFill="1" applyBorder="1" applyAlignment="1">
      <alignment horizontal="center" vertical="center" wrapText="1"/>
    </xf>
    <xf numFmtId="0" fontId="29" fillId="2" borderId="39" xfId="0" applyFont="1" applyFill="1" applyBorder="1" applyAlignment="1">
      <alignment horizontal="center" vertical="center" wrapText="1"/>
    </xf>
    <xf numFmtId="184" fontId="30" fillId="0" borderId="28" xfId="0" applyNumberFormat="1" applyFont="1" applyBorder="1" applyAlignment="1">
      <alignment horizontal="center" vertical="center"/>
    </xf>
    <xf numFmtId="184" fontId="30" fillId="0" borderId="0" xfId="0" applyNumberFormat="1" applyFont="1" applyAlignment="1">
      <alignment vertical="center"/>
    </xf>
    <xf numFmtId="184" fontId="30" fillId="0" borderId="37" xfId="0" applyNumberFormat="1" applyFont="1" applyBorder="1" applyAlignment="1">
      <alignment horizontal="center" vertical="center"/>
    </xf>
    <xf numFmtId="184" fontId="30" fillId="0" borderId="38" xfId="0" applyNumberFormat="1" applyFont="1" applyBorder="1" applyAlignment="1">
      <alignment horizontal="center" vertical="center"/>
    </xf>
    <xf numFmtId="184" fontId="29" fillId="0" borderId="28" xfId="0" applyNumberFormat="1" applyFont="1" applyBorder="1" applyAlignment="1">
      <alignment horizontal="center" vertical="center"/>
    </xf>
    <xf numFmtId="184" fontId="29" fillId="0" borderId="0" xfId="0" applyNumberFormat="1" applyFont="1" applyAlignment="1">
      <alignment vertical="center"/>
    </xf>
    <xf numFmtId="184" fontId="29" fillId="0" borderId="37" xfId="0" applyNumberFormat="1" applyFont="1" applyBorder="1" applyAlignment="1">
      <alignment horizontal="center" vertical="center"/>
    </xf>
    <xf numFmtId="184" fontId="29" fillId="0" borderId="38" xfId="0" applyNumberFormat="1" applyFont="1" applyBorder="1" applyAlignment="1">
      <alignment horizontal="center" vertical="center"/>
    </xf>
    <xf numFmtId="184" fontId="29" fillId="0" borderId="41" xfId="0" applyNumberFormat="1" applyFont="1" applyBorder="1" applyAlignment="1">
      <alignment horizontal="center" vertical="center"/>
    </xf>
    <xf numFmtId="10" fontId="30" fillId="0" borderId="0" xfId="0" applyNumberFormat="1" applyFont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30" fillId="0" borderId="32" xfId="0" applyFont="1" applyBorder="1" applyAlignment="1">
      <alignment vertical="center"/>
    </xf>
    <xf numFmtId="0" fontId="30" fillId="0" borderId="29" xfId="0" applyFont="1" applyBorder="1" applyAlignment="1">
      <alignment vertical="center"/>
    </xf>
    <xf numFmtId="10" fontId="30" fillId="0" borderId="0" xfId="0" applyNumberFormat="1" applyFont="1" applyAlignment="1">
      <alignment vertical="center"/>
    </xf>
    <xf numFmtId="0" fontId="5" fillId="6" borderId="58" xfId="64" applyFont="1" applyFill="1" applyBorder="1" applyAlignment="1">
      <alignment horizontal="center" vertical="center"/>
    </xf>
    <xf numFmtId="0" fontId="5" fillId="6" borderId="22" xfId="64" applyFont="1" applyFill="1" applyBorder="1" applyAlignment="1">
      <alignment horizontal="center" vertical="center"/>
    </xf>
    <xf numFmtId="0" fontId="0" fillId="0" borderId="24" xfId="0" applyBorder="1" applyAlignment="1">
      <alignment horizontal="center"/>
    </xf>
    <xf numFmtId="10" fontId="0" fillId="0" borderId="37" xfId="3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10" fontId="0" fillId="0" borderId="34" xfId="3" applyNumberFormat="1" applyFont="1" applyBorder="1" applyAlignment="1">
      <alignment horizontal="center"/>
    </xf>
    <xf numFmtId="10" fontId="0" fillId="0" borderId="38" xfId="3" applyNumberFormat="1" applyFont="1" applyBorder="1" applyAlignment="1">
      <alignment horizontal="center"/>
    </xf>
    <xf numFmtId="10" fontId="0" fillId="0" borderId="16" xfId="3" applyNumberFormat="1" applyFont="1" applyBorder="1" applyAlignment="1">
      <alignment horizontal="center"/>
    </xf>
    <xf numFmtId="0" fontId="14" fillId="0" borderId="0" xfId="0" applyFont="1"/>
    <xf numFmtId="0" fontId="5" fillId="6" borderId="4" xfId="64" applyFont="1" applyFill="1" applyBorder="1" applyAlignment="1">
      <alignment vertical="center"/>
    </xf>
    <xf numFmtId="0" fontId="5" fillId="6" borderId="5" xfId="64" applyFont="1" applyFill="1" applyBorder="1" applyAlignment="1">
      <alignment vertical="center"/>
    </xf>
    <xf numFmtId="1" fontId="0" fillId="0" borderId="22" xfId="0" applyNumberFormat="1" applyBorder="1" applyAlignment="1">
      <alignment horizontal="center"/>
    </xf>
    <xf numFmtId="186" fontId="0" fillId="0" borderId="28" xfId="0" applyNumberFormat="1" applyBorder="1" applyAlignment="1">
      <alignment horizontal="center"/>
    </xf>
    <xf numFmtId="186" fontId="0" fillId="0" borderId="37" xfId="0" applyNumberFormat="1" applyBorder="1" applyAlignment="1">
      <alignment horizontal="center"/>
    </xf>
    <xf numFmtId="2" fontId="0" fillId="0" borderId="37" xfId="0" applyNumberFormat="1" applyBorder="1" applyAlignment="1">
      <alignment horizontal="center"/>
    </xf>
    <xf numFmtId="2" fontId="0" fillId="0" borderId="38" xfId="0" applyNumberFormat="1" applyBorder="1" applyAlignment="1">
      <alignment horizontal="center"/>
    </xf>
    <xf numFmtId="0" fontId="5" fillId="6" borderId="4" xfId="64" applyFont="1" applyFill="1" applyBorder="1" applyAlignment="1">
      <alignment horizontal="left" vertical="center"/>
    </xf>
    <xf numFmtId="184" fontId="8" fillId="9" borderId="20" xfId="64" applyNumberFormat="1" applyFont="1" applyFill="1" applyBorder="1" applyAlignment="1">
      <alignment horizontal="center"/>
    </xf>
    <xf numFmtId="0" fontId="7" fillId="0" borderId="6" xfId="64" applyFont="1" applyBorder="1" applyAlignment="1">
      <alignment wrapText="1"/>
    </xf>
    <xf numFmtId="0" fontId="6" fillId="0" borderId="6" xfId="64" applyFont="1" applyBorder="1" applyAlignment="1">
      <alignment wrapText="1"/>
    </xf>
    <xf numFmtId="0" fontId="7" fillId="0" borderId="8" xfId="64" applyFont="1" applyBorder="1" applyAlignment="1">
      <alignment wrapText="1"/>
    </xf>
    <xf numFmtId="0" fontId="33" fillId="0" borderId="6" xfId="64" applyFont="1" applyBorder="1" applyAlignment="1">
      <alignment wrapText="1"/>
    </xf>
    <xf numFmtId="184" fontId="7" fillId="8" borderId="6" xfId="64" applyNumberFormat="1" applyFont="1" applyFill="1" applyBorder="1" applyAlignment="1">
      <alignment horizontal="center" vertical="center" wrapText="1"/>
    </xf>
    <xf numFmtId="0" fontId="33" fillId="8" borderId="6" xfId="64" applyFont="1" applyFill="1" applyBorder="1" applyAlignment="1">
      <alignment wrapText="1"/>
    </xf>
    <xf numFmtId="9" fontId="0" fillId="0" borderId="23" xfId="3" applyFont="1" applyBorder="1" applyAlignment="1">
      <alignment horizontal="center"/>
    </xf>
    <xf numFmtId="0" fontId="0" fillId="0" borderId="8" xfId="0" applyBorder="1"/>
    <xf numFmtId="184" fontId="8" fillId="9" borderId="10" xfId="3" applyNumberFormat="1" applyFont="1" applyFill="1" applyBorder="1" applyAlignment="1">
      <alignment horizontal="center"/>
    </xf>
    <xf numFmtId="184" fontId="8" fillId="9" borderId="11" xfId="3" applyNumberFormat="1" applyFont="1" applyFill="1" applyBorder="1" applyAlignment="1">
      <alignment horizontal="center"/>
    </xf>
    <xf numFmtId="184" fontId="8" fillId="9" borderId="20" xfId="3" applyNumberFormat="1" applyFont="1" applyFill="1" applyBorder="1" applyAlignment="1">
      <alignment horizontal="center"/>
    </xf>
    <xf numFmtId="184" fontId="0" fillId="0" borderId="18" xfId="3" applyNumberFormat="1" applyFont="1" applyBorder="1" applyAlignment="1">
      <alignment horizontal="center"/>
    </xf>
    <xf numFmtId="184" fontId="0" fillId="0" borderId="19" xfId="3" applyNumberFormat="1" applyFont="1" applyBorder="1" applyAlignment="1">
      <alignment horizontal="center"/>
    </xf>
    <xf numFmtId="0" fontId="5" fillId="6" borderId="5" xfId="64" applyFont="1" applyFill="1" applyBorder="1" applyAlignment="1">
      <alignment horizontal="left" vertical="center"/>
    </xf>
    <xf numFmtId="0" fontId="0" fillId="0" borderId="3" xfId="0" applyBorder="1"/>
    <xf numFmtId="184" fontId="0" fillId="0" borderId="4" xfId="3" applyNumberFormat="1" applyFont="1" applyBorder="1" applyAlignment="1">
      <alignment horizontal="center"/>
    </xf>
    <xf numFmtId="184" fontId="0" fillId="0" borderId="5" xfId="3" applyNumberFormat="1" applyFont="1" applyBorder="1" applyAlignment="1">
      <alignment horizontal="center"/>
    </xf>
    <xf numFmtId="0" fontId="5" fillId="6" borderId="16" xfId="64" applyFont="1" applyFill="1" applyBorder="1" applyAlignment="1">
      <alignment horizontal="left" vertical="center"/>
    </xf>
    <xf numFmtId="0" fontId="23" fillId="19" borderId="21" xfId="64" applyFont="1" applyFill="1" applyBorder="1" applyAlignment="1">
      <alignment vertical="center"/>
    </xf>
    <xf numFmtId="0" fontId="23" fillId="8" borderId="21" xfId="0" applyFont="1" applyFill="1" applyBorder="1"/>
    <xf numFmtId="0" fontId="23" fillId="8" borderId="21" xfId="0" applyFont="1" applyFill="1" applyBorder="1" applyAlignment="1"/>
    <xf numFmtId="0" fontId="23" fillId="8" borderId="21" xfId="62" applyFont="1" applyFill="1" applyBorder="1" applyAlignment="1">
      <alignment wrapText="1"/>
    </xf>
    <xf numFmtId="0" fontId="23" fillId="8" borderId="21" xfId="64" applyFont="1" applyFill="1" applyBorder="1" applyAlignment="1">
      <alignment wrapText="1"/>
    </xf>
    <xf numFmtId="0" fontId="23" fillId="19" borderId="21" xfId="64" applyFont="1" applyFill="1" applyBorder="1"/>
    <xf numFmtId="0" fontId="23" fillId="8" borderId="21" xfId="62" applyFont="1" applyFill="1" applyBorder="1" applyAlignment="1">
      <alignment horizontal="left" wrapText="1"/>
    </xf>
    <xf numFmtId="0" fontId="5" fillId="6" borderId="13" xfId="64" applyFont="1" applyFill="1" applyBorder="1" applyAlignment="1">
      <alignment horizontal="center" vertical="center"/>
    </xf>
    <xf numFmtId="0" fontId="5" fillId="6" borderId="9" xfId="64" applyFont="1" applyFill="1" applyBorder="1" applyAlignment="1">
      <alignment horizontal="center" vertical="center"/>
    </xf>
    <xf numFmtId="0" fontId="0" fillId="0" borderId="4" xfId="0" applyBorder="1"/>
    <xf numFmtId="0" fontId="5" fillId="6" borderId="8" xfId="64" applyFont="1" applyFill="1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5" fillId="6" borderId="24" xfId="64" applyFont="1" applyFill="1" applyBorder="1" applyAlignment="1">
      <alignment horizontal="center" vertical="center"/>
    </xf>
    <xf numFmtId="10" fontId="0" fillId="0" borderId="19" xfId="3" applyNumberFormat="1" applyFont="1" applyBorder="1" applyAlignment="1">
      <alignment horizontal="center"/>
    </xf>
    <xf numFmtId="10" fontId="0" fillId="0" borderId="0" xfId="3" applyNumberFormat="1" applyFont="1" applyBorder="1"/>
    <xf numFmtId="0" fontId="19" fillId="2" borderId="51" xfId="0" applyFont="1" applyFill="1" applyBorder="1" applyAlignment="1">
      <alignment horizontal="center" vertical="center"/>
    </xf>
    <xf numFmtId="10" fontId="0" fillId="0" borderId="3" xfId="3" applyNumberFormat="1" applyFont="1" applyBorder="1" applyAlignment="1">
      <alignment horizontal="center"/>
    </xf>
    <xf numFmtId="10" fontId="0" fillId="0" borderId="6" xfId="3" applyNumberFormat="1" applyFont="1" applyBorder="1" applyAlignment="1">
      <alignment horizontal="center"/>
    </xf>
  </cellXfs>
  <cellStyles count="7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Comma 2 2 2" xfId="51"/>
    <cellStyle name="Comma 2 2 3" xfId="52"/>
    <cellStyle name="Comma 2 3" xfId="53"/>
    <cellStyle name="Comma 2 4" xfId="54"/>
    <cellStyle name="Comma 2 5" xfId="55"/>
    <cellStyle name="Comma 2 6" xfId="56"/>
    <cellStyle name="Comma 3" xfId="57"/>
    <cellStyle name="Comma 4" xfId="58"/>
    <cellStyle name="Normal 2" xfId="59"/>
    <cellStyle name="Normal 2 2" xfId="60"/>
    <cellStyle name="Normal 3" xfId="61"/>
    <cellStyle name="Normal 3 14" xfId="62"/>
    <cellStyle name="Normal 3 2" xfId="63"/>
    <cellStyle name="Normal 3 2 2" xfId="64"/>
    <cellStyle name="Normal 3 2 3" xfId="65"/>
    <cellStyle name="Normal 4" xfId="66"/>
    <cellStyle name="Percent 2" xfId="67"/>
    <cellStyle name="Percent 2 2 2" xfId="68"/>
    <cellStyle name="Percent 3" xfId="69"/>
    <cellStyle name="Percent 4" xfId="7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tyles" Target="styles.xml"/><Relationship Id="rId21" Type="http://schemas.microsoft.com/office/2017/06/relationships/rdRichValue" Target="richData/rdrichvalue.xml"/><Relationship Id="rId20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9" Type="http://schemas.openxmlformats.org/officeDocument/2006/relationships/sheetMetadata" Target="metadata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externalLink" Target="externalLinks/externalLink1.xml"/><Relationship Id="rId15" Type="http://schemas.openxmlformats.org/officeDocument/2006/relationships/customXml" Target="../customXml/item3.xml"/><Relationship Id="rId14" Type="http://schemas.openxmlformats.org/officeDocument/2006/relationships/customXml" Target="../customXml/item2.xml"/><Relationship Id="rId13" Type="http://schemas.openxmlformats.org/officeDocument/2006/relationships/customXml" Target="../customXml/item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'Output Dashboard (option 1)'!$W$3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'Output Dashboard (option 1)'!$W$4:$W$7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'Output Dashboard (option 1)'!$V$4:$V$7</c15:sqref>
                        </c15:formulaRef>
                      </c:ext>
                    </c:extLst>
                    <c:numCache>
                      <c:ptCount val="0"/>
                    </c:numCache>
                  </c:numRef>
                </c15:cat>
              </c15:filteredCategoryTitle>
            </c:ext>
          </c:extLst>
        </c:ser>
        <c:ser>
          <c:idx val="1"/>
          <c:order val="1"/>
          <c:tx>
            <c:strRef>
              <c:f>'Output Dashboard (option 1)'!$X$3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'Output Dashboard (option 1)'!$X$4:$X$7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'Output Dashboard (option 1)'!$V$4:$V$7</c15:sqref>
                        </c15:formulaRef>
                      </c:ext>
                    </c:extLst>
                    <c:numCache>
                      <c:ptCount val="0"/>
                    </c:numCache>
                  </c:numRef>
                </c15:cat>
              </c15:filteredCategory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34665856"/>
        <c:axId val="1134666336"/>
      </c:barChart>
      <c:catAx>
        <c:axId val="1134665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34666336"/>
        <c:crosses val="autoZero"/>
        <c:auto val="1"/>
        <c:lblAlgn val="ctr"/>
        <c:lblOffset val="100"/>
        <c:noMultiLvlLbl val="0"/>
      </c:catAx>
      <c:valAx>
        <c:axId val="1134666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34665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3cbe228-8df8-4040-a9cc-b02e2b9a06d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'Output Dashboard (option 1)'!$W$21</c:f>
              <c:strCache>
                <c:ptCount val="1"/>
                <c:pt idx="0">
                  <c:v>Portfolio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'Output Dashboard (option 1)'!$W$22:$W$24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'Output Dashboard (option 1)'!$V$22:$V$24</c15:sqref>
                        </c15:formulaRef>
                      </c:ext>
                    </c:extLst>
                    <c:numCache>
                      <c:ptCount val="0"/>
                    </c:numCache>
                  </c:numRef>
                </c15:cat>
              </c15:filteredCategoryTitle>
            </c:ext>
          </c:extLst>
        </c:ser>
        <c:ser>
          <c:idx val="1"/>
          <c:order val="1"/>
          <c:tx>
            <c:strRef>
              <c:f>'Output Dashboard (option 1)'!$X$21</c:f>
              <c:strCache>
                <c:ptCount val="1"/>
                <c:pt idx="0">
                  <c:v>Equity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'Output Dashboard (option 1)'!$X$22:$X$24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'Output Dashboard (option 1)'!$V$22:$V$24</c15:sqref>
                        </c15:formulaRef>
                      </c:ext>
                    </c:extLst>
                    <c:numCache>
                      <c:ptCount val="0"/>
                    </c:numCache>
                  </c:numRef>
                </c15:cat>
              </c15:filteredCategory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2766304"/>
        <c:axId val="352766784"/>
      </c:barChart>
      <c:catAx>
        <c:axId val="352766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2766784"/>
        <c:crosses val="autoZero"/>
        <c:auto val="1"/>
        <c:lblAlgn val="ctr"/>
        <c:lblOffset val="100"/>
        <c:noMultiLvlLbl val="0"/>
      </c:catAx>
      <c:valAx>
        <c:axId val="35276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2766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1de86c2-cdaa-466f-868e-a0972385d48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'Output Dashboard (option 1)'!$AA$3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'Output Dashboard (option 1)'!$AA$4:$AA$14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'Output Dashboard (option 1)'!$Z$4:$Z$14</c15:sqref>
                        </c15:formulaRef>
                      </c:ext>
                    </c:extLst>
                    <c:numCache>
                      <c:ptCount val="0"/>
                    </c:numCache>
                  </c:numRef>
                </c15:cat>
              </c15:filteredCategory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5857344"/>
        <c:axId val="315856384"/>
      </c:barChart>
      <c:catAx>
        <c:axId val="315857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15856384"/>
        <c:crosses val="autoZero"/>
        <c:auto val="1"/>
        <c:lblAlgn val="ctr"/>
        <c:lblOffset val="100"/>
        <c:noMultiLvlLbl val="0"/>
      </c:catAx>
      <c:valAx>
        <c:axId val="31585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15857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9111872-e0d7-49c3-bbc1-61c5d5222d1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'Output Dashboard (option 1)'!$E$87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'Output Dashboard (option 1)'!$D$88:$D$91</c:f>
              <c:strCache>
                <c:ptCount val="4"/>
                <c:pt idx="0">
                  <c:v>Top 3 </c:v>
                </c:pt>
                <c:pt idx="1">
                  <c:v>Top5</c:v>
                </c:pt>
                <c:pt idx="2">
                  <c:v>Top 10</c:v>
                </c:pt>
                <c:pt idx="3">
                  <c:v>Top 20 </c:v>
                </c:pt>
              </c:strCache>
            </c:strRef>
          </c:cat>
          <c:val>
            <c:numRef>
              <c:f>'Output Dashboard (option 1)'!$E$88:$E$91</c:f>
              <c:numCache>
                <c:formatCode>0.00%</c:formatCode>
                <c:ptCount val="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28382655"/>
        <c:axId val="828386975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'Output Dashboard (option 1)'!$F$87</c15:sqref>
                        </c15:formulaRef>
                      </c:ext>
                    </c:extLst>
                    <c:strCache>
                      <c:ptCount val="1"/>
                      <c:pt idx="0">
                        <c:v/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'Output Dashboard (option 1)'!$D$88:$D$91</c15:sqref>
                        </c15:formulaRef>
                      </c:ext>
                    </c:extLst>
                    <c:strCache>
                      <c:ptCount val="4"/>
                      <c:pt idx="0">
                        <c:v>Top 3 </c:v>
                      </c:pt>
                      <c:pt idx="1">
                        <c:v>Top5</c:v>
                      </c:pt>
                      <c:pt idx="2">
                        <c:v>Top 10</c:v>
                      </c:pt>
                      <c:pt idx="3">
                        <c:v>Top 20 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'Output Dashboard (option 1)'!$F$88:$F$91</c15:sqref>
                        </c15:formulaRef>
                      </c:ext>
                    </c:extLst>
                    <c:numCache>
                      <c:formatCode>0.00%</c:formatCode>
                      <c:ptCount val="4"/>
                    </c:numCache>
                  </c:numRef>
                </c:val>
              </c15:ser>
            </c15:filteredBarSeries>
          </c:ext>
        </c:extLst>
      </c:barChart>
      <c:catAx>
        <c:axId val="8283826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8386975"/>
        <c:crosses val="autoZero"/>
        <c:auto val="1"/>
        <c:lblAlgn val="ctr"/>
        <c:lblOffset val="100"/>
        <c:noMultiLvlLbl val="0"/>
      </c:catAx>
      <c:valAx>
        <c:axId val="82838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8382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9641e99-3cfd-402d-af48-2f78b31dc8d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'Output Dashboard (option 1)'!$I$87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'Output Dashboard (option 1)'!$H$88:$H$98</c:f>
              <c:strCache>
                <c:ptCount val="11"/>
                <c:pt idx="0">
                  <c:v>Financial</c:v>
                </c:pt>
                <c:pt idx="1">
                  <c:v>Technology</c:v>
                </c:pt>
                <c:pt idx="2">
                  <c:v>Consumer Discretionary</c:v>
                </c:pt>
                <c:pt idx="3">
                  <c:v>Energy &amp; Utilities</c:v>
                </c:pt>
                <c:pt idx="4">
                  <c:v>Consumer Staples</c:v>
                </c:pt>
                <c:pt idx="5">
                  <c:v>Industrials</c:v>
                </c:pt>
                <c:pt idx="6">
                  <c:v>Materials</c:v>
                </c:pt>
                <c:pt idx="7">
                  <c:v>Healthcare</c:v>
                </c:pt>
                <c:pt idx="8">
                  <c:v>Real Estate</c:v>
                </c:pt>
                <c:pt idx="9">
                  <c:v>Diversified</c:v>
                </c:pt>
                <c:pt idx="10">
                  <c:v>Cash (Unclassified)</c:v>
                </c:pt>
              </c:strCache>
            </c:strRef>
          </c:cat>
          <c:val>
            <c:numRef>
              <c:f>'Output Dashboard (option 1)'!$I$88:$I$98</c:f>
              <c:numCache>
                <c:formatCode>0.00%</c:formatCode>
                <c:ptCount val="1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8432095"/>
        <c:axId val="828431135"/>
      </c:barChart>
      <c:catAx>
        <c:axId val="828432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8431135"/>
        <c:crosses val="autoZero"/>
        <c:auto val="1"/>
        <c:lblAlgn val="ctr"/>
        <c:lblOffset val="100"/>
        <c:noMultiLvlLbl val="0"/>
      </c:catAx>
      <c:valAx>
        <c:axId val="828431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8432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fa47ffb-4996-4cdf-85a1-9bed6a5cf82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'Output Dashboard (option 1)'!$M$87</c:f>
              <c:strCache>
                <c:ptCount val="1"/>
                <c:pt idx="0">
                  <c:v>Portfolio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'Output Dashboard (option 1)'!$L$88:$L$90</c:f>
              <c:strCache>
                <c:ptCount val="3"/>
                <c:pt idx="0">
                  <c:v>Large </c:v>
                </c:pt>
                <c:pt idx="1">
                  <c:v>Mid </c:v>
                </c:pt>
                <c:pt idx="2">
                  <c:v>Small </c:v>
                </c:pt>
              </c:strCache>
            </c:strRef>
          </c:cat>
          <c:val>
            <c:numRef>
              <c:f>'Output Dashboard (option 1)'!$M$88:$M$90</c:f>
              <c:numCache>
                <c:formatCode>0.00%</c:formatCode>
                <c:ptCount val="3"/>
                <c:pt idx="0">
                  <c:v>0.3589668</c:v>
                </c:pt>
                <c:pt idx="1">
                  <c:v>0.0795708</c:v>
                </c:pt>
                <c:pt idx="2">
                  <c:v>0.03272396</c:v>
                </c:pt>
              </c:numCache>
            </c:numRef>
          </c:val>
        </c:ser>
        <c:ser>
          <c:idx val="1"/>
          <c:order val="1"/>
          <c:tx>
            <c:strRef>
              <c:f>'Output Dashboard (option 1)'!$N$87</c:f>
              <c:strCache>
                <c:ptCount val="1"/>
                <c:pt idx="0">
                  <c:v>Equity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'Output Dashboard (option 1)'!$L$88:$L$90</c:f>
              <c:strCache>
                <c:ptCount val="3"/>
                <c:pt idx="0">
                  <c:v>Large </c:v>
                </c:pt>
                <c:pt idx="1">
                  <c:v>Mid </c:v>
                </c:pt>
                <c:pt idx="2">
                  <c:v>Small </c:v>
                </c:pt>
              </c:strCache>
            </c:strRef>
          </c:cat>
          <c:val>
            <c:numRef>
              <c:f>'Output Dashboard (option 1)'!$N$88:$N$90</c:f>
              <c:numCache>
                <c:formatCode>0.00%</c:formatCode>
                <c:ptCount val="3"/>
                <c:pt idx="0">
                  <c:v>0.761714577356999</c:v>
                </c:pt>
                <c:pt idx="1">
                  <c:v>0.168846362092423</c:v>
                </c:pt>
                <c:pt idx="2">
                  <c:v>0.0694390605505783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2709407"/>
        <c:axId val="462691647"/>
      </c:barChart>
      <c:catAx>
        <c:axId val="462709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2691647"/>
        <c:crosses val="autoZero"/>
        <c:auto val="1"/>
        <c:lblAlgn val="ctr"/>
        <c:lblOffset val="100"/>
        <c:noMultiLvlLbl val="0"/>
      </c:catAx>
      <c:valAx>
        <c:axId val="46269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2709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273fb4c-1f43-44ea-b9f4-8644abcaa6c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'Output Dashboard (option 1)'!$L$30</c:f>
              <c:strCache>
                <c:ptCount val="1"/>
                <c:pt idx="0">
                  <c:v>Equity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'Output Dashboard (option 1)'!$K$31:$K$38</c:f>
              <c:strCache>
                <c:ptCount val="8"/>
                <c:pt idx="0">
                  <c:v>CY 2025</c:v>
                </c:pt>
                <c:pt idx="1">
                  <c:v>2024</c:v>
                </c:pt>
                <c:pt idx="2">
                  <c:v>2023</c:v>
                </c:pt>
                <c:pt idx="3">
                  <c:v>2022</c:v>
                </c:pt>
                <c:pt idx="4">
                  <c:v>2021</c:v>
                </c:pt>
                <c:pt idx="5">
                  <c:v>2020</c:v>
                </c:pt>
                <c:pt idx="6">
                  <c:v>2019</c:v>
                </c:pt>
                <c:pt idx="7">
                  <c:v>2018</c:v>
                </c:pt>
              </c:strCache>
            </c:strRef>
          </c:cat>
          <c:val>
            <c:numRef>
              <c:f>'Output Dashboard (option 1)'!$L$31:$L$38</c:f>
              <c:numCache>
                <c:formatCode>0.00%</c:formatCode>
                <c:ptCount val="8"/>
                <c:pt idx="0">
                  <c:v>0.0203140680196934</c:v>
                </c:pt>
                <c:pt idx="1">
                  <c:v>0.258626241620342</c:v>
                </c:pt>
                <c:pt idx="2">
                  <c:v>0.347849558827031</c:v>
                </c:pt>
                <c:pt idx="3">
                  <c:v>0.112697169395463</c:v>
                </c:pt>
                <c:pt idx="4">
                  <c:v>0.419969090958717</c:v>
                </c:pt>
                <c:pt idx="5">
                  <c:v>0.109524557222032</c:v>
                </c:pt>
                <c:pt idx="6">
                  <c:v>0.106414710386183</c:v>
                </c:pt>
                <c:pt idx="7">
                  <c:v>-0.0541333071007977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'Output Dashboard (option 1)'!$M$30</c:f>
              <c:strCache>
                <c:ptCount val="1"/>
                <c:pt idx="0">
                  <c:v>Nifty 50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'Output Dashboard (option 1)'!$K$31:$K$38</c:f>
              <c:strCache>
                <c:ptCount val="8"/>
                <c:pt idx="0">
                  <c:v>CY 2025</c:v>
                </c:pt>
                <c:pt idx="1">
                  <c:v>2024</c:v>
                </c:pt>
                <c:pt idx="2">
                  <c:v>2023</c:v>
                </c:pt>
                <c:pt idx="3">
                  <c:v>2022</c:v>
                </c:pt>
                <c:pt idx="4">
                  <c:v>2021</c:v>
                </c:pt>
                <c:pt idx="5">
                  <c:v>2020</c:v>
                </c:pt>
                <c:pt idx="6">
                  <c:v>2019</c:v>
                </c:pt>
                <c:pt idx="7">
                  <c:v>2018</c:v>
                </c:pt>
              </c:strCache>
            </c:strRef>
          </c:cat>
          <c:val>
            <c:numRef>
              <c:f>'Output Dashboard (option 1)'!$M$31:$M$38</c:f>
              <c:numCache>
                <c:formatCode>0.00%</c:formatCode>
                <c:ptCount val="8"/>
                <c:pt idx="0">
                  <c:v>-0.005306</c:v>
                </c:pt>
                <c:pt idx="1">
                  <c:v>0.0880476902077809</c:v>
                </c:pt>
                <c:pt idx="2">
                  <c:v>0.200278393101744</c:v>
                </c:pt>
                <c:pt idx="3">
                  <c:v>0.0432896067488569</c:v>
                </c:pt>
                <c:pt idx="4">
                  <c:v>0.241192983710909</c:v>
                </c:pt>
                <c:pt idx="5">
                  <c:v>0.149016514017808</c:v>
                </c:pt>
                <c:pt idx="6">
                  <c:v>0.120220390239861</c:v>
                </c:pt>
                <c:pt idx="7">
                  <c:v>0.0315126249916908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85581551"/>
        <c:axId val="385604111"/>
      </c:lineChart>
      <c:catAx>
        <c:axId val="385581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5604111"/>
        <c:crosses val="autoZero"/>
        <c:auto val="1"/>
        <c:lblAlgn val="ctr"/>
        <c:lblOffset val="100"/>
        <c:noMultiLvlLbl val="0"/>
      </c:catAx>
      <c:valAx>
        <c:axId val="385604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5581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337c4ff-8907-4eff-b06d-6602e90c209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Market</a:t>
            </a:r>
            <a:r>
              <a:rPr lang="en-IN" b="1" baseline="0"/>
              <a:t> Cap Allocation</a:t>
            </a:r>
            <a:endParaRPr lang="en-IN" b="1" baseline="0"/>
          </a:p>
        </c:rich>
      </c:tx>
      <c:layout>
        <c:manualLayout>
          <c:xMode val="edge"/>
          <c:yMode val="edge"/>
          <c:x val="0.410072465190312"/>
          <c:y val="0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0281758843803015"/>
          <c:y val="0"/>
          <c:w val="0.996203852534517"/>
          <c:h val="1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'PPT Attributes'!$A$10</c:f>
              <c:strCache>
                <c:ptCount val="1"/>
                <c:pt idx="0">
                  <c:v>Large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'PPT Attributes'!$B$9</c:f>
              <c:strCache>
                <c:ptCount val="1"/>
                <c:pt idx="0">
                  <c:v>Equity</c:v>
                </c:pt>
              </c:strCache>
            </c:strRef>
          </c:cat>
          <c:val>
            <c:numRef>
              <c:f>'PPT Attributes'!$B$10</c:f>
              <c:numCache>
                <c:formatCode>0.00%</c:formatCode>
                <c:ptCount val="1"/>
                <c:pt idx="0">
                  <c:v>0.761714577356999</c:v>
                </c:pt>
              </c:numCache>
            </c:numRef>
          </c:val>
        </c:ser>
        <c:ser>
          <c:idx val="1"/>
          <c:order val="1"/>
          <c:tx>
            <c:strRef>
              <c:f>'PPT Attributes'!$A$11</c:f>
              <c:strCache>
                <c:ptCount val="1"/>
                <c:pt idx="0">
                  <c:v>Mid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'PPT Attributes'!$B$9</c:f>
              <c:strCache>
                <c:ptCount val="1"/>
                <c:pt idx="0">
                  <c:v>Equity</c:v>
                </c:pt>
              </c:strCache>
            </c:strRef>
          </c:cat>
          <c:val>
            <c:numRef>
              <c:f>'PPT Attributes'!$B$11</c:f>
              <c:numCache>
                <c:formatCode>0.00%</c:formatCode>
                <c:ptCount val="1"/>
                <c:pt idx="0">
                  <c:v>0.168846362092423</c:v>
                </c:pt>
              </c:numCache>
            </c:numRef>
          </c:val>
        </c:ser>
        <c:ser>
          <c:idx val="2"/>
          <c:order val="2"/>
          <c:tx>
            <c:strRef>
              <c:f>'PPT Attributes'!$A$12</c:f>
              <c:strCache>
                <c:ptCount val="1"/>
                <c:pt idx="0">
                  <c:v>Small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'PPT Attributes'!$B$9</c:f>
              <c:strCache>
                <c:ptCount val="1"/>
                <c:pt idx="0">
                  <c:v>Equity</c:v>
                </c:pt>
              </c:strCache>
            </c:strRef>
          </c:cat>
          <c:val>
            <c:numRef>
              <c:f>'PPT Attributes'!$B$12</c:f>
              <c:numCache>
                <c:formatCode>0.00%</c:formatCode>
                <c:ptCount val="1"/>
                <c:pt idx="0">
                  <c:v>0.0694390605505783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100"/>
        <c:axId val="1807058272"/>
        <c:axId val="1807057312"/>
      </c:barChart>
      <c:catAx>
        <c:axId val="180705827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07057312"/>
        <c:crosses val="autoZero"/>
        <c:auto val="1"/>
        <c:lblAlgn val="ctr"/>
        <c:lblOffset val="100"/>
        <c:noMultiLvlLbl val="0"/>
      </c:catAx>
      <c:valAx>
        <c:axId val="1807057312"/>
        <c:scaling>
          <c:orientation val="minMax"/>
        </c:scaling>
        <c:delete val="1"/>
        <c:axPos val="b"/>
        <c:numFmt formatCode="0%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07058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0d11c0f-02db-4749-8e86-2ea610c85482}"/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Sector</a:t>
            </a:r>
            <a:r>
              <a:rPr lang="en-IN" b="1" baseline="0"/>
              <a:t> Allocation</a:t>
            </a:r>
            <a:endParaRPr lang="en-IN" b="1" baseline="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358992988321843"/>
          <c:y val="0.0502797417989494"/>
          <c:w val="0.959254080926748"/>
          <c:h val="0.5909618834928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'PPT Attributes'!$B$32:$B$33</c:f>
              <c:strCache>
                <c:ptCount val="1"/>
                <c:pt idx="0">
                  <c:v>Equity Sector Exposure  Percentage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'PPT Attributes'!$A$34:$A$44</c:f>
              <c:strCache>
                <c:ptCount val="11"/>
                <c:pt idx="0">
                  <c:v>Financials</c:v>
                </c:pt>
                <c:pt idx="1">
                  <c:v>Consumer Discretionary</c:v>
                </c:pt>
                <c:pt idx="2">
                  <c:v>Industrials</c:v>
                </c:pt>
                <c:pt idx="3">
                  <c:v>Consumer Staples</c:v>
                </c:pt>
                <c:pt idx="4">
                  <c:v>Materials</c:v>
                </c:pt>
                <c:pt idx="5">
                  <c:v>Information Technology</c:v>
                </c:pt>
                <c:pt idx="6">
                  <c:v>Health Care</c:v>
                </c:pt>
                <c:pt idx="7">
                  <c:v>Energy</c:v>
                </c:pt>
                <c:pt idx="8">
                  <c:v>Utilities</c:v>
                </c:pt>
                <c:pt idx="9">
                  <c:v>Communication Services</c:v>
                </c:pt>
                <c:pt idx="10">
                  <c:v>Real Estate</c:v>
                </c:pt>
              </c:strCache>
            </c:strRef>
          </c:cat>
          <c:val>
            <c:numRef>
              <c:f>'PPT Attributes'!$B$34:$B$44</c:f>
              <c:numCache>
                <c:formatCode>0.00%</c:formatCode>
                <c:ptCount val="11"/>
                <c:pt idx="0">
                  <c:v>0.161723929269528</c:v>
                </c:pt>
                <c:pt idx="1">
                  <c:v>0.0917128022983108</c:v>
                </c:pt>
                <c:pt idx="2">
                  <c:v>0.0609091955193042</c:v>
                </c:pt>
                <c:pt idx="3">
                  <c:v>0.0485664291055112</c:v>
                </c:pt>
                <c:pt idx="4">
                  <c:v>0.037600354504689</c:v>
                </c:pt>
                <c:pt idx="5">
                  <c:v>0.032326160994751</c:v>
                </c:pt>
                <c:pt idx="6">
                  <c:v>0.0290195074934666</c:v>
                </c:pt>
                <c:pt idx="7">
                  <c:v>0.028543336616855</c:v>
                </c:pt>
                <c:pt idx="8">
                  <c:v>0.0244725796494573</c:v>
                </c:pt>
                <c:pt idx="9">
                  <c:v>0.00275888676852597</c:v>
                </c:pt>
                <c:pt idx="10">
                  <c:v>0.0008727043123762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15544799"/>
        <c:axId val="1115547199"/>
      </c:barChart>
      <c:catAx>
        <c:axId val="11155447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1115547199"/>
        <c:crosses val="autoZero"/>
        <c:auto val="1"/>
        <c:lblAlgn val="ctr"/>
        <c:lblOffset val="100"/>
        <c:noMultiLvlLbl val="0"/>
      </c:catAx>
      <c:valAx>
        <c:axId val="1115547199"/>
        <c:scaling>
          <c:orientation val="minMax"/>
        </c:scaling>
        <c:delete val="1"/>
        <c:axPos val="l"/>
        <c:numFmt formatCode="0.00%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15544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0c3471a-c5e4-44e2-9f67-d3cff40a4e86}"/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aseline="0"/>
              <a:t>Sector Concentration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'PPT Attributes'!$D$33:$D$35</c:f>
              <c:strCache>
                <c:ptCount val="3"/>
                <c:pt idx="0">
                  <c:v>Top 3 </c:v>
                </c:pt>
                <c:pt idx="1">
                  <c:v>Top 5</c:v>
                </c:pt>
                <c:pt idx="2">
                  <c:v>Top 11</c:v>
                </c:pt>
              </c:strCache>
            </c:strRef>
          </c:cat>
          <c:val>
            <c:numRef>
              <c:f>'PPT Attributes'!$E$33:$E$35</c:f>
              <c:numCache>
                <c:formatCode>0.0%</c:formatCode>
                <c:ptCount val="3"/>
                <c:pt idx="0">
                  <c:v>0.567069895180911</c:v>
                </c:pt>
                <c:pt idx="1">
                  <c:v>0.736408652583944</c:v>
                </c:pt>
                <c:pt idx="2">
                  <c:v>0.981593650819998</c:v>
                </c:pt>
              </c:numCache>
            </c:numRef>
          </c:val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'PPT Attributes'!$D$33:$D$35</c:f>
              <c:strCache>
                <c:ptCount val="3"/>
                <c:pt idx="0">
                  <c:v>Top 3 </c:v>
                </c:pt>
                <c:pt idx="1">
                  <c:v>Top 5</c:v>
                </c:pt>
                <c:pt idx="2">
                  <c:v>Top 11</c:v>
                </c:pt>
              </c:strCache>
            </c:strRef>
          </c:cat>
          <c:val>
            <c:numRef>
              <c:f>'PPT Attributes'!$F$33:$F$35</c:f>
              <c:numCache>
                <c:formatCode>0.0%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67834656"/>
        <c:axId val="1767835616"/>
      </c:barChart>
      <c:catAx>
        <c:axId val="176783465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1767835616"/>
        <c:crosses val="autoZero"/>
        <c:auto val="1"/>
        <c:lblAlgn val="ctr"/>
        <c:lblOffset val="100"/>
        <c:noMultiLvlLbl val="0"/>
      </c:catAx>
      <c:valAx>
        <c:axId val="1767835616"/>
        <c:scaling>
          <c:orientation val="minMax"/>
        </c:scaling>
        <c:delete val="1"/>
        <c:axPos val="b"/>
        <c:numFmt formatCode="0.0%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67834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bb340c1-bbc4-474c-b3d0-7e87849b5374}"/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400" b="1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Equity Stock Exposure  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359773586405351"/>
          <c:y val="0.0731047980697355"/>
          <c:w val="0.593396632066027"/>
          <c:h val="0.88949161895451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'PPT Attributes'!$B$77</c:f>
              <c:strCache>
                <c:ptCount val="1"/>
                <c:pt idx="0">
                  <c:v>Percentage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'PPT Attributes'!$A$78:$A$97</c:f>
              <c:strCache>
                <c:ptCount val="20"/>
                <c:pt idx="0">
                  <c:v>HDFC Bank Ltd</c:v>
                </c:pt>
                <c:pt idx="1">
                  <c:v>Reliance Industries Ltd</c:v>
                </c:pt>
                <c:pt idx="2">
                  <c:v>ICICI Bank Ltd</c:v>
                </c:pt>
                <c:pt idx="3">
                  <c:v>State Bank of India</c:v>
                </c:pt>
                <c:pt idx="4">
                  <c:v>Infosys Ltd</c:v>
                </c:pt>
                <c:pt idx="5">
                  <c:v>HDFC Asset Management Co Ltd</c:v>
                </c:pt>
                <c:pt idx="6">
                  <c:v>Kotak Mahindra Bank Ltd</c:v>
                </c:pt>
                <c:pt idx="7">
                  <c:v>Tech Mahindra Ltd</c:v>
                </c:pt>
                <c:pt idx="8">
                  <c:v>Larsen &amp; Toubro Ltd</c:v>
                </c:pt>
                <c:pt idx="9">
                  <c:v>Axis Bank Ltd</c:v>
                </c:pt>
                <c:pt idx="10">
                  <c:v>Tata Steel Ltd</c:v>
                </c:pt>
                <c:pt idx="11">
                  <c:v>Info Edge India Ltd</c:v>
                </c:pt>
                <c:pt idx="12">
                  <c:v>NTPC Ltd</c:v>
                </c:pt>
                <c:pt idx="13">
                  <c:v>United Spirits Ltd</c:v>
                </c:pt>
                <c:pt idx="14">
                  <c:v>Jubilant Foodworks Ltd</c:v>
                </c:pt>
                <c:pt idx="15">
                  <c:v>ABB India Ltd</c:v>
                </c:pt>
                <c:pt idx="16">
                  <c:v>Tata Consumer Products Ltd</c:v>
                </c:pt>
                <c:pt idx="17">
                  <c:v>Bajaj Finance Ltd</c:v>
                </c:pt>
                <c:pt idx="18">
                  <c:v>Federal Bank Ltd</c:v>
                </c:pt>
                <c:pt idx="19">
                  <c:v>ITC Ltd</c:v>
                </c:pt>
              </c:strCache>
            </c:strRef>
          </c:cat>
          <c:val>
            <c:numRef>
              <c:f>'PPT Attributes'!$B$78:$B$97</c:f>
              <c:numCache>
                <c:formatCode>0.00%</c:formatCode>
                <c:ptCount val="20"/>
                <c:pt idx="0">
                  <c:v>0.093156791150946</c:v>
                </c:pt>
                <c:pt idx="1">
                  <c:v>0.0581249503598166</c:v>
                </c:pt>
                <c:pt idx="2">
                  <c:v>0.056603919305279</c:v>
                </c:pt>
                <c:pt idx="3">
                  <c:v>0.0467224913218753</c:v>
                </c:pt>
                <c:pt idx="4">
                  <c:v>0.0312111670241314</c:v>
                </c:pt>
                <c:pt idx="5">
                  <c:v>0.0301061403543155</c:v>
                </c:pt>
                <c:pt idx="6">
                  <c:v>0.0279288409946347</c:v>
                </c:pt>
                <c:pt idx="7">
                  <c:v>0.0271098526722582</c:v>
                </c:pt>
                <c:pt idx="8">
                  <c:v>0.0246916417168476</c:v>
                </c:pt>
                <c:pt idx="9">
                  <c:v>0.0190767087730417</c:v>
                </c:pt>
                <c:pt idx="10">
                  <c:v>0.0183305197674064</c:v>
                </c:pt>
                <c:pt idx="11">
                  <c:v>0.0179549388479747</c:v>
                </c:pt>
                <c:pt idx="12">
                  <c:v>0.0177444345778064</c:v>
                </c:pt>
                <c:pt idx="13">
                  <c:v>0.0170316732964789</c:v>
                </c:pt>
                <c:pt idx="14">
                  <c:v>0.0157254678614764</c:v>
                </c:pt>
                <c:pt idx="15">
                  <c:v>0.0144128944357297</c:v>
                </c:pt>
                <c:pt idx="16">
                  <c:v>0.0143254438371717</c:v>
                </c:pt>
                <c:pt idx="17">
                  <c:v>0.0139151003705381</c:v>
                </c:pt>
                <c:pt idx="18">
                  <c:v>0.013879644408706</c:v>
                </c:pt>
                <c:pt idx="19">
                  <c:v>0.0137308896511312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"/>
        <c:axId val="1770400000"/>
        <c:axId val="1770400960"/>
      </c:barChart>
      <c:catAx>
        <c:axId val="177040000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75" b="0" i="0" u="none" strike="noStrike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1770400960"/>
        <c:crosses val="autoZero"/>
        <c:auto val="1"/>
        <c:lblAlgn val="ctr"/>
        <c:lblOffset val="100"/>
        <c:noMultiLvlLbl val="0"/>
      </c:catAx>
      <c:valAx>
        <c:axId val="1770400960"/>
        <c:scaling>
          <c:orientation val="minMax"/>
        </c:scaling>
        <c:delete val="1"/>
        <c:axPos val="t"/>
        <c:numFmt formatCode="0.00%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70400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c571c9c-84be-4d1d-b0e1-a60b9f5809d9}"/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Position</a:t>
            </a:r>
            <a:r>
              <a:rPr lang="en-IN" baseline="0"/>
              <a:t> Concentration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24557217847769"/>
          <c:y val="0.102817535565542"/>
          <c:w val="0.793967454068241"/>
          <c:h val="0.810781174043246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'PPT Attributes'!$D$77:$D$80</c:f>
              <c:strCache>
                <c:ptCount val="4"/>
                <c:pt idx="0">
                  <c:v>Top 3 </c:v>
                </c:pt>
                <c:pt idx="1">
                  <c:v>Top 5</c:v>
                </c:pt>
                <c:pt idx="2">
                  <c:v>Top 10</c:v>
                </c:pt>
                <c:pt idx="3">
                  <c:v>Top 20 </c:v>
                </c:pt>
              </c:strCache>
            </c:strRef>
          </c:cat>
          <c:val>
            <c:numRef>
              <c:f>'PPT Attributes'!$E$77:$E$80</c:f>
              <c:numCache>
                <c:formatCode>0.00%</c:formatCode>
                <c:ptCount val="4"/>
                <c:pt idx="0">
                  <c:v>0.207885660816042</c:v>
                </c:pt>
                <c:pt idx="1">
                  <c:v>0.285819319162048</c:v>
                </c:pt>
                <c:pt idx="2">
                  <c:v>0.414732503673146</c:v>
                </c:pt>
                <c:pt idx="3">
                  <c:v>0.571783510727566</c:v>
                </c:pt>
              </c:numCache>
            </c:numRef>
          </c:val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'PPT Attributes'!$D$77:$D$80</c:f>
              <c:strCache>
                <c:ptCount val="4"/>
                <c:pt idx="0">
                  <c:v>Top 3 </c:v>
                </c:pt>
                <c:pt idx="1">
                  <c:v>Top 5</c:v>
                </c:pt>
                <c:pt idx="2">
                  <c:v>Top 10</c:v>
                </c:pt>
                <c:pt idx="3">
                  <c:v>Top 20 </c:v>
                </c:pt>
              </c:strCache>
            </c:strRef>
          </c:cat>
          <c:val>
            <c:numRef>
              <c:f>'PPT Attributes'!$F$77:$F$80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62604767"/>
        <c:axId val="462596607"/>
      </c:barChart>
      <c:catAx>
        <c:axId val="46260476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62596607"/>
        <c:crosses val="autoZero"/>
        <c:auto val="1"/>
        <c:lblAlgn val="ctr"/>
        <c:lblOffset val="100"/>
        <c:noMultiLvlLbl val="0"/>
      </c:catAx>
      <c:valAx>
        <c:axId val="462596607"/>
        <c:scaling>
          <c:orientation val="minMax"/>
        </c:scaling>
        <c:delete val="1"/>
        <c:axPos val="b"/>
        <c:numFmt formatCode="0.00%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2604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694d2d4-0885-40c6-a04c-ac60e684b36a}"/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Back</a:t>
            </a:r>
            <a:r>
              <a:rPr lang="en-IN" baseline="0"/>
              <a:t> Tested Returns 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'PPT Attributes'!$B$100</c:f>
              <c:strCache>
                <c:ptCount val="1"/>
                <c:pt idx="0">
                  <c:v>Equity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'PPT Attributes'!$A$101:$A$108</c:f>
              <c:strCache>
                <c:ptCount val="8"/>
                <c:pt idx="0">
                  <c:v>CY 2025</c:v>
                </c:pt>
                <c:pt idx="1">
                  <c:v>2024</c:v>
                </c:pt>
                <c:pt idx="2">
                  <c:v>2023</c:v>
                </c:pt>
                <c:pt idx="3">
                  <c:v>2022</c:v>
                </c:pt>
                <c:pt idx="4">
                  <c:v>2021</c:v>
                </c:pt>
                <c:pt idx="5">
                  <c:v>2020</c:v>
                </c:pt>
                <c:pt idx="6">
                  <c:v>2019</c:v>
                </c:pt>
                <c:pt idx="7">
                  <c:v>2018</c:v>
                </c:pt>
              </c:strCache>
            </c:strRef>
          </c:cat>
          <c:val>
            <c:numRef>
              <c:f>'PPT Attributes'!$B$101:$B$108</c:f>
              <c:numCache>
                <c:formatCode>0.0%</c:formatCode>
                <c:ptCount val="8"/>
                <c:pt idx="0">
                  <c:v>0.0169283900164112</c:v>
                </c:pt>
                <c:pt idx="1">
                  <c:v>0.215521868016952</c:v>
                </c:pt>
                <c:pt idx="2">
                  <c:v>0.289874632355859</c:v>
                </c:pt>
                <c:pt idx="3">
                  <c:v>0.0939143078295527</c:v>
                </c:pt>
                <c:pt idx="4">
                  <c:v>0.349974242465597</c:v>
                </c:pt>
                <c:pt idx="5">
                  <c:v>0.0912704643516934</c:v>
                </c:pt>
                <c:pt idx="6">
                  <c:v>0.0886789253218191</c:v>
                </c:pt>
                <c:pt idx="7">
                  <c:v>-0.0451110892506647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'PPT Attributes'!$C$100</c:f>
              <c:strCache>
                <c:ptCount val="1"/>
                <c:pt idx="0">
                  <c:v>Nifty 50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'PPT Attributes'!$A$101:$A$108</c:f>
              <c:strCache>
                <c:ptCount val="8"/>
                <c:pt idx="0">
                  <c:v>CY 2025</c:v>
                </c:pt>
                <c:pt idx="1">
                  <c:v>2024</c:v>
                </c:pt>
                <c:pt idx="2">
                  <c:v>2023</c:v>
                </c:pt>
                <c:pt idx="3">
                  <c:v>2022</c:v>
                </c:pt>
                <c:pt idx="4">
                  <c:v>2021</c:v>
                </c:pt>
                <c:pt idx="5">
                  <c:v>2020</c:v>
                </c:pt>
                <c:pt idx="6">
                  <c:v>2019</c:v>
                </c:pt>
                <c:pt idx="7">
                  <c:v>2018</c:v>
                </c:pt>
              </c:strCache>
            </c:strRef>
          </c:cat>
          <c:val>
            <c:numRef>
              <c:f>'PPT Attributes'!$C$101:$C$108</c:f>
              <c:numCache>
                <c:formatCode>0.0%</c:formatCode>
                <c:ptCount val="8"/>
                <c:pt idx="0">
                  <c:v>0.047518</c:v>
                </c:pt>
                <c:pt idx="1">
                  <c:v>0.0880476902077809</c:v>
                </c:pt>
                <c:pt idx="2">
                  <c:v>0.200278393101744</c:v>
                </c:pt>
                <c:pt idx="3">
                  <c:v>0.0432896067488569</c:v>
                </c:pt>
                <c:pt idx="4">
                  <c:v>0.241192983710909</c:v>
                </c:pt>
                <c:pt idx="5">
                  <c:v>0.149016514017808</c:v>
                </c:pt>
                <c:pt idx="6">
                  <c:v>0.120220390239861</c:v>
                </c:pt>
                <c:pt idx="7">
                  <c:v>0.0315126249916908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'PPT Attributes'!$D$100</c:f>
              <c:strCache>
                <c:ptCount val="1"/>
                <c:pt idx="0">
                  <c:v>S&amp;P BSE 500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'PPT Attributes'!$A$101:$A$108</c:f>
              <c:strCache>
                <c:ptCount val="8"/>
                <c:pt idx="0">
                  <c:v>CY 2025</c:v>
                </c:pt>
                <c:pt idx="1">
                  <c:v>2024</c:v>
                </c:pt>
                <c:pt idx="2">
                  <c:v>2023</c:v>
                </c:pt>
                <c:pt idx="3">
                  <c:v>2022</c:v>
                </c:pt>
                <c:pt idx="4">
                  <c:v>2021</c:v>
                </c:pt>
                <c:pt idx="5">
                  <c:v>2020</c:v>
                </c:pt>
                <c:pt idx="6">
                  <c:v>2019</c:v>
                </c:pt>
                <c:pt idx="7">
                  <c:v>2018</c:v>
                </c:pt>
              </c:strCache>
            </c:strRef>
          </c:cat>
          <c:val>
            <c:numRef>
              <c:f>'PPT Attributes'!$D$101:$D$108</c:f>
              <c:numCache>
                <c:formatCode>0.0%</c:formatCode>
                <c:ptCount val="8"/>
                <c:pt idx="0">
                  <c:v>0.022527</c:v>
                </c:pt>
                <c:pt idx="1">
                  <c:v>0.145465796535709</c:v>
                </c:pt>
                <c:pt idx="2">
                  <c:v>0.248498523517645</c:v>
                </c:pt>
                <c:pt idx="3">
                  <c:v>0.0333786905211876</c:v>
                </c:pt>
                <c:pt idx="4">
                  <c:v>0.301140430926607</c:v>
                </c:pt>
                <c:pt idx="5">
                  <c:v>0.168033833223551</c:v>
                </c:pt>
                <c:pt idx="6">
                  <c:v>0.077511676096721</c:v>
                </c:pt>
                <c:pt idx="7">
                  <c:v>-0.0308170579621176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2484895"/>
        <c:axId val="1882470015"/>
      </c:lineChart>
      <c:catAx>
        <c:axId val="1882484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82470015"/>
        <c:crosses val="autoZero"/>
        <c:auto val="1"/>
        <c:lblAlgn val="ctr"/>
        <c:lblOffset val="100"/>
        <c:noMultiLvlLbl val="0"/>
      </c:catAx>
      <c:valAx>
        <c:axId val="1882470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82484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d0d24c8-8978-4005-8a51-9d5037835ca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CAGR</a:t>
            </a:r>
            <a:r>
              <a:rPr lang="en-IN" baseline="0"/>
              <a:t> Returns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'PPT Attributes'!$B$111</c:f>
              <c:strCache>
                <c:ptCount val="1"/>
                <c:pt idx="0">
                  <c:v>Equity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'PPT Attributes'!$A$112:$A$118</c:f>
              <c:strCache>
                <c:ptCount val="7"/>
                <c:pt idx="0">
                  <c:v>1 M</c:v>
                </c:pt>
                <c:pt idx="1">
                  <c:v>3 M</c:v>
                </c:pt>
                <c:pt idx="2">
                  <c:v>6 M</c:v>
                </c:pt>
                <c:pt idx="3">
                  <c:v>1 Y</c:v>
                </c:pt>
                <c:pt idx="4">
                  <c:v>3 Y</c:v>
                </c:pt>
                <c:pt idx="5">
                  <c:v>5 Y</c:v>
                </c:pt>
                <c:pt idx="6">
                  <c:v>10 Y</c:v>
                </c:pt>
              </c:strCache>
            </c:strRef>
          </c:cat>
          <c:val>
            <c:numRef>
              <c:f>'PPT Attributes'!$B$112:$B$118</c:f>
              <c:numCache>
                <c:formatCode>0.0%</c:formatCode>
                <c:ptCount val="7"/>
                <c:pt idx="0">
                  <c:v>-0.0244159166666667</c:v>
                </c:pt>
                <c:pt idx="1">
                  <c:v>0.0353251876233334</c:v>
                </c:pt>
                <c:pt idx="2">
                  <c:v>0.0599328739582837</c:v>
                </c:pt>
                <c:pt idx="3">
                  <c:v>-0.00621968185143298</c:v>
                </c:pt>
                <c:pt idx="4">
                  <c:v>0.191902105226011</c:v>
                </c:pt>
                <c:pt idx="5">
                  <c:v>0.251830832730093</c:v>
                </c:pt>
                <c:pt idx="6">
                  <c:v>0.0812585</c:v>
                </c:pt>
              </c:numCache>
            </c:numRef>
          </c:val>
        </c:ser>
        <c:ser>
          <c:idx val="1"/>
          <c:order val="1"/>
          <c:tx>
            <c:strRef>
              <c:f>'PPT Attributes'!$C$111</c:f>
              <c:strCache>
                <c:ptCount val="1"/>
                <c:pt idx="0">
                  <c:v>Nifty 50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'PPT Attributes'!$A$112:$A$118</c:f>
              <c:strCache>
                <c:ptCount val="7"/>
                <c:pt idx="0">
                  <c:v>1 M</c:v>
                </c:pt>
                <c:pt idx="1">
                  <c:v>3 M</c:v>
                </c:pt>
                <c:pt idx="2">
                  <c:v>6 M</c:v>
                </c:pt>
                <c:pt idx="3">
                  <c:v>1 Y</c:v>
                </c:pt>
                <c:pt idx="4">
                  <c:v>3 Y</c:v>
                </c:pt>
                <c:pt idx="5">
                  <c:v>5 Y</c:v>
                </c:pt>
                <c:pt idx="6">
                  <c:v>10 Y</c:v>
                </c:pt>
              </c:strCache>
            </c:strRef>
          </c:cat>
          <c:val>
            <c:numRef>
              <c:f>'PPT Attributes'!$C$112:$C$118</c:f>
              <c:numCache>
                <c:formatCode>0.0%</c:formatCode>
                <c:ptCount val="7"/>
                <c:pt idx="0">
                  <c:v>-0.029341</c:v>
                </c:pt>
                <c:pt idx="1">
                  <c:v>0.017841</c:v>
                </c:pt>
                <c:pt idx="2">
                  <c:v>0.053596</c:v>
                </c:pt>
                <c:pt idx="3">
                  <c:v>-0.007326</c:v>
                </c:pt>
                <c:pt idx="4">
                  <c:v>0.129786</c:v>
                </c:pt>
                <c:pt idx="5">
                  <c:v>0.174585</c:v>
                </c:pt>
                <c:pt idx="6">
                  <c:v>0.112352</c:v>
                </c:pt>
              </c:numCache>
            </c:numRef>
          </c:val>
        </c:ser>
        <c:ser>
          <c:idx val="2"/>
          <c:order val="2"/>
          <c:tx>
            <c:strRef>
              <c:f>'PPT Attributes'!$D$111</c:f>
              <c:strCache>
                <c:ptCount val="1"/>
                <c:pt idx="0">
                  <c:v>S&amp;P BSE 500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'PPT Attributes'!$A$112:$A$118</c:f>
              <c:strCache>
                <c:ptCount val="7"/>
                <c:pt idx="0">
                  <c:v>1 M</c:v>
                </c:pt>
                <c:pt idx="1">
                  <c:v>3 M</c:v>
                </c:pt>
                <c:pt idx="2">
                  <c:v>6 M</c:v>
                </c:pt>
                <c:pt idx="3">
                  <c:v>1 Y</c:v>
                </c:pt>
                <c:pt idx="4">
                  <c:v>3 Y</c:v>
                </c:pt>
                <c:pt idx="5">
                  <c:v>5 Y</c:v>
                </c:pt>
                <c:pt idx="6">
                  <c:v>10 Y</c:v>
                </c:pt>
              </c:strCache>
            </c:strRef>
          </c:cat>
          <c:val>
            <c:numRef>
              <c:f>'PPT Attributes'!$D$112:$D$118</c:f>
              <c:numCache>
                <c:formatCode>0.0%</c:formatCode>
                <c:ptCount val="7"/>
                <c:pt idx="0">
                  <c:v>-0.028654</c:v>
                </c:pt>
                <c:pt idx="1">
                  <c:v>0.038723</c:v>
                </c:pt>
                <c:pt idx="2">
                  <c:v>0.05945</c:v>
                </c:pt>
                <c:pt idx="3">
                  <c:v>-0.032041</c:v>
                </c:pt>
                <c:pt idx="4">
                  <c:v>0.154431</c:v>
                </c:pt>
                <c:pt idx="5">
                  <c:v>0.201781</c:v>
                </c:pt>
                <c:pt idx="6">
                  <c:v>0.123351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031631"/>
        <c:axId val="105046511"/>
      </c:barChart>
      <c:catAx>
        <c:axId val="105031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5046511"/>
        <c:crosses val="autoZero"/>
        <c:auto val="1"/>
        <c:lblAlgn val="ctr"/>
        <c:lblOffset val="100"/>
        <c:noMultiLvlLbl val="0"/>
      </c:catAx>
      <c:valAx>
        <c:axId val="105046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5031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1488195-53ff-4371-af24-264e3df96c6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'Output Dashboard '!$B$44</c:f>
              <c:strCache>
                <c:ptCount val="1"/>
                <c:pt idx="0">
                  <c:v>Equity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0110484538373666"/>
                  <c:y val="0.066887756213378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0365774542775336"/>
                  <c:y val="-0.17747246364184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-0.0723366647094076"/>
                  <c:y val="-0.13136676178236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-0.0102193139100589"/>
                  <c:y val="0.016171484167955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-0.0870972233151934"/>
                  <c:y val="-0.04376592824936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'Output Dashboard '!$A$45:$A$52</c:f>
              <c:strCache>
                <c:ptCount val="8"/>
                <c:pt idx="0">
                  <c:v>CY 2025</c:v>
                </c:pt>
                <c:pt idx="1">
                  <c:v>2024</c:v>
                </c:pt>
                <c:pt idx="2">
                  <c:v>2023</c:v>
                </c:pt>
                <c:pt idx="3">
                  <c:v>2022</c:v>
                </c:pt>
                <c:pt idx="4">
                  <c:v>2021</c:v>
                </c:pt>
                <c:pt idx="5">
                  <c:v>2020</c:v>
                </c:pt>
                <c:pt idx="6">
                  <c:v>2019</c:v>
                </c:pt>
                <c:pt idx="7">
                  <c:v>2018</c:v>
                </c:pt>
              </c:strCache>
            </c:strRef>
          </c:cat>
          <c:val>
            <c:numRef>
              <c:f>'Output Dashboard '!$B$45:$B$52</c:f>
              <c:numCache>
                <c:formatCode>0.0%</c:formatCode>
                <c:ptCount val="8"/>
                <c:pt idx="0">
                  <c:v>0.0169283900164112</c:v>
                </c:pt>
                <c:pt idx="1">
                  <c:v>0.215521868016952</c:v>
                </c:pt>
                <c:pt idx="2">
                  <c:v>0.289874632355859</c:v>
                </c:pt>
                <c:pt idx="3">
                  <c:v>0.0939143078295527</c:v>
                </c:pt>
                <c:pt idx="4">
                  <c:v>0.349974242465597</c:v>
                </c:pt>
                <c:pt idx="5">
                  <c:v>0.0912704643516934</c:v>
                </c:pt>
                <c:pt idx="6">
                  <c:v>0.0886789253218191</c:v>
                </c:pt>
                <c:pt idx="7">
                  <c:v>-0.0451110892506647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'Output Dashboard '!$C$44</c:f>
              <c:strCache>
                <c:ptCount val="1"/>
                <c:pt idx="0">
                  <c:v>Nifty 50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2"/>
              <c:layout>
                <c:manualLayout>
                  <c:x val="-0.0415855009473538"/>
                  <c:y val="0.117604028258802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en-GB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0677952470600037"/>
                      <c:h val="0.073700145940883"/>
                    </c:manualLayout>
                  </c15:layout>
                </c:ext>
              </c:extLst>
            </c:dLbl>
            <c:dLbl>
              <c:idx val="3"/>
              <c:delete val="1"/>
            </c:dLbl>
            <c:dLbl>
              <c:idx val="5"/>
              <c:layout>
                <c:manualLayout>
                  <c:x val="-0.00424480209343135"/>
                  <c:y val="0.085330036957168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-0.0717216414341665"/>
                  <c:y val="-0.12675619159641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'Output Dashboard '!$A$45:$A$52</c:f>
              <c:strCache>
                <c:ptCount val="8"/>
                <c:pt idx="0">
                  <c:v>CY 2025</c:v>
                </c:pt>
                <c:pt idx="1">
                  <c:v>2024</c:v>
                </c:pt>
                <c:pt idx="2">
                  <c:v>2023</c:v>
                </c:pt>
                <c:pt idx="3">
                  <c:v>2022</c:v>
                </c:pt>
                <c:pt idx="4">
                  <c:v>2021</c:v>
                </c:pt>
                <c:pt idx="5">
                  <c:v>2020</c:v>
                </c:pt>
                <c:pt idx="6">
                  <c:v>2019</c:v>
                </c:pt>
                <c:pt idx="7">
                  <c:v>2018</c:v>
                </c:pt>
              </c:strCache>
            </c:strRef>
          </c:cat>
          <c:val>
            <c:numRef>
              <c:f>'Output Dashboard '!$C$45:$C$52</c:f>
              <c:numCache>
                <c:formatCode>0.0%</c:formatCode>
                <c:ptCount val="8"/>
                <c:pt idx="0">
                  <c:v>0.047518</c:v>
                </c:pt>
                <c:pt idx="1">
                  <c:v>0.0880476902077809</c:v>
                </c:pt>
                <c:pt idx="2">
                  <c:v>0.200278393101744</c:v>
                </c:pt>
                <c:pt idx="3">
                  <c:v>0.0432896067488569</c:v>
                </c:pt>
                <c:pt idx="4">
                  <c:v>0.241192983710909</c:v>
                </c:pt>
                <c:pt idx="5">
                  <c:v>0.149016514017808</c:v>
                </c:pt>
                <c:pt idx="6">
                  <c:v>0.120220390239861</c:v>
                </c:pt>
                <c:pt idx="7">
                  <c:v>0.0315126249916908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28399935"/>
        <c:axId val="828403775"/>
      </c:lineChart>
      <c:catAx>
        <c:axId val="828399935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8403775"/>
        <c:crossesAt val="0"/>
        <c:auto val="1"/>
        <c:lblAlgn val="ctr"/>
        <c:lblOffset val="100"/>
        <c:noMultiLvlLbl val="0"/>
      </c:catAx>
      <c:valAx>
        <c:axId val="828403775"/>
        <c:scaling>
          <c:orientation val="minMax"/>
        </c:scaling>
        <c:delete val="0"/>
        <c:axPos val="r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8399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e22786b-446b-42c9-9008-6d716b69a53a}"/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557217847769"/>
          <c:y val="0.102817535565542"/>
          <c:w val="0.793967454068241"/>
          <c:h val="0.81078117404324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'Output Dashboard '!$Q$45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en-GB"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44749906758506"/>
                      <c:h val="0.11770243073981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'Output Dashboard '!$P$46:$P$49</c:f>
              <c:strCache>
                <c:ptCount val="4"/>
                <c:pt idx="0">
                  <c:v>Top 3 </c:v>
                </c:pt>
                <c:pt idx="1">
                  <c:v>Top 5</c:v>
                </c:pt>
                <c:pt idx="2">
                  <c:v>Top 10</c:v>
                </c:pt>
                <c:pt idx="3">
                  <c:v>Top 20 </c:v>
                </c:pt>
              </c:strCache>
            </c:strRef>
          </c:cat>
          <c:val>
            <c:numRef>
              <c:f>'Output Dashboard '!$Q$46:$Q$49</c:f>
              <c:numCache>
                <c:formatCode>0.00%</c:formatCode>
                <c:ptCount val="4"/>
                <c:pt idx="0">
                  <c:v>0.207885660816042</c:v>
                </c:pt>
                <c:pt idx="1">
                  <c:v>0.285819319162048</c:v>
                </c:pt>
                <c:pt idx="2">
                  <c:v>0.414732503673146</c:v>
                </c:pt>
                <c:pt idx="3">
                  <c:v>0.571783510727566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62604767"/>
        <c:axId val="462596607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'Output Dashboard '!$R$45</c15:sqref>
                        </c15:formulaRef>
                      </c:ext>
                    </c:extLst>
                    <c:strCache>
                      <c:ptCount val="1"/>
                      <c:pt idx="0">
                        <c:v/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GB"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'Output Dashboard '!$P$46:$P$49</c15:sqref>
                        </c15:formulaRef>
                      </c:ext>
                    </c:extLst>
                    <c:strCache>
                      <c:ptCount val="4"/>
                      <c:pt idx="0">
                        <c:v>Top 3 </c:v>
                      </c:pt>
                      <c:pt idx="1">
                        <c:v>Top 5</c:v>
                      </c:pt>
                      <c:pt idx="2">
                        <c:v>Top 10</c:v>
                      </c:pt>
                      <c:pt idx="3">
                        <c:v>Top 20 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'Output Dashboard '!$R$46:$R$49</c15:sqref>
                        </c15:formulaRef>
                      </c:ext>
                    </c:extLst>
                    <c:numCache>
                      <c:formatCode>0.00%</c:formatCode>
                      <c:ptCount val="4"/>
                    </c:numCache>
                  </c:numRef>
                </c:val>
              </c15:ser>
            </c15:filteredBarSeries>
          </c:ext>
        </c:extLst>
      </c:barChart>
      <c:catAx>
        <c:axId val="4626047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62596607"/>
        <c:crosses val="autoZero"/>
        <c:auto val="1"/>
        <c:lblAlgn val="ctr"/>
        <c:lblOffset val="100"/>
        <c:noMultiLvlLbl val="0"/>
      </c:catAx>
      <c:valAx>
        <c:axId val="462596607"/>
        <c:scaling>
          <c:orientation val="minMax"/>
        </c:scaling>
        <c:delete val="1"/>
        <c:axPos val="b"/>
        <c:numFmt formatCode="0.00%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2604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ba2e022-da32-4edc-978d-bb42bb9d2b3a}"/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Market</a:t>
            </a:r>
            <a:r>
              <a:rPr lang="en-IN" b="1" baseline="0"/>
              <a:t> Cap Allocation</a:t>
            </a:r>
            <a:endParaRPr lang="en-IN" b="1" baseline="0"/>
          </a:p>
        </c:rich>
      </c:tx>
      <c:layout>
        <c:manualLayout>
          <c:xMode val="edge"/>
          <c:yMode val="edge"/>
          <c:x val="0.410072465190312"/>
          <c:y val="0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0281758843803015"/>
          <c:y val="0"/>
          <c:w val="0.996203852534517"/>
          <c:h val="1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'Output Dashboard '!$X$46</c:f>
              <c:strCache>
                <c:ptCount val="1"/>
                <c:pt idx="0">
                  <c:v>Large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'Output Dashboard '!$Z$45</c:f>
              <c:strCache>
                <c:ptCount val="1"/>
                <c:pt idx="0">
                  <c:v>Equity</c:v>
                </c:pt>
              </c:strCache>
            </c:strRef>
          </c:cat>
          <c:val>
            <c:numRef>
              <c:f>'Output Dashboard '!$Z$46</c:f>
              <c:numCache>
                <c:formatCode>0.00%</c:formatCode>
                <c:ptCount val="1"/>
                <c:pt idx="0">
                  <c:v>0.761714577356999</c:v>
                </c:pt>
              </c:numCache>
            </c:numRef>
          </c:val>
        </c:ser>
        <c:ser>
          <c:idx val="1"/>
          <c:order val="1"/>
          <c:tx>
            <c:strRef>
              <c:f>'Output Dashboard '!$X$47</c:f>
              <c:strCache>
                <c:ptCount val="1"/>
                <c:pt idx="0">
                  <c:v>Mid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'Output Dashboard '!$Z$45</c:f>
              <c:strCache>
                <c:ptCount val="1"/>
                <c:pt idx="0">
                  <c:v>Equity</c:v>
                </c:pt>
              </c:strCache>
            </c:strRef>
          </c:cat>
          <c:val>
            <c:numRef>
              <c:f>'Output Dashboard '!$Z$47</c:f>
              <c:numCache>
                <c:formatCode>0.00%</c:formatCode>
                <c:ptCount val="1"/>
                <c:pt idx="0">
                  <c:v>0.168846362092423</c:v>
                </c:pt>
              </c:numCache>
            </c:numRef>
          </c:val>
        </c:ser>
        <c:ser>
          <c:idx val="2"/>
          <c:order val="2"/>
          <c:tx>
            <c:strRef>
              <c:f>'Output Dashboard '!$X$48</c:f>
              <c:strCache>
                <c:ptCount val="1"/>
                <c:pt idx="0">
                  <c:v>Small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'Output Dashboard '!$Z$45</c:f>
              <c:strCache>
                <c:ptCount val="1"/>
                <c:pt idx="0">
                  <c:v>Equity</c:v>
                </c:pt>
              </c:strCache>
            </c:strRef>
          </c:cat>
          <c:val>
            <c:numRef>
              <c:f>'Output Dashboard '!$Z$48</c:f>
              <c:numCache>
                <c:formatCode>0.00%</c:formatCode>
                <c:ptCount val="1"/>
                <c:pt idx="0">
                  <c:v>0.0694390605505783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807058272"/>
        <c:axId val="1807057312"/>
      </c:barChart>
      <c:catAx>
        <c:axId val="180705827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07057312"/>
        <c:crosses val="autoZero"/>
        <c:auto val="1"/>
        <c:lblAlgn val="ctr"/>
        <c:lblOffset val="100"/>
        <c:noMultiLvlLbl val="0"/>
      </c:catAx>
      <c:valAx>
        <c:axId val="1807057312"/>
        <c:scaling>
          <c:orientation val="minMax"/>
        </c:scaling>
        <c:delete val="1"/>
        <c:axPos val="b"/>
        <c:numFmt formatCode="0%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07058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ee17d59-5423-4176-b575-6e6955dd8b42}"/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Sector</a:t>
            </a:r>
            <a:r>
              <a:rPr lang="en-IN" b="1" baseline="0"/>
              <a:t> Allocation</a:t>
            </a:r>
            <a:endParaRPr lang="en-IN" b="1" baseline="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358992988321843"/>
          <c:y val="0.0502797417989494"/>
          <c:w val="0.959254080926748"/>
          <c:h val="0.5909618834928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'Output Dashboard '!$U$46</c:f>
              <c:strCache>
                <c:ptCount val="1"/>
                <c:pt idx="0">
                  <c:v>Percentage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'Output Dashboard '!$T$47:$T$59</c:f>
              <c:strCache>
                <c:ptCount val="13"/>
                <c:pt idx="0">
                  <c:v>Financials</c:v>
                </c:pt>
                <c:pt idx="1">
                  <c:v>Consumer Discretionary</c:v>
                </c:pt>
                <c:pt idx="2">
                  <c:v>Information Technology</c:v>
                </c:pt>
                <c:pt idx="3">
                  <c:v>Consumer Staples</c:v>
                </c:pt>
                <c:pt idx="4">
                  <c:v>Industrials</c:v>
                </c:pt>
                <c:pt idx="5">
                  <c:v>Health Care</c:v>
                </c:pt>
                <c:pt idx="6">
                  <c:v>Energy</c:v>
                </c:pt>
                <c:pt idx="7">
                  <c:v>Materials</c:v>
                </c:pt>
                <c:pt idx="8">
                  <c:v>Utilities</c:v>
                </c:pt>
                <c:pt idx="9">
                  <c:v>Communication Services</c:v>
                </c:pt>
                <c:pt idx="10">
                  <c:v>Real Estate</c:v>
                </c:pt>
                <c:pt idx="11">
                  <c:v>#N/A Invalid Security</c:v>
                </c:pt>
                <c:pt idx="12">
                  <c:v>#N/A N/A</c:v>
                </c:pt>
              </c:strCache>
            </c:strRef>
          </c:cat>
          <c:val>
            <c:numRef>
              <c:f>'Output Dashboard '!$U$47:$U$59</c:f>
              <c:numCache>
                <c:formatCode>0.00%</c:formatCode>
                <c:ptCount val="13"/>
                <c:pt idx="0">
                  <c:v>0.349198613078581</c:v>
                </c:pt>
                <c:pt idx="1">
                  <c:v>0.129842083290504</c:v>
                </c:pt>
                <c:pt idx="2">
                  <c:v>0.0880291988118266</c:v>
                </c:pt>
                <c:pt idx="3">
                  <c:v>0.086652395294001</c:v>
                </c:pt>
                <c:pt idx="4">
                  <c:v>0.082686362109032</c:v>
                </c:pt>
                <c:pt idx="5">
                  <c:v>0.0620361858748765</c:v>
                </c:pt>
                <c:pt idx="6">
                  <c:v>0.060389651098023</c:v>
                </c:pt>
                <c:pt idx="7">
                  <c:v>0.0598518228441031</c:v>
                </c:pt>
                <c:pt idx="8">
                  <c:v>0.0332652034221374</c:v>
                </c:pt>
                <c:pt idx="9">
                  <c:v>0.0287694306845381</c:v>
                </c:pt>
                <c:pt idx="10">
                  <c:v>0.0008727043123762</c:v>
                </c:pt>
                <c:pt idx="11">
                  <c:v>0</c:v>
                </c:pt>
                <c:pt idx="12" c:formatCode="General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15544799"/>
        <c:axId val="1115547199"/>
      </c:barChart>
      <c:catAx>
        <c:axId val="1115544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1115547199"/>
        <c:crosses val="autoZero"/>
        <c:auto val="1"/>
        <c:lblAlgn val="ctr"/>
        <c:lblOffset val="100"/>
        <c:noMultiLvlLbl val="0"/>
      </c:catAx>
      <c:valAx>
        <c:axId val="111554719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15544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6fd1760-85e9-424c-b34f-a4ba1049bdfe}"/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400" b="1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 Stock Exposure  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359773586405351"/>
          <c:y val="0.0731047980697355"/>
          <c:w val="0.593396632066027"/>
          <c:h val="0.88949161895451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'Output Dashboard '!$N$45:$N$46</c:f>
              <c:strCache>
                <c:ptCount val="1"/>
                <c:pt idx="0">
                  <c:v>Equity Stock Exposure  Percentage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'Output Dashboard '!$M$47:$M$66</c:f>
              <c:strCache>
                <c:ptCount val="20"/>
                <c:pt idx="0">
                  <c:v>HDFC Bank Ltd</c:v>
                </c:pt>
                <c:pt idx="1">
                  <c:v>Reliance Industries Ltd</c:v>
                </c:pt>
                <c:pt idx="2">
                  <c:v>ICICI Bank Ltd</c:v>
                </c:pt>
                <c:pt idx="3">
                  <c:v>State Bank of India</c:v>
                </c:pt>
                <c:pt idx="4">
                  <c:v>Infosys Ltd</c:v>
                </c:pt>
                <c:pt idx="5">
                  <c:v>HDFC Asset Management Co Ltd</c:v>
                </c:pt>
                <c:pt idx="6">
                  <c:v>Kotak Mahindra Bank Ltd</c:v>
                </c:pt>
                <c:pt idx="7">
                  <c:v>Tech Mahindra Ltd</c:v>
                </c:pt>
                <c:pt idx="8">
                  <c:v>Larsen &amp; Toubro Ltd</c:v>
                </c:pt>
                <c:pt idx="9">
                  <c:v>Axis Bank Ltd</c:v>
                </c:pt>
                <c:pt idx="10">
                  <c:v>Tata Steel Ltd</c:v>
                </c:pt>
                <c:pt idx="11">
                  <c:v>Info Edge India Ltd</c:v>
                </c:pt>
                <c:pt idx="12">
                  <c:v>NTPC Ltd</c:v>
                </c:pt>
                <c:pt idx="13">
                  <c:v>United Spirits Ltd</c:v>
                </c:pt>
                <c:pt idx="14">
                  <c:v>Jubilant Foodworks Ltd</c:v>
                </c:pt>
                <c:pt idx="15">
                  <c:v>ABB India Ltd</c:v>
                </c:pt>
                <c:pt idx="16">
                  <c:v>Tata Consumer Products Ltd</c:v>
                </c:pt>
                <c:pt idx="17">
                  <c:v>Bajaj Finance Ltd</c:v>
                </c:pt>
                <c:pt idx="18">
                  <c:v>Federal Bank Ltd</c:v>
                </c:pt>
                <c:pt idx="19">
                  <c:v>ITC Ltd</c:v>
                </c:pt>
              </c:strCache>
            </c:strRef>
          </c:cat>
          <c:val>
            <c:numRef>
              <c:f>'Output Dashboard '!$N$47:$N$66</c:f>
              <c:numCache>
                <c:formatCode>0.00%</c:formatCode>
                <c:ptCount val="20"/>
                <c:pt idx="0">
                  <c:v>0.093156791150946</c:v>
                </c:pt>
                <c:pt idx="1">
                  <c:v>0.0581249503598166</c:v>
                </c:pt>
                <c:pt idx="2">
                  <c:v>0.056603919305279</c:v>
                </c:pt>
                <c:pt idx="3">
                  <c:v>0.0467224913218753</c:v>
                </c:pt>
                <c:pt idx="4">
                  <c:v>0.0312111670241314</c:v>
                </c:pt>
                <c:pt idx="5">
                  <c:v>0.0301061403543155</c:v>
                </c:pt>
                <c:pt idx="6">
                  <c:v>0.0279288409946347</c:v>
                </c:pt>
                <c:pt idx="7">
                  <c:v>0.0271098526722582</c:v>
                </c:pt>
                <c:pt idx="8">
                  <c:v>0.0246916417168476</c:v>
                </c:pt>
                <c:pt idx="9">
                  <c:v>0.0190767087730417</c:v>
                </c:pt>
                <c:pt idx="10">
                  <c:v>0.0183305197674064</c:v>
                </c:pt>
                <c:pt idx="11">
                  <c:v>0.0179549388479747</c:v>
                </c:pt>
                <c:pt idx="12">
                  <c:v>0.0177444345778064</c:v>
                </c:pt>
                <c:pt idx="13">
                  <c:v>0.0170316732964789</c:v>
                </c:pt>
                <c:pt idx="14">
                  <c:v>0.0157254678614764</c:v>
                </c:pt>
                <c:pt idx="15">
                  <c:v>0.0144128944357297</c:v>
                </c:pt>
                <c:pt idx="16">
                  <c:v>0.0143254438371717</c:v>
                </c:pt>
                <c:pt idx="17">
                  <c:v>0.0139151003705381</c:v>
                </c:pt>
                <c:pt idx="18">
                  <c:v>0.013879644408706</c:v>
                </c:pt>
                <c:pt idx="19">
                  <c:v>0.0137308896511312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"/>
        <c:axId val="1770400000"/>
        <c:axId val="1770400960"/>
      </c:barChart>
      <c:catAx>
        <c:axId val="177040000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75" b="0" i="0" u="none" strike="noStrike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1770400960"/>
        <c:crosses val="autoZero"/>
        <c:auto val="1"/>
        <c:lblAlgn val="ctr"/>
        <c:lblOffset val="100"/>
        <c:noMultiLvlLbl val="0"/>
      </c:catAx>
      <c:valAx>
        <c:axId val="1770400960"/>
        <c:scaling>
          <c:orientation val="minMax"/>
        </c:scaling>
        <c:delete val="1"/>
        <c:axPos val="t"/>
        <c:numFmt formatCode="0.00%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70400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9750e8b-7a15-4eb5-915b-481ddce950d9}"/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'Output Dashboard '!$U$61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'Output Dashboard '!$T$62:$T$64</c:f>
              <c:strCache>
                <c:ptCount val="3"/>
                <c:pt idx="0">
                  <c:v>Top 3 </c:v>
                </c:pt>
                <c:pt idx="1">
                  <c:v>Top 5</c:v>
                </c:pt>
                <c:pt idx="2">
                  <c:v>Top 11</c:v>
                </c:pt>
              </c:strCache>
            </c:strRef>
          </c:cat>
          <c:val>
            <c:numRef>
              <c:f>'Output Dashboard '!$U$62:$U$64</c:f>
              <c:numCache>
                <c:formatCode>0.0%</c:formatCode>
                <c:ptCount val="3"/>
                <c:pt idx="0">
                  <c:v>0.567069895180911</c:v>
                </c:pt>
                <c:pt idx="1">
                  <c:v>0.736408652583944</c:v>
                </c:pt>
                <c:pt idx="2">
                  <c:v>0.981593650819998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67834656"/>
        <c:axId val="1767835616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'Output Dashboard '!$V$61</c15:sqref>
                        </c15:formulaRef>
                      </c:ext>
                    </c:extLst>
                    <c:strCache>
                      <c:ptCount val="1"/>
                      <c:pt idx="0">
                        <c:v/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'Output Dashboard '!$T$62:$T$64</c15:sqref>
                        </c15:formulaRef>
                      </c:ext>
                    </c:extLst>
                    <c:strCache>
                      <c:ptCount val="3"/>
                      <c:pt idx="0">
                        <c:v>Top 3 </c:v>
                      </c:pt>
                      <c:pt idx="1">
                        <c:v>Top 5</c:v>
                      </c:pt>
                      <c:pt idx="2">
                        <c:v>Top 11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'Output Dashboard '!$V$62:$V$64</c15:sqref>
                        </c15:formulaRef>
                      </c:ext>
                    </c:extLst>
                    <c:numCache>
                      <c:formatCode>0.0%</c:formatCode>
                      <c:ptCount val="3"/>
                    </c:numCache>
                  </c:numRef>
                </c:val>
              </c15:ser>
            </c15:filteredBarSeries>
          </c:ext>
        </c:extLst>
      </c:barChart>
      <c:catAx>
        <c:axId val="176783465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1767835616"/>
        <c:crosses val="autoZero"/>
        <c:auto val="1"/>
        <c:lblAlgn val="ctr"/>
        <c:lblOffset val="100"/>
        <c:noMultiLvlLbl val="0"/>
      </c:catAx>
      <c:valAx>
        <c:axId val="1767835616"/>
        <c:scaling>
          <c:orientation val="minMax"/>
        </c:scaling>
        <c:delete val="1"/>
        <c:axPos val="b"/>
        <c:numFmt formatCode="0.0%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67834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c3ade63-3988-4457-a30b-6de16134dcef}"/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Button" val="0"/>
</file>

<file path=xl/ctrlProps/ctrlProp2.xml><?xml version="1.0" encoding="utf-8"?>
<formControlPr xmlns="http://schemas.microsoft.com/office/spreadsheetml/2009/9/main" objectType="Button" val="0"/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7" Type="http://schemas.openxmlformats.org/officeDocument/2006/relationships/chart" Target="../charts/chart14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6" Type="http://schemas.openxmlformats.org/officeDocument/2006/relationships/chart" Target="../charts/chart20.xml"/><Relationship Id="rId5" Type="http://schemas.openxmlformats.org/officeDocument/2006/relationships/chart" Target="../charts/chart19.xml"/><Relationship Id="rId4" Type="http://schemas.openxmlformats.org/officeDocument/2006/relationships/chart" Target="../charts/chart18.xml"/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21</xdr:col>
      <xdr:colOff>1497704</xdr:colOff>
      <xdr:row>8</xdr:row>
      <xdr:rowOff>16710</xdr:rowOff>
    </xdr:from>
    <xdr:to>
      <xdr:col>23</xdr:col>
      <xdr:colOff>457549</xdr:colOff>
      <xdr:row>18</xdr:row>
      <xdr:rowOff>103068</xdr:rowOff>
    </xdr:to>
    <xdr:graphicFrame>
      <xdr:nvGraphicFramePr>
        <xdr:cNvPr id="2" name="Chart 1"/>
        <xdr:cNvGraphicFramePr/>
      </xdr:nvGraphicFramePr>
      <xdr:xfrm>
        <a:off x="23477855" y="1500505"/>
        <a:ext cx="0" cy="18770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452859</xdr:colOff>
      <xdr:row>28</xdr:row>
      <xdr:rowOff>0</xdr:rowOff>
    </xdr:from>
    <xdr:to>
      <xdr:col>23</xdr:col>
      <xdr:colOff>889056</xdr:colOff>
      <xdr:row>39</xdr:row>
      <xdr:rowOff>109056</xdr:rowOff>
    </xdr:to>
    <xdr:graphicFrame>
      <xdr:nvGraphicFramePr>
        <xdr:cNvPr id="3" name="Chart 2"/>
        <xdr:cNvGraphicFramePr/>
      </xdr:nvGraphicFramePr>
      <xdr:xfrm>
        <a:off x="23477855" y="5055870"/>
        <a:ext cx="0" cy="20840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546801</xdr:colOff>
      <xdr:row>16</xdr:row>
      <xdr:rowOff>48106</xdr:rowOff>
    </xdr:from>
    <xdr:to>
      <xdr:col>27</xdr:col>
      <xdr:colOff>372276</xdr:colOff>
      <xdr:row>31</xdr:row>
      <xdr:rowOff>19243</xdr:rowOff>
    </xdr:to>
    <xdr:graphicFrame>
      <xdr:nvGraphicFramePr>
        <xdr:cNvPr id="4" name="Chart 3"/>
        <xdr:cNvGraphicFramePr/>
      </xdr:nvGraphicFramePr>
      <xdr:xfrm>
        <a:off x="23477855" y="2971800"/>
        <a:ext cx="0" cy="26574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>
      <xdr:nvSpPr>
        <xdr:cNvPr id="5" name="Chart 4"/>
        <xdr:cNvSpPr/>
      </xdr:nvSpPr>
      <xdr:spPr>
        <a:xfrm>
          <a:off x="0" y="0"/>
          <a:ext cx="0" cy="0"/>
        </a:xfrm>
      </xdr:spPr>
    </xdr:sp>
    <xdr:clientData/>
  </xdr:twoCellAnchor>
  <xdr:twoCellAnchor>
    <xdr:from>
      <xdr:col>17</xdr:col>
      <xdr:colOff>135227</xdr:colOff>
      <xdr:row>25</xdr:row>
      <xdr:rowOff>65552</xdr:rowOff>
    </xdr:from>
    <xdr:to>
      <xdr:col>20</xdr:col>
      <xdr:colOff>195450</xdr:colOff>
      <xdr:row>41</xdr:row>
      <xdr:rowOff>171940</xdr:rowOff>
    </xdr:to>
    <xdr:sp>
      <xdr:nvSpPr>
        <xdr:cNvPr id="6" name="Rectangles 5"/>
        <xdr:cNvSpPr>
          <a:spLocks noTextEdit="1"/>
        </xdr:cNvSpPr>
      </xdr:nvSpPr>
      <xdr:spPr>
        <a:xfrm>
          <a:off x="23477855" y="4595495"/>
          <a:ext cx="0" cy="2957830"/>
        </a:xfrm>
        <a:prstGeom prst="rect">
          <a:avLst/>
        </a:prstGeom>
        <a:solidFill>
          <a:prstClr val="white"/>
        </a:solidFill>
        <a:ln w="1">
          <a:solidFill>
            <a:prstClr val="green"/>
          </a:solidFill>
        </a:ln>
      </xdr:spPr>
      <xdr:txBody>
        <a:bodyPr vertOverflow="clip" horzOverflow="clip"/>
        <a:lstStyle/>
        <a:p>
          <a:r>
            <a:rPr lang="en-IN" sz="1100"/>
            <a:t>This chart isn't available in your version of Excel.
Editing this shape or saving this workbook into a different file format will permanently break the chart.</a:t>
          </a:r>
          <a:endParaRPr lang="en-IN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>
      <xdr:nvSpPr>
        <xdr:cNvPr id="10" name="Chart 9"/>
        <xdr:cNvSpPr/>
      </xdr:nvSpPr>
      <xdr:spPr>
        <a:xfrm>
          <a:off x="0" y="0"/>
          <a:ext cx="0" cy="0"/>
        </a:xfrm>
      </xdr:spPr>
    </xdr:sp>
    <xdr:clientData/>
  </xdr:twoCellAnchor>
  <xdr:twoCellAnchor>
    <xdr:from>
      <xdr:col>0</xdr:col>
      <xdr:colOff>55057</xdr:colOff>
      <xdr:row>108</xdr:row>
      <xdr:rowOff>148349</xdr:rowOff>
    </xdr:from>
    <xdr:to>
      <xdr:col>2</xdr:col>
      <xdr:colOff>201372</xdr:colOff>
      <xdr:row>127</xdr:row>
      <xdr:rowOff>49133</xdr:rowOff>
    </xdr:to>
    <xdr:sp>
      <xdr:nvSpPr>
        <xdr:cNvPr id="7" name="Rectangles 6"/>
        <xdr:cNvSpPr>
          <a:spLocks noTextEdit="1"/>
        </xdr:cNvSpPr>
      </xdr:nvSpPr>
      <xdr:spPr>
        <a:xfrm>
          <a:off x="54610" y="19386550"/>
          <a:ext cx="4115435" cy="3230880"/>
        </a:xfrm>
        <a:prstGeom prst="rect">
          <a:avLst/>
        </a:prstGeom>
        <a:solidFill>
          <a:prstClr val="white"/>
        </a:solidFill>
        <a:ln w="1">
          <a:solidFill>
            <a:prstClr val="green"/>
          </a:solidFill>
        </a:ln>
      </xdr:spPr>
      <xdr:txBody>
        <a:bodyPr vertOverflow="clip" horzOverflow="clip"/>
        <a:lstStyle/>
        <a:p>
          <a:r>
            <a:rPr lang="en-IN" sz="1100"/>
            <a:t>This chart isn't available in your version of Excel.
Editing this shape or saving this workbook into a different file format will permanently break the chart.</a:t>
          </a:r>
          <a:endParaRPr lang="en-IN" sz="1100"/>
        </a:p>
      </xdr:txBody>
    </xdr:sp>
    <xdr:clientData/>
  </xdr:twoCellAnchor>
  <xdr:twoCellAnchor>
    <xdr:from>
      <xdr:col>2</xdr:col>
      <xdr:colOff>923039</xdr:colOff>
      <xdr:row>92</xdr:row>
      <xdr:rowOff>138956</xdr:rowOff>
    </xdr:from>
    <xdr:to>
      <xdr:col>6</xdr:col>
      <xdr:colOff>82384</xdr:colOff>
      <xdr:row>104</xdr:row>
      <xdr:rowOff>30379</xdr:rowOff>
    </xdr:to>
    <xdr:graphicFrame>
      <xdr:nvGraphicFramePr>
        <xdr:cNvPr id="11" name="Chart 10"/>
        <xdr:cNvGraphicFramePr/>
      </xdr:nvGraphicFramePr>
      <xdr:xfrm>
        <a:off x="4891405" y="16553815"/>
        <a:ext cx="3840480" cy="20040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339118</xdr:colOff>
      <xdr:row>105</xdr:row>
      <xdr:rowOff>14947</xdr:rowOff>
    </xdr:from>
    <xdr:to>
      <xdr:col>10</xdr:col>
      <xdr:colOff>186937</xdr:colOff>
      <xdr:row>120</xdr:row>
      <xdr:rowOff>59197</xdr:rowOff>
    </xdr:to>
    <xdr:graphicFrame>
      <xdr:nvGraphicFramePr>
        <xdr:cNvPr id="12" name="Chart 11"/>
        <xdr:cNvGraphicFramePr/>
      </xdr:nvGraphicFramePr>
      <xdr:xfrm>
        <a:off x="8989060" y="18717895"/>
        <a:ext cx="5124450" cy="26828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1641862</xdr:colOff>
      <xdr:row>91</xdr:row>
      <xdr:rowOff>147108</xdr:rowOff>
    </xdr:from>
    <xdr:to>
      <xdr:col>14</xdr:col>
      <xdr:colOff>146726</xdr:colOff>
      <xdr:row>107</xdr:row>
      <xdr:rowOff>1058</xdr:rowOff>
    </xdr:to>
    <xdr:graphicFrame>
      <xdr:nvGraphicFramePr>
        <xdr:cNvPr id="13" name="Chart 12"/>
        <xdr:cNvGraphicFramePr/>
      </xdr:nvGraphicFramePr>
      <xdr:xfrm>
        <a:off x="15568295" y="16386810"/>
        <a:ext cx="5050790" cy="26676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5525</xdr:colOff>
      <xdr:row>39</xdr:row>
      <xdr:rowOff>91658</xdr:rowOff>
    </xdr:from>
    <xdr:to>
      <xdr:col>12</xdr:col>
      <xdr:colOff>1071221</xdr:colOff>
      <xdr:row>54</xdr:row>
      <xdr:rowOff>0</xdr:rowOff>
    </xdr:to>
    <xdr:graphicFrame>
      <xdr:nvGraphicFramePr>
        <xdr:cNvPr id="14" name="Chart 13"/>
        <xdr:cNvGraphicFramePr/>
      </xdr:nvGraphicFramePr>
      <xdr:xfrm>
        <a:off x="13931900" y="7122795"/>
        <a:ext cx="4889500" cy="25660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1</xdr:row>
      <xdr:rowOff>0</xdr:rowOff>
    </xdr:from>
    <xdr:to>
      <xdr:col>6</xdr:col>
      <xdr:colOff>681108</xdr:colOff>
      <xdr:row>6</xdr:row>
      <xdr:rowOff>117521</xdr:rowOff>
    </xdr:to>
    <xdr:graphicFrame>
      <xdr:nvGraphicFramePr>
        <xdr:cNvPr id="2" name="Chart 1"/>
        <xdr:cNvGraphicFramePr/>
      </xdr:nvGraphicFramePr>
      <xdr:xfrm>
        <a:off x="0" y="175260"/>
        <a:ext cx="13183870" cy="993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13</xdr:row>
      <xdr:rowOff>143177</xdr:rowOff>
    </xdr:from>
    <xdr:to>
      <xdr:col>4</xdr:col>
      <xdr:colOff>499958</xdr:colOff>
      <xdr:row>29</xdr:row>
      <xdr:rowOff>167605</xdr:rowOff>
    </xdr:to>
    <xdr:graphicFrame>
      <xdr:nvGraphicFramePr>
        <xdr:cNvPr id="3" name="Chart 2"/>
        <xdr:cNvGraphicFramePr/>
      </xdr:nvGraphicFramePr>
      <xdr:xfrm>
        <a:off x="0" y="2421255"/>
        <a:ext cx="9123680" cy="28282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50800</xdr:colOff>
      <xdr:row>14</xdr:row>
      <xdr:rowOff>3</xdr:rowOff>
    </xdr:from>
    <xdr:to>
      <xdr:col>6</xdr:col>
      <xdr:colOff>901963</xdr:colOff>
      <xdr:row>22</xdr:row>
      <xdr:rowOff>75267</xdr:rowOff>
    </xdr:to>
    <xdr:graphicFrame>
      <xdr:nvGraphicFramePr>
        <xdr:cNvPr id="4" name="Chart 3"/>
        <xdr:cNvGraphicFramePr/>
      </xdr:nvGraphicFramePr>
      <xdr:xfrm>
        <a:off x="9360535" y="2453640"/>
        <a:ext cx="4044315" cy="14770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46</xdr:row>
      <xdr:rowOff>155751</xdr:rowOff>
    </xdr:from>
    <xdr:to>
      <xdr:col>4</xdr:col>
      <xdr:colOff>30109</xdr:colOff>
      <xdr:row>73</xdr:row>
      <xdr:rowOff>85663</xdr:rowOff>
    </xdr:to>
    <xdr:graphicFrame>
      <xdr:nvGraphicFramePr>
        <xdr:cNvPr id="5" name="Chart 4"/>
        <xdr:cNvGraphicFramePr/>
      </xdr:nvGraphicFramePr>
      <xdr:xfrm>
        <a:off x="0" y="8246110"/>
        <a:ext cx="8653780" cy="46615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0</xdr:colOff>
      <xdr:row>47</xdr:row>
      <xdr:rowOff>11983</xdr:rowOff>
    </xdr:from>
    <xdr:to>
      <xdr:col>6</xdr:col>
      <xdr:colOff>882650</xdr:colOff>
      <xdr:row>55</xdr:row>
      <xdr:rowOff>167639</xdr:rowOff>
    </xdr:to>
    <xdr:graphicFrame>
      <xdr:nvGraphicFramePr>
        <xdr:cNvPr id="6" name="Chart 5"/>
        <xdr:cNvGraphicFramePr/>
      </xdr:nvGraphicFramePr>
      <xdr:xfrm>
        <a:off x="9309735" y="8277225"/>
        <a:ext cx="4076065" cy="15576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1885950</xdr:colOff>
          <xdr:row>0</xdr:row>
          <xdr:rowOff>127000</xdr:rowOff>
        </xdr:from>
        <xdr:to>
          <xdr:col>8</xdr:col>
          <xdr:colOff>222250</xdr:colOff>
          <xdr:row>2</xdr:row>
          <xdr:rowOff>139700</xdr:rowOff>
        </xdr:to>
        <xdr:sp macro="[0]!UploadPPTTemplate">
          <xdr:nvSpPr>
            <xdr:cNvPr id="4108" name="btnUploadTemplate" hidden="1">
              <a:extLst>
                <a:ext uri="{63B3BB69-23CF-44E3-9099-C40C66FF867C}">
                  <a14:compatExt spid="_x0000_s4108"/>
                </a:ext>
              </a:extLst>
            </xdr:cNvPr>
            <xdr:cNvSpPr/>
          </xdr:nvSpPr>
          <xdr:spPr>
            <a:xfrm>
              <a:off x="14389100" y="127000"/>
              <a:ext cx="2229485" cy="363220"/>
            </a:xfrm>
            <a:prstGeom prst="rect">
              <a:avLst/>
            </a:prstGeom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Aptos Narrow"/>
                </a:rPr>
                <a:t>Upload Template</a:t>
              </a:r>
              <a:endParaRPr lang="en-IN" sz="1100" b="0" i="0" u="none" strike="noStrike" baseline="0">
                <a:solidFill>
                  <a:srgbClr val="000000"/>
                </a:solidFill>
                <a:latin typeface="Aptos Narrow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1885950</xdr:colOff>
          <xdr:row>3</xdr:row>
          <xdr:rowOff>82550</xdr:rowOff>
        </xdr:from>
        <xdr:to>
          <xdr:col>8</xdr:col>
          <xdr:colOff>222250</xdr:colOff>
          <xdr:row>5</xdr:row>
          <xdr:rowOff>95250</xdr:rowOff>
        </xdr:to>
        <xdr:sp macro="[0]!ExportChartsToPPT">
          <xdr:nvSpPr>
            <xdr:cNvPr id="4109" name="btnExportCharts" hidden="1">
              <a:extLst>
                <a:ext uri="{63B3BB69-23CF-44E3-9099-C40C66FF867C}">
                  <a14:compatExt spid="_x0000_s4109"/>
                </a:ext>
              </a:extLst>
            </xdr:cNvPr>
            <xdr:cNvSpPr/>
          </xdr:nvSpPr>
          <xdr:spPr>
            <a:xfrm>
              <a:off x="14389100" y="608330"/>
              <a:ext cx="2229485" cy="363220"/>
            </a:xfrm>
            <a:prstGeom prst="rect">
              <a:avLst/>
            </a:prstGeom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Aptos Narrow"/>
                </a:rPr>
                <a:t>Export Charts to PPT</a:t>
              </a:r>
              <a:endParaRPr lang="en-IN" sz="1100" b="0" i="0" u="none" strike="noStrike" baseline="0">
                <a:solidFill>
                  <a:srgbClr val="000000"/>
                </a:solidFill>
                <a:latin typeface="Aptos Narrow"/>
              </a:endParaRPr>
            </a:p>
          </xdr:txBody>
        </xdr:sp>
        <xdr:clientData fPrintsWithSheet="0"/>
      </xdr:twoCellAnchor>
    </mc:Choice>
    <mc:Fallback/>
  </mc:AlternateContent>
  <xdr:twoCellAnchor>
    <xdr:from>
      <xdr:col>5</xdr:col>
      <xdr:colOff>13562</xdr:colOff>
      <xdr:row>93</xdr:row>
      <xdr:rowOff>48164</xdr:rowOff>
    </xdr:from>
    <xdr:to>
      <xdr:col>7</xdr:col>
      <xdr:colOff>729267</xdr:colOff>
      <xdr:row>108</xdr:row>
      <xdr:rowOff>47685</xdr:rowOff>
    </xdr:to>
    <xdr:graphicFrame>
      <xdr:nvGraphicFramePr>
        <xdr:cNvPr id="8" name="Chart 7"/>
        <xdr:cNvGraphicFramePr/>
      </xdr:nvGraphicFramePr>
      <xdr:xfrm>
        <a:off x="9323070" y="16403955"/>
        <a:ext cx="5973445" cy="2667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13565</xdr:colOff>
      <xdr:row>109</xdr:row>
      <xdr:rowOff>144011</xdr:rowOff>
    </xdr:from>
    <xdr:to>
      <xdr:col>7</xdr:col>
      <xdr:colOff>729270</xdr:colOff>
      <xdr:row>124</xdr:row>
      <xdr:rowOff>155513</xdr:rowOff>
    </xdr:to>
    <xdr:graphicFrame>
      <xdr:nvGraphicFramePr>
        <xdr:cNvPr id="9" name="Chart 8"/>
        <xdr:cNvGraphicFramePr/>
      </xdr:nvGraphicFramePr>
      <xdr:xfrm>
        <a:off x="9323070" y="19342100"/>
        <a:ext cx="5973445" cy="26784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185873</xdr:colOff>
      <xdr:row>54</xdr:row>
      <xdr:rowOff>9291</xdr:rowOff>
    </xdr:from>
    <xdr:to>
      <xdr:col>4</xdr:col>
      <xdr:colOff>184383</xdr:colOff>
      <xdr:row>68</xdr:row>
      <xdr:rowOff>145677</xdr:rowOff>
    </xdr:to>
    <xdr:graphicFrame>
      <xdr:nvGraphicFramePr>
        <xdr:cNvPr id="7" name="Chart 6"/>
        <xdr:cNvGraphicFramePr/>
      </xdr:nvGraphicFramePr>
      <xdr:xfrm>
        <a:off x="185420" y="9716135"/>
        <a:ext cx="6301105" cy="26092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752231</xdr:colOff>
      <xdr:row>51</xdr:row>
      <xdr:rowOff>136771</xdr:rowOff>
    </xdr:from>
    <xdr:to>
      <xdr:col>18</xdr:col>
      <xdr:colOff>263769</xdr:colOff>
      <xdr:row>60</xdr:row>
      <xdr:rowOff>63568</xdr:rowOff>
    </xdr:to>
    <xdr:graphicFrame>
      <xdr:nvGraphicFramePr>
        <xdr:cNvPr id="8" name="Chart 7"/>
        <xdr:cNvGraphicFramePr/>
      </xdr:nvGraphicFramePr>
      <xdr:xfrm>
        <a:off x="23235285" y="9308465"/>
        <a:ext cx="4192905" cy="15233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17616</xdr:colOff>
      <xdr:row>49</xdr:row>
      <xdr:rowOff>124267</xdr:rowOff>
    </xdr:from>
    <xdr:to>
      <xdr:col>30</xdr:col>
      <xdr:colOff>70074</xdr:colOff>
      <xdr:row>55</xdr:row>
      <xdr:rowOff>39077</xdr:rowOff>
    </xdr:to>
    <xdr:graphicFrame>
      <xdr:nvGraphicFramePr>
        <xdr:cNvPr id="9" name="Chart 8"/>
        <xdr:cNvGraphicFramePr/>
      </xdr:nvGraphicFramePr>
      <xdr:xfrm>
        <a:off x="32909510" y="8945245"/>
        <a:ext cx="9872980" cy="9759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11950</xdr:colOff>
      <xdr:row>65</xdr:row>
      <xdr:rowOff>57623</xdr:rowOff>
    </xdr:from>
    <xdr:to>
      <xdr:col>23</xdr:col>
      <xdr:colOff>156308</xdr:colOff>
      <xdr:row>101</xdr:row>
      <xdr:rowOff>9766</xdr:rowOff>
    </xdr:to>
    <xdr:graphicFrame>
      <xdr:nvGraphicFramePr>
        <xdr:cNvPr id="10" name="Chart 9"/>
        <xdr:cNvGraphicFramePr/>
      </xdr:nvGraphicFramePr>
      <xdr:xfrm>
        <a:off x="27176095" y="11701780"/>
        <a:ext cx="5872480" cy="27946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315721</xdr:colOff>
      <xdr:row>66</xdr:row>
      <xdr:rowOff>28375</xdr:rowOff>
    </xdr:from>
    <xdr:to>
      <xdr:col>14</xdr:col>
      <xdr:colOff>517769</xdr:colOff>
      <xdr:row>107</xdr:row>
      <xdr:rowOff>19538</xdr:rowOff>
    </xdr:to>
    <xdr:graphicFrame>
      <xdr:nvGraphicFramePr>
        <xdr:cNvPr id="11" name="Chart 10"/>
        <xdr:cNvGraphicFramePr/>
      </xdr:nvGraphicFramePr>
      <xdr:xfrm>
        <a:off x="17694275" y="11857355"/>
        <a:ext cx="5306695" cy="37001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831465</xdr:colOff>
      <xdr:row>57</xdr:row>
      <xdr:rowOff>26851</xdr:rowOff>
    </xdr:from>
    <xdr:to>
      <xdr:col>25</xdr:col>
      <xdr:colOff>966055</xdr:colOff>
      <xdr:row>65</xdr:row>
      <xdr:rowOff>90393</xdr:rowOff>
    </xdr:to>
    <xdr:graphicFrame>
      <xdr:nvGraphicFramePr>
        <xdr:cNvPr id="2" name="Chart 1"/>
        <xdr:cNvGraphicFramePr/>
      </xdr:nvGraphicFramePr>
      <xdr:xfrm>
        <a:off x="33723580" y="10269220"/>
        <a:ext cx="4103370" cy="14655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https:\\pioneerclient-my.sharepoint.com\personal\mriganksahi_clientassociates_com\Documents\MP%20holdings%20July'25%20(1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aw Data"/>
      <sheetName val="Mediator"/>
      <sheetName val="Final Input"/>
    </sheetNames>
    <sheetDataSet>
      <sheetData sheetId="0"/>
      <sheetData sheetId="1">
        <row r="112">
          <cell r="D112">
            <v>0.64249119153024</v>
          </cell>
        </row>
        <row r="113">
          <cell r="D113">
            <v>0.664763888605049</v>
          </cell>
        </row>
        <row r="114">
          <cell r="D114">
            <v>0.590041773280451</v>
          </cell>
        </row>
        <row r="115">
          <cell r="D115">
            <v>2.23631145074362</v>
          </cell>
        </row>
        <row r="116">
          <cell r="D116">
            <v>0.995115897142225</v>
          </cell>
        </row>
        <row r="117">
          <cell r="D117">
            <v>2.63675886918736</v>
          </cell>
        </row>
        <row r="118">
          <cell r="D118">
            <v>1.72789253824198</v>
          </cell>
        </row>
        <row r="119">
          <cell r="D119">
            <v>3.83318673566526</v>
          </cell>
        </row>
        <row r="120">
          <cell r="D120">
            <v>0.920114021866781</v>
          </cell>
        </row>
        <row r="121">
          <cell r="D121">
            <v>1.13649889661517</v>
          </cell>
        </row>
        <row r="122">
          <cell r="D122">
            <v>0.260680809797908</v>
          </cell>
        </row>
        <row r="123">
          <cell r="D123">
            <v>1.01168085562612</v>
          </cell>
        </row>
        <row r="124">
          <cell r="D124">
            <v>2.71837807297335</v>
          </cell>
        </row>
        <row r="125">
          <cell r="D125">
            <v>0.953215292390808</v>
          </cell>
        </row>
        <row r="126">
          <cell r="D126">
            <v>9.96527801120735</v>
          </cell>
        </row>
        <row r="127">
          <cell r="D127">
            <v>0.572853907019288</v>
          </cell>
        </row>
        <row r="128">
          <cell r="D128">
            <v>0.957036849889301</v>
          </cell>
        </row>
        <row r="129">
          <cell r="D129">
            <v>8.67752162500231</v>
          </cell>
        </row>
        <row r="130">
          <cell r="D130">
            <v>0.265681137982539</v>
          </cell>
        </row>
        <row r="131">
          <cell r="D131">
            <v>0.119486145455268</v>
          </cell>
        </row>
        <row r="132">
          <cell r="D132">
            <v>4.23918303121686</v>
          </cell>
        </row>
        <row r="133">
          <cell r="D133">
            <v>1.58909868968667</v>
          </cell>
        </row>
        <row r="134">
          <cell r="D134">
            <v>0.0421376997860129</v>
          </cell>
        </row>
        <row r="135">
          <cell r="D135">
            <v>2.30996389566792</v>
          </cell>
        </row>
        <row r="136">
          <cell r="D136">
            <v>1.94007918523126</v>
          </cell>
        </row>
        <row r="137">
          <cell r="D137">
            <v>3.78566594244597</v>
          </cell>
        </row>
        <row r="138">
          <cell r="D138">
            <v>3.26327487937089</v>
          </cell>
        </row>
        <row r="139">
          <cell r="D139">
            <v>1.43029255741438</v>
          </cell>
        </row>
        <row r="140">
          <cell r="D140">
            <v>1.13462529729295</v>
          </cell>
        </row>
        <row r="141">
          <cell r="D141">
            <v>1.47186281381425</v>
          </cell>
        </row>
        <row r="142">
          <cell r="D142">
            <v>0.289970274804299</v>
          </cell>
        </row>
        <row r="143">
          <cell r="D143">
            <v>1.8131522783818</v>
          </cell>
        </row>
        <row r="144">
          <cell r="D144">
            <v>0.427223919882943</v>
          </cell>
        </row>
        <row r="145">
          <cell r="D145">
            <v>0.316682169370319</v>
          </cell>
        </row>
        <row r="146">
          <cell r="D146">
            <v>0.959213370116911</v>
          </cell>
        </row>
        <row r="147">
          <cell r="D147">
            <v>1.10619766359483</v>
          </cell>
        </row>
        <row r="148">
          <cell r="D148">
            <v>0.545649537419969</v>
          </cell>
        </row>
        <row r="149">
          <cell r="D149">
            <v>5.41567906781985</v>
          </cell>
        </row>
        <row r="150">
          <cell r="D150">
            <v>0.644072013722061</v>
          </cell>
        </row>
        <row r="151">
          <cell r="D151">
            <v>1.35711308356166</v>
          </cell>
        </row>
        <row r="152">
          <cell r="D152">
            <v>0.104507102858305</v>
          </cell>
        </row>
        <row r="153">
          <cell r="D153">
            <v>0.459893665254029</v>
          </cell>
        </row>
        <row r="154">
          <cell r="D154">
            <v>2.99201377984151</v>
          </cell>
        </row>
        <row r="155">
          <cell r="D155">
            <v>1.88229930814998</v>
          </cell>
        </row>
        <row r="156">
          <cell r="D156">
            <v>1.66950194335951</v>
          </cell>
        </row>
        <row r="157">
          <cell r="D157">
            <v>1.4123385511571</v>
          </cell>
        </row>
        <row r="158">
          <cell r="D158">
            <v>0.933348678887878</v>
          </cell>
        </row>
        <row r="159">
          <cell r="D159">
            <v>0.293605935167698</v>
          </cell>
        </row>
        <row r="160">
          <cell r="D160">
            <v>1.18652412041841</v>
          </cell>
        </row>
        <row r="161">
          <cell r="D161">
            <v>1.35422405923265</v>
          </cell>
        </row>
        <row r="162">
          <cell r="D162">
            <v>1.32213577572019</v>
          </cell>
        </row>
        <row r="163">
          <cell r="D163">
            <v>0.798613482865657</v>
          </cell>
        </row>
        <row r="164">
          <cell r="D164">
            <v>0.953314640695793</v>
          </cell>
        </row>
        <row r="165">
          <cell r="D165">
            <v>0.384231093275497</v>
          </cell>
        </row>
        <row r="166">
          <cell r="D166">
            <v>2.65894218764273</v>
          </cell>
        </row>
        <row r="167">
          <cell r="D167">
            <v>1.0169786192269</v>
          </cell>
        </row>
        <row r="168">
          <cell r="D168">
            <v>0.749878568029614</v>
          </cell>
        </row>
      </sheetData>
      <sheetData sheetId="2"/>
    </sheetDataSet>
  </externalBook>
</externalLink>
</file>

<file path=xl/richData/rdrichvalue.xml><?xml version="1.0" encoding="utf-8"?>
<rvData xmlns="http://schemas.microsoft.com/office/spreadsheetml/2017/richdata" count="1">
  <rv s="0">
    <v>0</v>
    <v>8</v>
    <v>15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4" Type="http://schemas.openxmlformats.org/officeDocument/2006/relationships/ctrlProp" Target="../ctrlProps/ctrlProp2.xml"/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J110"/>
  <sheetViews>
    <sheetView showGridLines="0" zoomScale="53" zoomScaleNormal="53" workbookViewId="0">
      <selection activeCell="A4" sqref="A4"/>
    </sheetView>
  </sheetViews>
  <sheetFormatPr defaultColWidth="9" defaultRowHeight="13.8"/>
  <cols>
    <col min="1" max="1" width="36.725" customWidth="1"/>
    <col min="2" max="7" width="15.3583333333333" customWidth="1"/>
    <col min="8" max="8" width="23.175" customWidth="1"/>
    <col min="9" max="10" width="15.3583333333333" customWidth="1"/>
    <col min="11" max="12" width="25.0916666666667" customWidth="1"/>
    <col min="13" max="13" width="20.3583333333333" customWidth="1"/>
    <col min="14" max="16" width="15.3583333333333" customWidth="1"/>
    <col min="17" max="17" width="8.725" customWidth="1"/>
    <col min="18" max="18" width="8.725" hidden="1" customWidth="1"/>
    <col min="19" max="19" width="57.725" hidden="1" customWidth="1"/>
    <col min="20" max="20" width="15.175" hidden="1" customWidth="1"/>
    <col min="21" max="21" width="8.725" hidden="1" customWidth="1"/>
    <col min="22" max="22" width="57.725" hidden="1" customWidth="1"/>
    <col min="23" max="24" width="15.175" hidden="1" customWidth="1"/>
    <col min="25" max="25" width="8.725" hidden="1" customWidth="1"/>
    <col min="26" max="26" width="57.725" hidden="1" customWidth="1"/>
    <col min="27" max="27" width="15.175" hidden="1" customWidth="1"/>
    <col min="28" max="29" width="8.725" hidden="1" customWidth="1"/>
    <col min="30" max="30" width="36.175" hidden="1" customWidth="1"/>
    <col min="31" max="31" width="17.725" hidden="1" customWidth="1"/>
    <col min="32" max="32" width="13.6333333333333" hidden="1" customWidth="1"/>
    <col min="33" max="33" width="16.45" hidden="1" customWidth="1"/>
    <col min="34" max="34" width="13.45" hidden="1" customWidth="1"/>
    <col min="35" max="35" width="11.725" hidden="1" customWidth="1"/>
    <col min="36" max="36" width="12.175" hidden="1" customWidth="1"/>
    <col min="37" max="37" width="8.725" hidden="1" customWidth="1"/>
    <col min="38" max="38" width="13" hidden="1" customWidth="1"/>
    <col min="39" max="39" width="10.2666666666667" hidden="1" customWidth="1"/>
    <col min="40" max="40" width="11.2666666666667" hidden="1" customWidth="1"/>
    <col min="41" max="42" width="8.725" hidden="1" customWidth="1"/>
    <col min="43" max="43" width="8.81666666666667" hidden="1" customWidth="1"/>
    <col min="44" max="44" width="10" hidden="1" customWidth="1"/>
    <col min="45" max="45" width="9.90833333333333" hidden="1" customWidth="1"/>
  </cols>
  <sheetData>
    <row r="1" ht="14.55" spans="1:5">
      <c r="A1" s="86" t="s">
        <v>0</v>
      </c>
      <c r="B1" s="41"/>
      <c r="C1" s="41"/>
      <c r="D1" s="41"/>
      <c r="E1" s="40"/>
    </row>
    <row r="2" ht="14.55"/>
    <row r="3" ht="15" customHeight="1" spans="1:45">
      <c r="A3" s="515" t="s">
        <v>1</v>
      </c>
      <c r="B3" s="90" t="s">
        <v>2</v>
      </c>
      <c r="C3" s="515" t="s">
        <v>3</v>
      </c>
      <c r="D3" s="90" t="s">
        <v>4</v>
      </c>
      <c r="E3" s="516" t="s">
        <v>5</v>
      </c>
      <c r="F3" s="182"/>
      <c r="G3" s="182"/>
      <c r="H3" s="182"/>
      <c r="I3" s="182"/>
      <c r="J3" s="182"/>
      <c r="K3" s="182"/>
      <c r="L3" s="182"/>
      <c r="M3" s="182"/>
      <c r="N3" s="182"/>
      <c r="S3" s="62" t="s">
        <v>6</v>
      </c>
      <c r="T3" s="63"/>
      <c r="V3" s="520" t="s">
        <v>7</v>
      </c>
      <c r="W3" s="164"/>
      <c r="X3" s="164"/>
      <c r="Z3" s="245" t="s">
        <v>8</v>
      </c>
      <c r="AA3" s="276"/>
      <c r="AD3" s="166" t="s">
        <v>9</v>
      </c>
      <c r="AE3" s="90"/>
      <c r="AF3" s="86" t="s">
        <v>10</v>
      </c>
      <c r="AG3" s="41"/>
      <c r="AH3" s="41"/>
      <c r="AI3" s="41"/>
      <c r="AJ3" s="41"/>
      <c r="AK3" s="41"/>
      <c r="AL3" s="41"/>
      <c r="AM3" s="41"/>
      <c r="AN3" s="90"/>
      <c r="AQ3" s="516" t="s">
        <v>11</v>
      </c>
      <c r="AR3" s="516" t="s">
        <v>12</v>
      </c>
      <c r="AS3" s="90" t="str">
        <f>IF($AR$3='Drop Downs'!$I$18,'Drop Downs'!$D$2,'Drop Downs'!$E$2)</f>
        <v>Nifty 50</v>
      </c>
    </row>
    <row r="4" ht="14.55" spans="1:62">
      <c r="A4" s="517" t="str" cm="1">
        <f t="array" ref="A4:A7">_xlfn._xlws.FILTER('Selector Sheet '!$B$14:$B$43,'Selector Sheet '!$A$14:$A$43=TRUE,"No funds selected")</f>
        <v>Renaissance Opportunities Fund PMS</v>
      </c>
      <c r="B4" s="199" cm="1">
        <f t="array" ref="B4:B25">_xlfn.IFNA(VLOOKUP($A$4:$A$25,'Selector Sheet '!$B$14:$D$43,3,FALSE),"")</f>
        <v>0.2</v>
      </c>
      <c r="C4" s="175" cm="1">
        <f t="array" ref="C4:C7">VLOOKUP(_xlfn.ANCHORARRAY($A$4),source_data!$T$2:$W$24,2,FALSE)</f>
        <v>0.78</v>
      </c>
      <c r="D4" s="176" cm="1">
        <f t="array" ref="D4:D7">VLOOKUP(_xlfn.ANCHORARRAY($A$4),source_data!$T$2:$W$24,3,FALSE)</f>
        <v>0.14</v>
      </c>
      <c r="E4" s="174" cm="1">
        <f t="array" ref="E4:E7">VLOOKUP(_xlfn.ANCHORARRAY($A$4),source_data!$T$2:$W$24,4,FALSE)</f>
        <v>0.07</v>
      </c>
      <c r="F4" s="182"/>
      <c r="G4" s="182"/>
      <c r="H4" s="182"/>
      <c r="I4" s="182"/>
      <c r="J4" s="182"/>
      <c r="K4" s="182"/>
      <c r="L4" s="182"/>
      <c r="M4" s="182"/>
      <c r="N4" s="182"/>
      <c r="S4" s="236" t="s">
        <v>13</v>
      </c>
      <c r="T4" s="90" t="s">
        <v>14</v>
      </c>
      <c r="V4" s="250" t="s">
        <v>15</v>
      </c>
      <c r="W4" s="246" t="e">
        <f>SUM($T$5:$T$7)</f>
        <v>#N/A</v>
      </c>
      <c r="X4" s="247"/>
      <c r="Z4" s="253" t="str" cm="1">
        <f t="array" ref="Z4:AA14">_xlfn._xlws.SORT(_xlfn.HSTACK(_xlfn.UNIQUE(source_data!$J$2:$J$192),_xlfn.BYROW(_xlfn.UNIQUE(source_data!$J$2:$J$192),_xlfn.LAMBDA(_xlpm.x,SUMIF(source_data!$J$2:$J$192,_xlpm.x,source_data!$L$2:$L$192)))),2,-1)</f>
        <v>Financial</v>
      </c>
      <c r="AA4" s="479" t="e">
        <v>#N/A</v>
      </c>
      <c r="AD4" s="518"/>
      <c r="AE4" s="90" t="s">
        <v>16</v>
      </c>
      <c r="AF4" s="2" t="s">
        <v>17</v>
      </c>
      <c r="AG4" s="3" t="s">
        <v>18</v>
      </c>
      <c r="AH4" s="3" t="s">
        <v>19</v>
      </c>
      <c r="AI4" s="522" vm="1" t="e" cm="1">
        <f ca="1" t="array" ref="AI4">IFERROR(INDEX(performace_data!#REF!,MATCH(TRIM(_xlfn.ANCHORARRAY($AD$5)),performace_data!#REF!,0),MATCH(TRIM(#REF!),performace_data!#REF!,0)),"")</f>
        <v>#VALUE!</v>
      </c>
      <c r="AJ4" s="3" t="s">
        <v>20</v>
      </c>
      <c r="AK4" s="3" t="s">
        <v>21</v>
      </c>
      <c r="AL4" s="3" t="s">
        <v>22</v>
      </c>
      <c r="AM4" s="3" t="s">
        <v>23</v>
      </c>
      <c r="AN4" s="15" t="s">
        <v>24</v>
      </c>
      <c r="AQ4" s="523" t="s">
        <v>25</v>
      </c>
      <c r="AR4" s="524" cm="1">
        <f t="array" ref="AR4">SUMPRODUCT(_xlfn._xlws.FILTER((VLOOKUP(_xlfn._xlws.FILTER('Drop Downs'!$J$26:$J$48,'Drop Downs'!$I$26:$I$48=$L$30,"Not Found"),$AD$33:$AN$48,2,FALSE)),NOT(ISNA((VLOOKUP(_xlfn._xlws.FILTER('Drop Downs'!$J$26:$J$48,'Drop Downs'!$I$26:$I$48=$L$30,"Not Found"),$AD$33:$AN$48,2,FALSE))))),_xlfn.IFNA(VLOOKUP(_xlfn._xlws.FILTER(_xlfn.ANCHORARRAY($AD$33),ISNUMBER(MATCH(_xlfn.ANCHORARRAY($AD$33),_xlfn._xlws.FILTER('Drop Downs'!$J$26:$J$48,'Drop Downs'!$I$26:$I$48=$L$30,"Not Found"),0))),'Selector Sheet '!$B$14:$D$43,2,FALSE),0))</f>
        <v>0.0203140680196934</v>
      </c>
      <c r="AS4" s="479" cm="1">
        <f t="array" ref="AS4:AS11">IF($AS$3='Drop Downs'!$D$2,(VLOOKUP('Output Dashboard (option 1)'!$AQ$4:$AQ$11,'Drop Downs'!$C$3:$E$10,2,FALSE)),VLOOKUP('Output Dashboard (option 1)'!$AQ$4:$AQ$11,'Drop Downs'!$C$3:$E$10,3,FALSE))</f>
        <v>-0.005306</v>
      </c>
      <c r="AU4" s="32"/>
      <c r="AW4" s="125"/>
      <c r="BA4" s="125"/>
      <c r="BJ4" s="32"/>
    </row>
    <row r="5" ht="14.55" spans="1:62">
      <c r="A5" s="168" t="str">
        <v>Nippon India Large Cap Fund(G)</v>
      </c>
      <c r="B5" s="174">
        <v>0.2</v>
      </c>
      <c r="C5" s="175">
        <v>0.837409</v>
      </c>
      <c r="D5" s="176">
        <v>0.107269</v>
      </c>
      <c r="E5" s="174">
        <v>0.038736</v>
      </c>
      <c r="F5" s="182"/>
      <c r="G5" s="182"/>
      <c r="H5" s="182"/>
      <c r="I5" s="182"/>
      <c r="J5" s="182"/>
      <c r="K5" s="182"/>
      <c r="L5" s="182"/>
      <c r="M5" s="182"/>
      <c r="N5" s="182"/>
      <c r="S5" s="238" t="str" cm="1">
        <f t="array" ref="S5:T24">_xlfn._xlws.SORT(_xlfn.TAKE(_xlfn._xlws.SORT(_xlfn.HSTACK(_xlfn.UNIQUE(source_data!$B$2:$B$567),_xlfn.BYROW(_xlfn.UNIQUE(source_data!$B$2:$B$567),_xlfn.LAMBDA(_xlpm.x,SUMIF(source_data!$B$2:$B$567,_xlpm.x,source_data!$D$2:$D$567)))),2,-1),20),2,-1)</f>
        <v>HDFC Bank</v>
      </c>
      <c r="T5" s="54" t="e">
        <v>#N/A</v>
      </c>
      <c r="V5" s="255" t="s">
        <v>26</v>
      </c>
      <c r="W5" s="251" t="e">
        <f>SUM($T$5:$T$9)</f>
        <v>#N/A</v>
      </c>
      <c r="X5" s="252"/>
      <c r="Z5" s="238" t="str">
        <v>Technology</v>
      </c>
      <c r="AA5" s="54" t="e">
        <v>#N/A</v>
      </c>
      <c r="AD5" s="211" t="str" cm="1">
        <f t="array" ref="AD5:AD20">IF($A$4:$A$19&gt;0,$A$4:$A$19,"")</f>
        <v>Renaissance Opportunities Fund PMS</v>
      </c>
      <c r="AE5" s="72" cm="1">
        <f t="array" ref="AE5:AE20">IFERROR(INDEX(performace_data!$B$3:$AN$293,MATCH(TRIM(_xlfn.ANCHORARRAY($AD$5)),performace_data!$B$3:$B$294,0),MATCH(TRIM(AE$4),performace_data!$B$4:$AM$4,0)),"")</f>
        <v>2.5</v>
      </c>
      <c r="AF5" s="53" cm="1">
        <f t="array" ref="AF5:AF20">IFERROR(INDEX(performace_data!$B$3:$AN$293,MATCH(TRIM(_xlfn.ANCHORARRAY($AD$5)),performace_data!$B$3:$B$294,0),MATCH(TRIM(AF$4),performace_data!$B$4:$AM$4,0)),"")</f>
        <v>-0.0338000000000001</v>
      </c>
      <c r="AG5" s="53" cm="1">
        <f t="array" ref="AG5:AG20">IFERROR(INDEX(performace_data!$B$3:$AN$293,MATCH(TRIM(_xlfn.ANCHORARRAY($AD$5)),performace_data!$B$3:$B$294,0),MATCH(TRIM(AG$4),performace_data!$B$4:$AM$4,0)),"")</f>
        <v>0.0129786502960001</v>
      </c>
      <c r="AH5" s="53" cm="1">
        <f t="array" ref="AH5:AH20">IFERROR(INDEX(performace_data!$B$3:$AN$293,MATCH(TRIM(_xlfn.ANCHORARRAY($AD$5)),performace_data!$B$3:$B$294,0),MATCH(TRIM(AH$4),performace_data!$B$4:$AM$4,0)),"")</f>
        <v>0.033656097499881</v>
      </c>
      <c r="AI5" s="53" t="str" cm="1">
        <f t="array" ref="AI5:AI20">IFERROR(INDEX(performace_data!$B$3:$AN$293,MATCH(TRIM(_xlfn.ANCHORARRAY($AD$5)),performace_data!$B$3:$B$294,0),MATCH(TRIM(AI$4),performace_data!$B$4:$AM$4,0)),"")</f>
        <v/>
      </c>
      <c r="AJ5" s="53" cm="1">
        <f t="array" ref="AJ5:AJ20">IFERROR(INDEX(performace_data!$B$3:$AN$293,MATCH(TRIM(_xlfn.ANCHORARRAY($AD$5)),performace_data!$B$3:$B$294,0),MATCH(TRIM(AJ$4),performace_data!$B$4:$AM$4,0)),"")</f>
        <v>-0.0271648364434391</v>
      </c>
      <c r="AK5" s="53" t="str" cm="1">
        <f t="array" ref="AK5:AK20">IFERROR(INDEX(performace_data!$B$3:$AN$293,MATCH(TRIM(_xlfn.ANCHORARRAY($AD$5)),performace_data!$B$3:$B$294,0),MATCH(TRIM(AK$4),performace_data!$B$4:$AM$4,0)),"")</f>
        <v/>
      </c>
      <c r="AL5" s="53" cm="1">
        <f t="array" ref="AL5:AL20">IFERROR(INDEX(performace_data!$B$3:$AN$293,MATCH(TRIM(_xlfn.ANCHORARRAY($AD$5)),performace_data!$B$3:$B$294,0),MATCH(TRIM(AL$4),performace_data!$B$4:$AM$4,0)),"")</f>
        <v>0.183371252542426</v>
      </c>
      <c r="AM5" s="53" cm="1">
        <f t="array" ref="AM5:AM20">IFERROR(INDEX(performace_data!$B$3:$AN$293,MATCH(TRIM(_xlfn.ANCHORARRAY($AD$5)),performace_data!$B$3:$B$294,0),MATCH(TRIM(AM$4),performace_data!$B$4:$AM$4,0)),"")</f>
        <v>0.259155398552223</v>
      </c>
      <c r="AN5" s="54" t="str" cm="1">
        <f t="array" ref="AN5:AN20">IFERROR(INDEX(performace_data!$B$3:$AN$293,MATCH(TRIM(_xlfn.ANCHORARRAY($AD$5)),performace_data!$B$3:$B$294,0),MATCH(TRIM(AN$4),performace_data!$B$4:$AM$4,0)),"")</f>
        <v>NA</v>
      </c>
      <c r="AQ5" s="523">
        <v>2024</v>
      </c>
      <c r="AR5" s="525" cm="1">
        <f t="array" ref="AR5">SUMPRODUCT(_xlfn._xlws.FILTER((VLOOKUP(_xlfn._xlws.FILTER('Drop Downs'!$J$26:$J$48,'Drop Downs'!$I$26:$I$48=$AR$3,"Not Found"),$AD$33:$AN$48,3,FALSE)),NOT(ISNA((VLOOKUP(_xlfn._xlws.FILTER('Drop Downs'!$J$26:$J$48,'Drop Downs'!$I$26:$I$48=$AR$3,"Not Found"),$AD$33:$AN$48,3,FALSE))))),_xlfn.IFNA(VLOOKUP(_xlfn._xlws.FILTER(_xlfn.ANCHORARRAY($AD$33),ISNUMBER(MATCH(_xlfn.ANCHORARRAY($AD$33),_xlfn._xlws.FILTER('Drop Downs'!$J$26:$J$48,'Drop Downs'!$I$26:$I$48=$AR$3,"Not Found"),0))),'Selector Sheet '!$B$14:$D$43,2,FALSE),0))</f>
        <v>0.258626241620342</v>
      </c>
      <c r="AS5" s="54">
        <v>0.0880476902077809</v>
      </c>
      <c r="AU5" s="32"/>
      <c r="AW5" s="125"/>
      <c r="BA5" s="125"/>
      <c r="BJ5" s="32"/>
    </row>
    <row r="6" ht="14.55" spans="1:62">
      <c r="A6" s="168" t="str">
        <v>SBI Large &amp; Midcap Fund-Reg(G)</v>
      </c>
      <c r="B6" s="174">
        <v>0.04</v>
      </c>
      <c r="C6" s="175">
        <v>0.433817</v>
      </c>
      <c r="D6" s="176">
        <v>0.360591</v>
      </c>
      <c r="E6" s="174">
        <v>0.149174</v>
      </c>
      <c r="F6" s="182"/>
      <c r="G6" s="182"/>
      <c r="H6" s="182"/>
      <c r="I6" s="182"/>
      <c r="J6" s="182"/>
      <c r="K6" s="182"/>
      <c r="L6" s="182"/>
      <c r="M6" s="182"/>
      <c r="N6" s="182"/>
      <c r="S6" s="238" t="str">
        <v>ICICI Bank</v>
      </c>
      <c r="T6" s="54" t="e">
        <v>#N/A</v>
      </c>
      <c r="V6" s="255" t="s">
        <v>27</v>
      </c>
      <c r="W6" s="251" t="e">
        <f>SUM($T$5:$T$14)</f>
        <v>#N/A</v>
      </c>
      <c r="X6" s="252"/>
      <c r="Z6" s="238" t="str">
        <v>Consumer Discretionary</v>
      </c>
      <c r="AA6" s="54" t="e">
        <v>#N/A</v>
      </c>
      <c r="AD6" s="211" t="str">
        <v>Nippon India Large Cap Fund(G)</v>
      </c>
      <c r="AE6" s="72">
        <v>1.51</v>
      </c>
      <c r="AF6" s="53">
        <v>-0.017875</v>
      </c>
      <c r="AG6" s="53">
        <v>0.047609</v>
      </c>
      <c r="AH6" s="53">
        <v>0.078495</v>
      </c>
      <c r="AI6" s="53" t="str">
        <v/>
      </c>
      <c r="AJ6" s="53">
        <v>0.006832</v>
      </c>
      <c r="AK6" s="53" t="str">
        <v/>
      </c>
      <c r="AL6" s="53">
        <v>0.204123</v>
      </c>
      <c r="AM6" s="53">
        <v>0.251486</v>
      </c>
      <c r="AN6" s="54">
        <v>0.137065</v>
      </c>
      <c r="AQ6" s="523">
        <v>2023</v>
      </c>
      <c r="AR6" s="525" cm="1">
        <f t="array" ref="AR6">SUMPRODUCT(_xlfn._xlws.FILTER((VLOOKUP(_xlfn._xlws.FILTER('Drop Downs'!$J$26:$J$41,'Drop Downs'!$I$26:$I$41=$AR$3,"Not Found"),$AD$33:$AN$48,4,FALSE)),NOT(ISNA((VLOOKUP(_xlfn._xlws.FILTER('Drop Downs'!$J$26:$J$41,'Drop Downs'!$I$26:$I$41=$AR$3,"Not Found"),$AD$33:$AN$48,4,FALSE))))),_xlfn.IFNA(VLOOKUP(_xlfn._xlws.FILTER(_xlfn.ANCHORARRAY($AD$33),ISNUMBER(MATCH(_xlfn.ANCHORARRAY($AD$33),_xlfn._xlws.FILTER('Drop Downs'!$J$26:$J$41,'Drop Downs'!$I$26:$I$41=$AR$3,"Not Found"),0))),'Selector Sheet '!$B$14:$D$43,2,FALSE),0))</f>
        <v>0.347849558827031</v>
      </c>
      <c r="AS6" s="54">
        <v>0.200278393101744</v>
      </c>
      <c r="AU6" s="32"/>
      <c r="AW6" s="125"/>
      <c r="BA6" s="125"/>
      <c r="BJ6" s="32"/>
    </row>
    <row r="7" ht="14.55" spans="1:62">
      <c r="A7" s="168" t="str">
        <v>Canara Rob Emerg Equities Fund-Reg(G)</v>
      </c>
      <c r="B7" s="174">
        <v>0.04</v>
      </c>
      <c r="C7" s="175">
        <v>0.453308</v>
      </c>
      <c r="D7" s="176">
        <v>0.392334</v>
      </c>
      <c r="E7" s="174">
        <v>0.125245</v>
      </c>
      <c r="F7" s="182"/>
      <c r="G7" s="182"/>
      <c r="H7" s="182"/>
      <c r="I7" s="182"/>
      <c r="J7" s="182"/>
      <c r="K7" s="182"/>
      <c r="L7" s="182"/>
      <c r="M7" s="182"/>
      <c r="N7" s="182"/>
      <c r="S7" s="238" t="str">
        <v>Reliance Ind</v>
      </c>
      <c r="T7" s="54" t="e">
        <v>#N/A</v>
      </c>
      <c r="V7" s="256" t="s">
        <v>28</v>
      </c>
      <c r="W7" s="257" t="e">
        <f>SUM($T$5:$T$24)</f>
        <v>#N/A</v>
      </c>
      <c r="X7" s="258"/>
      <c r="Z7" s="238" t="str">
        <v>Energy &amp; Utilities</v>
      </c>
      <c r="AA7" s="54" t="e">
        <v>#N/A</v>
      </c>
      <c r="AD7" s="211" t="str">
        <v>SBI Large &amp; Midcap Fund-Reg(G)</v>
      </c>
      <c r="AE7" s="72">
        <v>1.58</v>
      </c>
      <c r="AF7" s="53">
        <v>-0.009427</v>
      </c>
      <c r="AG7" s="53">
        <v>0.065682</v>
      </c>
      <c r="AH7" s="53">
        <v>0.085126</v>
      </c>
      <c r="AI7" s="53" t="str">
        <v/>
      </c>
      <c r="AJ7" s="53">
        <v>0.02127</v>
      </c>
      <c r="AK7" s="53" t="str">
        <v/>
      </c>
      <c r="AL7" s="53">
        <v>0.192237</v>
      </c>
      <c r="AM7" s="53">
        <v>0.246868</v>
      </c>
      <c r="AN7" s="54">
        <v>0.141788</v>
      </c>
      <c r="AQ7" s="523">
        <v>2022</v>
      </c>
      <c r="AR7" s="525" cm="1">
        <f t="array" ref="AR7">SUMPRODUCT(_xlfn._xlws.FILTER((VLOOKUP(_xlfn._xlws.FILTER('Drop Downs'!$J$26:$J$41,'Drop Downs'!$I$26:$I$41=$AR$3,"Not Found"),$AD$33:$AN$48,5,FALSE)),NOT(ISNA((VLOOKUP(_xlfn._xlws.FILTER('Drop Downs'!$J$26:$J$41,'Drop Downs'!$I$26:$I$41=$AR$3,"Not Found"),$AD$33:$AN$48,5,FALSE))))),_xlfn.IFNA(VLOOKUP(_xlfn._xlws.FILTER(_xlfn.ANCHORARRAY($AD$33),ISNUMBER(MATCH(_xlfn.ANCHORARRAY($AD$33),_xlfn._xlws.FILTER('Drop Downs'!$J$26:$J$41,'Drop Downs'!$I$26:$I$41=$AR$3,"Not Found"),0))),'Selector Sheet '!$B$14:$D$43,2,FALSE),0))</f>
        <v>0.112697169395463</v>
      </c>
      <c r="AS7" s="54">
        <v>0.0432896067488569</v>
      </c>
      <c r="AU7" s="32"/>
      <c r="AW7" s="125"/>
      <c r="BA7" s="125"/>
      <c r="BJ7" s="32"/>
    </row>
    <row r="8" ht="14.55" spans="1:62">
      <c r="A8" s="168"/>
      <c r="B8" s="174" t="str">
        <v/>
      </c>
      <c r="C8" s="175"/>
      <c r="D8" s="176"/>
      <c r="E8" s="174"/>
      <c r="F8" s="182"/>
      <c r="G8" s="182"/>
      <c r="H8" s="182"/>
      <c r="I8" s="182"/>
      <c r="J8" s="182"/>
      <c r="K8" s="182"/>
      <c r="L8" s="182"/>
      <c r="M8" s="182"/>
      <c r="N8" s="182"/>
      <c r="S8" s="238" t="str">
        <v>Infosys</v>
      </c>
      <c r="T8" s="54" t="e">
        <v>#N/A</v>
      </c>
      <c r="Z8" s="238" t="str">
        <v>Consumer Staples</v>
      </c>
      <c r="AA8" s="54" t="e">
        <v>#N/A</v>
      </c>
      <c r="AD8" s="211" t="str">
        <v>Canara Rob Emerg Equities Fund-Reg(G)</v>
      </c>
      <c r="AE8" s="72">
        <v>1.6</v>
      </c>
      <c r="AF8" s="53">
        <v>-0.025189</v>
      </c>
      <c r="AG8" s="53">
        <v>0.055282</v>
      </c>
      <c r="AH8" s="53">
        <v>0.073313</v>
      </c>
      <c r="AI8" s="53" t="str">
        <v/>
      </c>
      <c r="AJ8" s="53">
        <v>0.005758</v>
      </c>
      <c r="AK8" s="53" t="str">
        <v/>
      </c>
      <c r="AL8" s="53">
        <v>0.173117</v>
      </c>
      <c r="AM8" s="53">
        <v>0.221895</v>
      </c>
      <c r="AN8" s="54">
        <v>0.147989</v>
      </c>
      <c r="AQ8" s="523">
        <v>2021</v>
      </c>
      <c r="AR8" s="525" cm="1">
        <f t="array" ref="AR8">SUMPRODUCT(_xlfn._xlws.FILTER((VLOOKUP(_xlfn._xlws.FILTER('Drop Downs'!$J$26:$J$41,'Drop Downs'!$I$26:$I$41=$AR$3,"Not Found"),$AD$33:$AN$48,7,FALSE)),NOT(ISNA((VLOOKUP(_xlfn._xlws.FILTER('Drop Downs'!$J$26:$J$41,'Drop Downs'!$I$26:$I$41=$AR$3,"Not Found"),$AD$33:$AN$48,7,FALSE))))),_xlfn.IFNA(VLOOKUP(_xlfn._xlws.FILTER(_xlfn.ANCHORARRAY($AD$33),ISNUMBER(MATCH(_xlfn.ANCHORARRAY($AD$33),_xlfn._xlws.FILTER('Drop Downs'!$J$26:$J$41,'Drop Downs'!$I$26:$I$41=$AR$3,"Not Found"),0))),'Selector Sheet '!$B$14:$D$43,2,FALSE),0))</f>
        <v>0.419969090958717</v>
      </c>
      <c r="AS8" s="54">
        <v>0.241192983710909</v>
      </c>
      <c r="AU8" s="32"/>
      <c r="AV8" s="32"/>
      <c r="AW8" s="125"/>
      <c r="BA8" s="125"/>
      <c r="BJ8" s="32"/>
    </row>
    <row r="9" ht="14.55" spans="1:62">
      <c r="A9" s="168"/>
      <c r="B9" s="174" t="str">
        <v/>
      </c>
      <c r="C9" s="175"/>
      <c r="D9" s="176"/>
      <c r="E9" s="174"/>
      <c r="F9" s="182"/>
      <c r="G9" s="182"/>
      <c r="H9" s="182"/>
      <c r="I9" s="182"/>
      <c r="J9" s="182"/>
      <c r="K9" s="182"/>
      <c r="L9" s="182"/>
      <c r="M9" s="182"/>
      <c r="N9" s="182"/>
      <c r="S9" s="238" t="str">
        <v>Larsen &amp; Toubro</v>
      </c>
      <c r="T9" s="54" t="e">
        <v>#N/A</v>
      </c>
      <c r="Z9" s="238" t="str">
        <v>Industrials</v>
      </c>
      <c r="AA9" s="54" t="e">
        <v>#N/A</v>
      </c>
      <c r="AD9" s="211" t="str">
        <v/>
      </c>
      <c r="AE9" s="72" t="str">
        <v/>
      </c>
      <c r="AF9" s="53" t="str">
        <v/>
      </c>
      <c r="AG9" s="53" t="str">
        <v/>
      </c>
      <c r="AH9" s="53" t="str">
        <v/>
      </c>
      <c r="AI9" s="53" t="str">
        <v/>
      </c>
      <c r="AJ9" s="53" t="str">
        <v/>
      </c>
      <c r="AK9" s="53" t="str">
        <v/>
      </c>
      <c r="AL9" s="53" t="str">
        <v/>
      </c>
      <c r="AM9" s="53" t="str">
        <v/>
      </c>
      <c r="AN9" s="54" t="str">
        <v/>
      </c>
      <c r="AQ9" s="523">
        <v>2020</v>
      </c>
      <c r="AR9" s="525" cm="1">
        <f t="array" ref="AR9">SUMPRODUCT(_xlfn._xlws.FILTER((VLOOKUP(_xlfn._xlws.FILTER('Drop Downs'!$J$26:$J$41,'Drop Downs'!$I$26:$I$41=$AR$3,"Not Found"),$AD$33:$AN$48,9,FALSE)),NOT(ISNA((VLOOKUP(_xlfn._xlws.FILTER('Drop Downs'!$J$26:$J$41,'Drop Downs'!$I$26:$I$41=$AR$3,"Not Found"),$AD$33:$AN$48,9,FALSE))))),_xlfn.IFNA(VLOOKUP(_xlfn._xlws.FILTER(_xlfn.ANCHORARRAY($AD$33),ISNUMBER(MATCH(_xlfn.ANCHORARRAY($AD$33),_xlfn._xlws.FILTER('Drop Downs'!$J$26:$J$41,'Drop Downs'!$I$26:$I$41=$AR$3,"Not Found"),0))),'Selector Sheet '!$B$14:$D$43,2,FALSE),0))</f>
        <v>0.109524557222032</v>
      </c>
      <c r="AS9" s="54">
        <v>0.149016514017808</v>
      </c>
      <c r="AU9" s="32"/>
      <c r="AV9" s="32"/>
      <c r="AW9" s="125"/>
      <c r="BA9" s="125"/>
      <c r="BJ9" s="32"/>
    </row>
    <row r="10" ht="14.55" spans="1:62">
      <c r="A10" s="168"/>
      <c r="B10" s="174" t="str">
        <v/>
      </c>
      <c r="C10" s="175"/>
      <c r="D10" s="176"/>
      <c r="E10" s="174"/>
      <c r="F10" s="182"/>
      <c r="G10" s="182"/>
      <c r="H10" s="182"/>
      <c r="I10" s="182"/>
      <c r="J10" s="182"/>
      <c r="K10" s="182"/>
      <c r="L10" s="182"/>
      <c r="M10" s="182"/>
      <c r="N10" s="182"/>
      <c r="S10" s="238" t="str">
        <v>Bharti Airtel</v>
      </c>
      <c r="T10" s="54" t="e">
        <v>#N/A</v>
      </c>
      <c r="Z10" s="238" t="str">
        <v>Materials</v>
      </c>
      <c r="AA10" s="54" t="e">
        <v>#N/A</v>
      </c>
      <c r="AD10" s="211" t="str">
        <v/>
      </c>
      <c r="AE10" s="72" t="str">
        <v/>
      </c>
      <c r="AF10" s="53" t="str">
        <v/>
      </c>
      <c r="AG10" s="53" t="str">
        <v/>
      </c>
      <c r="AH10" s="53" t="str">
        <v/>
      </c>
      <c r="AI10" s="53" t="str">
        <v/>
      </c>
      <c r="AJ10" s="53" t="str">
        <v/>
      </c>
      <c r="AK10" s="53" t="str">
        <v/>
      </c>
      <c r="AL10" s="53" t="str">
        <v/>
      </c>
      <c r="AM10" s="53" t="str">
        <v/>
      </c>
      <c r="AN10" s="54" t="str">
        <v/>
      </c>
      <c r="AQ10" s="523">
        <v>2019</v>
      </c>
      <c r="AR10" s="525" cm="1">
        <f t="array" ref="AR10">SUMPRODUCT(_xlfn._xlws.FILTER((VLOOKUP(_xlfn._xlws.FILTER('Drop Downs'!$J$26:$J$41,'Drop Downs'!$I$26:$I$41=$AR$3,"Not Found"),$AD$33:$AN$48,10,FALSE)),NOT(ISNA((VLOOKUP(_xlfn._xlws.FILTER('Drop Downs'!$J$26:$J$41,'Drop Downs'!$I$26:$I$41=$AR$3,"Not Found"),$AD$33:$AN$48,10,FALSE))))),_xlfn.IFNA(VLOOKUP(_xlfn._xlws.FILTER(_xlfn.ANCHORARRAY($AD$33),ISNUMBER(MATCH(_xlfn.ANCHORARRAY($AD$33),_xlfn._xlws.FILTER('Drop Downs'!$J$26:$J$41,'Drop Downs'!$I$26:$I$41=$AR$3,"Not Found"),0))),'Selector Sheet '!$B$14:$D$43,2,FALSE),0))</f>
        <v>0.106414710386183</v>
      </c>
      <c r="AS10" s="54">
        <v>0.120220390239861</v>
      </c>
      <c r="AU10" s="32"/>
      <c r="AV10" s="32"/>
      <c r="BA10" s="125"/>
      <c r="BJ10" s="32"/>
    </row>
    <row r="11" ht="14.55" spans="1:62">
      <c r="A11" s="168"/>
      <c r="B11" s="174" t="str">
        <v/>
      </c>
      <c r="C11" s="175"/>
      <c r="D11" s="176"/>
      <c r="E11" s="174"/>
      <c r="F11" s="182"/>
      <c r="G11" s="182"/>
      <c r="H11" s="182"/>
      <c r="I11" s="182"/>
      <c r="J11" s="182"/>
      <c r="K11" s="182"/>
      <c r="L11" s="182"/>
      <c r="M11" s="182"/>
      <c r="N11" s="182"/>
      <c r="S11" s="238" t="str">
        <v>Mahindra &amp; Mahindra</v>
      </c>
      <c r="T11" s="54" t="e">
        <v>#N/A</v>
      </c>
      <c r="Z11" s="238" t="str">
        <v>Healthcare</v>
      </c>
      <c r="AA11" s="54" t="e">
        <v>#N/A</v>
      </c>
      <c r="AD11" s="211" t="str">
        <v/>
      </c>
      <c r="AE11" s="72" t="str">
        <v/>
      </c>
      <c r="AF11" s="53" t="str">
        <v/>
      </c>
      <c r="AG11" s="53" t="str">
        <v/>
      </c>
      <c r="AH11" s="53" t="str">
        <v/>
      </c>
      <c r="AI11" s="53" t="str">
        <v/>
      </c>
      <c r="AJ11" s="53" t="str">
        <v/>
      </c>
      <c r="AK11" s="53" t="str">
        <v/>
      </c>
      <c r="AL11" s="53" t="str">
        <v/>
      </c>
      <c r="AM11" s="53" t="str">
        <v/>
      </c>
      <c r="AN11" s="54" t="str">
        <v/>
      </c>
      <c r="AQ11" s="523">
        <v>2018</v>
      </c>
      <c r="AR11" s="260" cm="1">
        <f t="array" ref="AR11">SUMPRODUCT(_xlfn._xlws.FILTER((VLOOKUP(_xlfn._xlws.FILTER('Drop Downs'!$J$26:$J$41,'Drop Downs'!$I$26:$I$41=$AR$3,"Not Found"),$AD$33:$AN$48,11,FALSE)),NOT(ISNA((VLOOKUP(_xlfn._xlws.FILTER('Drop Downs'!$J$26:$J$41,'Drop Downs'!$I$26:$I$41=$AR$3,"Not Found"),$AD$33:$AN$48,11,FALSE))))),_xlfn.IFNA(VLOOKUP(_xlfn._xlws.FILTER(_xlfn.ANCHORARRAY($AD$33),ISNUMBER(MATCH(_xlfn.ANCHORARRAY($AD$33),_xlfn._xlws.FILTER('Drop Downs'!$J$26:$J$41,'Drop Downs'!$I$26:$I$41=$AR$3,"Not Found"),0))),'Selector Sheet '!$B$14:$D$43,2,FALSE),0))</f>
        <v>-0.0541333071007977</v>
      </c>
      <c r="AS11" s="260">
        <v>0.0315126249916908</v>
      </c>
      <c r="AU11" s="32"/>
      <c r="AV11" s="32"/>
      <c r="BJ11" s="32"/>
    </row>
    <row r="12" spans="1:62">
      <c r="A12" s="168"/>
      <c r="B12" s="174" t="str">
        <v/>
      </c>
      <c r="C12" s="175"/>
      <c r="D12" s="176"/>
      <c r="E12" s="174"/>
      <c r="F12" s="182"/>
      <c r="G12" s="182"/>
      <c r="H12" s="182"/>
      <c r="I12" s="182"/>
      <c r="J12" s="182"/>
      <c r="K12" s="182"/>
      <c r="L12" s="182"/>
      <c r="M12" s="182"/>
      <c r="N12" s="182"/>
      <c r="S12" s="238" t="str">
        <v>Axis Bank</v>
      </c>
      <c r="T12" s="54" t="e">
        <v>#N/A</v>
      </c>
      <c r="Z12" s="238" t="str">
        <v>Real Estate</v>
      </c>
      <c r="AA12" s="54" t="e">
        <v>#N/A</v>
      </c>
      <c r="AD12" s="211" t="str">
        <v/>
      </c>
      <c r="AE12" s="72" t="str">
        <v/>
      </c>
      <c r="AF12" s="53" t="str">
        <v/>
      </c>
      <c r="AG12" s="53" t="str">
        <v/>
      </c>
      <c r="AH12" s="53" t="str">
        <v/>
      </c>
      <c r="AI12" s="53" t="str">
        <v/>
      </c>
      <c r="AJ12" s="53" t="str">
        <v/>
      </c>
      <c r="AK12" s="53" t="str">
        <v/>
      </c>
      <c r="AL12" s="53" t="str">
        <v/>
      </c>
      <c r="AM12" s="53" t="str">
        <v/>
      </c>
      <c r="AN12" s="54" t="str">
        <v/>
      </c>
      <c r="AQ12" s="72"/>
      <c r="AR12" s="36"/>
      <c r="AU12" s="32"/>
      <c r="AV12" s="32"/>
      <c r="BJ12" s="32"/>
    </row>
    <row r="13" spans="1:62">
      <c r="A13" s="168"/>
      <c r="B13" s="174" t="str">
        <v/>
      </c>
      <c r="C13" s="175"/>
      <c r="D13" s="176"/>
      <c r="E13" s="174"/>
      <c r="F13" s="182"/>
      <c r="G13" s="182"/>
      <c r="H13" s="182"/>
      <c r="I13" s="182"/>
      <c r="J13" s="182"/>
      <c r="K13" s="182"/>
      <c r="L13" s="182"/>
      <c r="M13" s="182"/>
      <c r="N13" s="182"/>
      <c r="S13" s="238" t="str">
        <v>ITC</v>
      </c>
      <c r="T13" s="54" t="e">
        <v>#N/A</v>
      </c>
      <c r="Z13" s="238" t="str">
        <v>Diversified</v>
      </c>
      <c r="AA13" s="54" t="e">
        <v>#N/A</v>
      </c>
      <c r="AD13" s="211" t="str">
        <v/>
      </c>
      <c r="AE13" s="72" t="str">
        <v/>
      </c>
      <c r="AF13" s="53" t="str">
        <v/>
      </c>
      <c r="AG13" s="53" t="str">
        <v/>
      </c>
      <c r="AH13" s="53" t="str">
        <v/>
      </c>
      <c r="AI13" s="53" t="str">
        <v/>
      </c>
      <c r="AJ13" s="53" t="str">
        <v/>
      </c>
      <c r="AK13" s="53" t="str">
        <v/>
      </c>
      <c r="AL13" s="53" t="str">
        <v/>
      </c>
      <c r="AM13" s="53" t="str">
        <v/>
      </c>
      <c r="AN13" s="54" t="str">
        <v/>
      </c>
      <c r="AQ13" s="72"/>
      <c r="AR13" s="36"/>
      <c r="AU13" s="32"/>
      <c r="AV13" s="32"/>
      <c r="BJ13" s="32"/>
    </row>
    <row r="14" ht="14.55" spans="1:48">
      <c r="A14" s="168"/>
      <c r="B14" s="174" t="str">
        <v/>
      </c>
      <c r="C14" s="175"/>
      <c r="D14" s="176"/>
      <c r="E14" s="174"/>
      <c r="F14" s="182"/>
      <c r="G14" s="182"/>
      <c r="H14" s="182"/>
      <c r="I14" s="182"/>
      <c r="J14" s="182"/>
      <c r="K14" s="182"/>
      <c r="L14" s="182"/>
      <c r="M14" s="182"/>
      <c r="N14" s="182"/>
      <c r="S14" s="238" t="str">
        <v>SBI</v>
      </c>
      <c r="T14" s="54" t="e">
        <v>#N/A</v>
      </c>
      <c r="Z14" s="287" t="str">
        <v>Cash (Unclassified)</v>
      </c>
      <c r="AA14" s="260">
        <v>0</v>
      </c>
      <c r="AD14" s="224" t="str">
        <v/>
      </c>
      <c r="AE14" s="72" t="str">
        <v/>
      </c>
      <c r="AF14" s="53" t="str">
        <v/>
      </c>
      <c r="AG14" s="53" t="str">
        <v/>
      </c>
      <c r="AH14" s="53" t="str">
        <v/>
      </c>
      <c r="AI14" s="53" t="str">
        <v/>
      </c>
      <c r="AJ14" s="53" t="str">
        <v/>
      </c>
      <c r="AK14" s="53" t="str">
        <v/>
      </c>
      <c r="AL14" s="53" t="str">
        <v/>
      </c>
      <c r="AM14" s="53" t="str">
        <v/>
      </c>
      <c r="AN14" s="54" t="str">
        <v/>
      </c>
      <c r="AQ14" s="72"/>
      <c r="AR14" s="36"/>
      <c r="AT14" s="32"/>
      <c r="AU14" s="32"/>
      <c r="AV14" s="32"/>
    </row>
    <row r="15" spans="1:48">
      <c r="A15" s="168"/>
      <c r="B15" s="174" t="str">
        <v/>
      </c>
      <c r="C15" s="175"/>
      <c r="D15" s="176"/>
      <c r="E15" s="174"/>
      <c r="F15" s="182"/>
      <c r="G15" s="182"/>
      <c r="H15" s="182"/>
      <c r="I15" s="182"/>
      <c r="J15" s="182"/>
      <c r="K15" s="182"/>
      <c r="L15" s="182"/>
      <c r="M15" s="182"/>
      <c r="N15" s="182"/>
      <c r="S15" s="238" t="str">
        <v>Maruti Suzuki</v>
      </c>
      <c r="T15" s="54" t="e">
        <v>#N/A</v>
      </c>
      <c r="AD15" s="224" t="str">
        <v/>
      </c>
      <c r="AE15" s="72" t="str">
        <v/>
      </c>
      <c r="AF15" s="53" t="str">
        <v/>
      </c>
      <c r="AG15" s="53" t="str">
        <v/>
      </c>
      <c r="AH15" s="53" t="str">
        <v/>
      </c>
      <c r="AI15" s="53" t="str">
        <v/>
      </c>
      <c r="AJ15" s="53" t="str">
        <v/>
      </c>
      <c r="AK15" s="53" t="str">
        <v/>
      </c>
      <c r="AL15" s="53" t="str">
        <v/>
      </c>
      <c r="AM15" s="53" t="str">
        <v/>
      </c>
      <c r="AN15" s="54" t="str">
        <v/>
      </c>
      <c r="AQ15" s="72"/>
      <c r="AR15" s="36"/>
      <c r="AT15" s="32"/>
      <c r="AU15" s="32"/>
      <c r="AV15" s="32"/>
    </row>
    <row r="16" spans="1:48">
      <c r="A16" s="168"/>
      <c r="B16" s="174" t="str">
        <v/>
      </c>
      <c r="C16" s="175"/>
      <c r="D16" s="176"/>
      <c r="E16" s="174"/>
      <c r="F16" s="182"/>
      <c r="G16" s="182"/>
      <c r="H16" s="182"/>
      <c r="I16" s="182"/>
      <c r="J16" s="182"/>
      <c r="K16" s="182"/>
      <c r="L16" s="182"/>
      <c r="M16" s="182"/>
      <c r="N16" s="182"/>
      <c r="S16" s="238" t="str">
        <v>NTPC</v>
      </c>
      <c r="T16" s="54" t="e">
        <v>#N/A</v>
      </c>
      <c r="AD16" s="224" t="str">
        <v/>
      </c>
      <c r="AE16" s="72" t="str">
        <v/>
      </c>
      <c r="AF16" s="53" t="str">
        <v/>
      </c>
      <c r="AG16" s="53" t="str">
        <v/>
      </c>
      <c r="AH16" s="53" t="str">
        <v/>
      </c>
      <c r="AI16" s="53" t="str">
        <v/>
      </c>
      <c r="AJ16" s="53" t="str">
        <v/>
      </c>
      <c r="AK16" s="53" t="str">
        <v/>
      </c>
      <c r="AL16" s="53" t="str">
        <v/>
      </c>
      <c r="AM16" s="53" t="str">
        <v/>
      </c>
      <c r="AN16" s="54" t="str">
        <v/>
      </c>
      <c r="AT16" s="32"/>
      <c r="AU16" s="32"/>
      <c r="AV16" s="32"/>
    </row>
    <row r="17" spans="1:48">
      <c r="A17" s="168"/>
      <c r="B17" s="174" t="str">
        <v/>
      </c>
      <c r="C17" s="175"/>
      <c r="D17" s="176"/>
      <c r="E17" s="174"/>
      <c r="F17" s="182"/>
      <c r="G17" s="182"/>
      <c r="H17" s="182"/>
      <c r="I17" s="182"/>
      <c r="J17" s="182"/>
      <c r="K17" s="182"/>
      <c r="L17" s="182"/>
      <c r="M17" s="182"/>
      <c r="N17" s="182"/>
      <c r="S17" s="238" t="str">
        <v>Tata Consultancy</v>
      </c>
      <c r="T17" s="54" t="e">
        <v>#N/A</v>
      </c>
      <c r="AD17" s="224" t="str">
        <v/>
      </c>
      <c r="AE17" s="72" t="str">
        <v/>
      </c>
      <c r="AF17" s="53" t="str">
        <v/>
      </c>
      <c r="AG17" s="53" t="str">
        <v/>
      </c>
      <c r="AH17" s="53" t="str">
        <v/>
      </c>
      <c r="AI17" s="53" t="str">
        <v/>
      </c>
      <c r="AJ17" s="53" t="str">
        <v/>
      </c>
      <c r="AK17" s="53" t="str">
        <v/>
      </c>
      <c r="AL17" s="53" t="str">
        <v/>
      </c>
      <c r="AM17" s="53" t="str">
        <v/>
      </c>
      <c r="AN17" s="54" t="str">
        <v/>
      </c>
      <c r="AT17" s="32"/>
      <c r="AU17" s="32"/>
      <c r="AV17" s="32"/>
    </row>
    <row r="18" spans="1:48">
      <c r="A18" s="168"/>
      <c r="B18" s="174" t="str">
        <v/>
      </c>
      <c r="C18" s="175"/>
      <c r="D18" s="176"/>
      <c r="E18" s="174"/>
      <c r="F18" s="182"/>
      <c r="G18" s="182"/>
      <c r="H18" s="182"/>
      <c r="I18" s="182"/>
      <c r="J18" s="182"/>
      <c r="K18" s="182"/>
      <c r="L18" s="182"/>
      <c r="M18" s="182"/>
      <c r="N18" s="182"/>
      <c r="S18" s="238" t="str">
        <v>Sun Pharmaceutical</v>
      </c>
      <c r="T18" s="54" t="e">
        <v>#N/A</v>
      </c>
      <c r="AD18" s="224" t="str">
        <v/>
      </c>
      <c r="AE18" s="72" t="str">
        <v/>
      </c>
      <c r="AF18" s="53" t="str">
        <v/>
      </c>
      <c r="AG18" s="53" t="str">
        <v/>
      </c>
      <c r="AH18" s="53" t="str">
        <v/>
      </c>
      <c r="AI18" s="53" t="str">
        <v/>
      </c>
      <c r="AJ18" s="53" t="str">
        <v/>
      </c>
      <c r="AK18" s="53" t="str">
        <v/>
      </c>
      <c r="AL18" s="53" t="str">
        <v/>
      </c>
      <c r="AM18" s="53" t="str">
        <v/>
      </c>
      <c r="AN18" s="54" t="str">
        <v/>
      </c>
      <c r="AT18" s="32"/>
      <c r="AU18" s="32"/>
      <c r="AV18" s="32"/>
    </row>
    <row r="19" spans="1:48">
      <c r="A19" s="168"/>
      <c r="B19" s="174" t="str">
        <v/>
      </c>
      <c r="C19" s="175"/>
      <c r="D19" s="176"/>
      <c r="E19" s="174"/>
      <c r="F19" s="182"/>
      <c r="G19" s="182"/>
      <c r="H19" s="182"/>
      <c r="I19" s="182"/>
      <c r="J19" s="182"/>
      <c r="K19" s="182"/>
      <c r="L19" s="182"/>
      <c r="M19" s="182"/>
      <c r="N19" s="182"/>
      <c r="S19" s="238" t="str">
        <v>Ultratech Cement</v>
      </c>
      <c r="T19" s="54" t="e">
        <v>#N/A</v>
      </c>
      <c r="AD19" s="224" t="str">
        <v/>
      </c>
      <c r="AE19" s="72" t="str">
        <v/>
      </c>
      <c r="AF19" s="53" t="str">
        <v/>
      </c>
      <c r="AG19" s="53" t="str">
        <v/>
      </c>
      <c r="AH19" s="53" t="str">
        <v/>
      </c>
      <c r="AI19" s="53" t="str">
        <v/>
      </c>
      <c r="AJ19" s="53" t="str">
        <v/>
      </c>
      <c r="AK19" s="53" t="str">
        <v/>
      </c>
      <c r="AL19" s="53" t="str">
        <v/>
      </c>
      <c r="AM19" s="53" t="str">
        <v/>
      </c>
      <c r="AN19" s="54" t="str">
        <v/>
      </c>
      <c r="AT19" s="32"/>
      <c r="AU19" s="32"/>
      <c r="AV19" s="32"/>
    </row>
    <row r="20" ht="14.55" spans="1:46">
      <c r="A20" s="168"/>
      <c r="B20" s="174" t="str">
        <v/>
      </c>
      <c r="C20" s="175"/>
      <c r="D20" s="176"/>
      <c r="E20" s="174"/>
      <c r="F20" s="182"/>
      <c r="G20" s="182"/>
      <c r="H20" s="182"/>
      <c r="I20" s="182"/>
      <c r="J20" s="182"/>
      <c r="K20" s="182"/>
      <c r="L20" s="182"/>
      <c r="M20" s="182"/>
      <c r="N20" s="182"/>
      <c r="S20" s="238" t="str">
        <v>Interglobe Aviation</v>
      </c>
      <c r="T20" s="54" t="e">
        <v>#N/A</v>
      </c>
      <c r="AD20" s="497" t="str">
        <v/>
      </c>
      <c r="AE20" s="519" t="str">
        <v/>
      </c>
      <c r="AF20" s="521" t="str">
        <v/>
      </c>
      <c r="AG20" s="521" t="str">
        <v/>
      </c>
      <c r="AH20" s="521" t="str">
        <v/>
      </c>
      <c r="AI20" s="521" t="str">
        <v/>
      </c>
      <c r="AJ20" s="521" t="str">
        <v/>
      </c>
      <c r="AK20" s="521" t="str">
        <v/>
      </c>
      <c r="AL20" s="521" t="str">
        <v/>
      </c>
      <c r="AM20" s="521" t="str">
        <v/>
      </c>
      <c r="AN20" s="260" t="str">
        <v/>
      </c>
      <c r="AT20" s="32"/>
    </row>
    <row r="21" spans="1:46">
      <c r="A21" s="168"/>
      <c r="B21" s="174" t="str">
        <v/>
      </c>
      <c r="C21" s="175"/>
      <c r="D21" s="176"/>
      <c r="E21" s="174"/>
      <c r="F21" s="182"/>
      <c r="G21" s="182"/>
      <c r="H21" s="182"/>
      <c r="I21" s="182"/>
      <c r="J21" s="182"/>
      <c r="K21" s="182"/>
      <c r="L21" s="182"/>
      <c r="M21" s="182"/>
      <c r="N21" s="182"/>
      <c r="S21" s="238" t="str">
        <v>Hindustan Unilever</v>
      </c>
      <c r="T21" s="54" t="e">
        <v>#N/A</v>
      </c>
      <c r="V21" s="245" t="s">
        <v>29</v>
      </c>
      <c r="W21" s="276" t="s">
        <v>30</v>
      </c>
      <c r="X21" s="164" t="s">
        <v>31</v>
      </c>
      <c r="AT21" s="32"/>
    </row>
    <row r="22" spans="1:24">
      <c r="A22" s="168"/>
      <c r="B22" s="174" t="str">
        <v/>
      </c>
      <c r="C22" s="175"/>
      <c r="D22" s="176"/>
      <c r="E22" s="174"/>
      <c r="F22" s="182"/>
      <c r="G22" s="182"/>
      <c r="H22" s="182"/>
      <c r="I22" s="182"/>
      <c r="J22" s="182"/>
      <c r="K22" s="182"/>
      <c r="L22" s="182"/>
      <c r="M22" s="182"/>
      <c r="N22" s="182"/>
      <c r="S22" s="238" t="str">
        <v>Bajaj Finance</v>
      </c>
      <c r="T22" s="54" t="e">
        <v>#N/A</v>
      </c>
      <c r="V22" s="250" t="s">
        <v>3</v>
      </c>
      <c r="W22" s="252" cm="1">
        <f t="array" ref="W22">SUMPRODUCT(source_data!$U$2:$U$24,_xlfn.IFNA(VLOOKUP(source_data!$T$2:$T$24,'Selector Sheet '!$B$15:$D$43,3,FALSE),0))</f>
        <v>0.3589668</v>
      </c>
      <c r="X22" s="278">
        <f>($W$22/SUM($W$22:$W$24))*1</f>
        <v>0.761714577356999</v>
      </c>
    </row>
    <row r="23" spans="1:24">
      <c r="A23" s="168"/>
      <c r="B23" s="174" t="str">
        <v/>
      </c>
      <c r="C23" s="175"/>
      <c r="D23" s="176"/>
      <c r="E23" s="174"/>
      <c r="F23" s="182"/>
      <c r="G23" s="182"/>
      <c r="H23" s="182"/>
      <c r="I23" s="182"/>
      <c r="J23" s="182"/>
      <c r="K23" s="182"/>
      <c r="L23" s="182"/>
      <c r="M23" s="182"/>
      <c r="N23" s="182"/>
      <c r="S23" s="238" t="str">
        <v>Kotak Bank</v>
      </c>
      <c r="T23" s="54" t="e">
        <v>#N/A</v>
      </c>
      <c r="V23" s="255" t="s">
        <v>32</v>
      </c>
      <c r="W23" s="252" cm="1">
        <f t="array" ref="W23">SUMPRODUCT(source_data!$V$2:$V$24,_xlfn.IFNA(VLOOKUP(source_data!$T$2:$T$24,'Selector Sheet '!$B$15:$D$43,3,FALSE),0))</f>
        <v>0.0795708</v>
      </c>
      <c r="X23" s="280">
        <f>($W$23/SUM($W$22:$W$24))*1</f>
        <v>0.168846362092423</v>
      </c>
    </row>
    <row r="24" ht="14.55" spans="1:24">
      <c r="A24" s="168"/>
      <c r="B24" s="174" t="str">
        <v/>
      </c>
      <c r="C24" s="175"/>
      <c r="D24" s="176"/>
      <c r="E24" s="174"/>
      <c r="F24" s="182"/>
      <c r="G24" s="182"/>
      <c r="H24" s="182"/>
      <c r="I24" s="182"/>
      <c r="J24" s="182"/>
      <c r="K24" s="182"/>
      <c r="L24" s="182"/>
      <c r="M24" s="182"/>
      <c r="N24" s="182"/>
      <c r="S24" s="287" t="str">
        <v>Tech Mahindra</v>
      </c>
      <c r="T24" s="260" t="e">
        <v>#N/A</v>
      </c>
      <c r="V24" s="256" t="s">
        <v>33</v>
      </c>
      <c r="W24" s="258" cm="1">
        <f t="array" ref="W24">SUMPRODUCT(source_data!$W$2:$W$24,_xlfn.IFNA(VLOOKUP(source_data!$T$2:$T$24,'Selector Sheet '!$B$15:$D$43,3,FALSE),0))</f>
        <v>0.03272396</v>
      </c>
      <c r="X24" s="282">
        <f>($W$24/SUM($W$22:$W$24))*1</f>
        <v>0.0694390605505783</v>
      </c>
    </row>
    <row r="25" ht="14.55" spans="1:24">
      <c r="A25" s="184"/>
      <c r="B25" s="185" t="str">
        <v/>
      </c>
      <c r="C25" s="501"/>
      <c r="D25" s="502"/>
      <c r="E25" s="185"/>
      <c r="F25" s="182"/>
      <c r="G25" s="182"/>
      <c r="H25" s="182"/>
      <c r="I25" s="182"/>
      <c r="J25" s="182"/>
      <c r="K25" s="182"/>
      <c r="L25" s="182"/>
      <c r="M25" s="182"/>
      <c r="N25" s="182"/>
      <c r="W25" s="34"/>
      <c r="X25" s="34"/>
    </row>
    <row r="26" spans="23:24">
      <c r="W26" s="34"/>
      <c r="X26" s="34"/>
    </row>
    <row r="28" spans="1:13">
      <c r="A28" s="163" t="s">
        <v>34</v>
      </c>
      <c r="B28" s="164"/>
      <c r="C28" s="164"/>
      <c r="D28" s="164"/>
      <c r="E28" s="164"/>
      <c r="F28" s="164"/>
      <c r="G28" s="164"/>
      <c r="H28" s="164"/>
      <c r="I28" s="164"/>
      <c r="K28" s="163" t="s">
        <v>35</v>
      </c>
      <c r="L28" s="164"/>
      <c r="M28" s="164"/>
    </row>
    <row r="29" ht="14.55"/>
    <row r="30" ht="14.55" spans="1:13">
      <c r="A30" s="166" t="s">
        <v>9</v>
      </c>
      <c r="B30" s="90"/>
      <c r="C30" s="86" t="s">
        <v>10</v>
      </c>
      <c r="D30" s="41"/>
      <c r="E30" s="41"/>
      <c r="F30" s="41"/>
      <c r="G30" s="41"/>
      <c r="H30" s="41"/>
      <c r="I30" s="90"/>
      <c r="K30" s="166" t="s">
        <v>11</v>
      </c>
      <c r="L30" s="63" t="s">
        <v>12</v>
      </c>
      <c r="M30" s="90" t="str">
        <f>IF($L$30='Drop Downs'!$I$18,'Drop Downs'!$D$2,'Drop Downs'!$E$2)</f>
        <v>Nifty 50</v>
      </c>
    </row>
    <row r="31" ht="14.55" spans="1:40">
      <c r="A31" s="518"/>
      <c r="B31" s="90" t="s">
        <v>16</v>
      </c>
      <c r="C31" s="2" t="s">
        <v>17</v>
      </c>
      <c r="D31" s="3" t="s">
        <v>18</v>
      </c>
      <c r="E31" s="3" t="s">
        <v>19</v>
      </c>
      <c r="F31" s="3" t="s">
        <v>20</v>
      </c>
      <c r="G31" s="3" t="s">
        <v>22</v>
      </c>
      <c r="H31" s="3" t="s">
        <v>23</v>
      </c>
      <c r="I31" s="15" t="s">
        <v>24</v>
      </c>
      <c r="K31" s="198" t="s">
        <v>25</v>
      </c>
      <c r="L31" s="479" cm="1">
        <f t="array" ref="L31">_xlfn.LET(_xlpm.FilteredList,_xlfn._xlws.FILTER('Drop Downs'!$J$26:$J$48,'Drop Downs'!$I$26:$I$48=$L$30),_xlpm.DataValues,_xlfn.IFNA(VLOOKUP(_xlpm.FilteredList,$A$57:$I$78,2,FALSE),0),_xlpm.Weights,_xlfn.IFNA(VLOOKUP(_xlpm.FilteredList,'Selector Sheet '!$B$14:$D$43,2,FALSE),0),SUMPRODUCT(_xlpm.DataValues,_xlpm.Weights))</f>
        <v>0.0203140680196934</v>
      </c>
      <c r="M31" s="479" cm="1">
        <f t="array" ref="M31:M38">IF($M$30='Drop Downs'!$D$2,(VLOOKUP('Output Dashboard (option 1)'!$AQ$4:$AQ$11,'Drop Downs'!$C$3:$E$10,2,FALSE)),VLOOKUP('Output Dashboard (option 1)'!$AQ$4:$AQ$11,'Drop Downs'!$C$3:$E$10,3,FALSE))</f>
        <v>-0.005306</v>
      </c>
      <c r="AD31" s="166" t="s">
        <v>9</v>
      </c>
      <c r="AE31" s="516"/>
      <c r="AF31" s="86" t="s">
        <v>10</v>
      </c>
      <c r="AG31" s="41"/>
      <c r="AH31" s="41"/>
      <c r="AI31" s="41"/>
      <c r="AJ31" s="41"/>
      <c r="AK31" s="41"/>
      <c r="AL31" s="41"/>
      <c r="AM31" s="41"/>
      <c r="AN31" s="90"/>
    </row>
    <row r="32" ht="14.55" spans="1:41">
      <c r="A32" s="211" t="str" cm="1">
        <f t="array" ref="A32:A53">IF($A$4:$A$25&gt;0,$A$4:$A$25,"")</f>
        <v>Renaissance Opportunities Fund PMS</v>
      </c>
      <c r="B32" s="72" cm="1">
        <f t="array" ref="B32:B53">IFERROR(INDEX(performace_data!$B$3:$AN$293,MATCH(TRIM(_xlfn.ANCHORARRAY($A$32)),performace_data!$B$3:$B$294,0),MATCH(TRIM(B$31),performace_data!$B$4:$AM$4,0)),"")</f>
        <v>2.5</v>
      </c>
      <c r="C32" s="176" cm="1">
        <f t="array" ref="C32:C53">IFERROR(INDEX(performace_data!$B$3:$AN$293,MATCH(TRIM(_xlfn.ANCHORARRAY($A$32)),performace_data!$B$3:$B$294,0),MATCH(TRIM(C$31),performace_data!$B$4:$AM$4,0)),"")</f>
        <v>-0.0338000000000001</v>
      </c>
      <c r="D32" s="176" cm="1">
        <f t="array" ref="D32:D53">IFERROR(INDEX(performace_data!$B$3:$AN$293,MATCH(TRIM(_xlfn.ANCHORARRAY($A$32)),performace_data!$B$3:$B$294,0),MATCH(TRIM(D$31),performace_data!$B$4:$AM$4,0)),"")</f>
        <v>0.0129786502960001</v>
      </c>
      <c r="E32" s="176" cm="1">
        <f t="array" ref="E32:E53">IFERROR(INDEX(performace_data!$B$3:$AN$293,MATCH(TRIM(_xlfn.ANCHORARRAY($A$32)),performace_data!$B$3:$B$294,0),MATCH(TRIM(E$31),performace_data!$B$4:$AM$4,0)),"")</f>
        <v>0.033656097499881</v>
      </c>
      <c r="F32" s="176" cm="1">
        <f t="array" ref="F32:F53">IFERROR(INDEX(performace_data!$B$3:$AN$293,MATCH(TRIM(_xlfn.ANCHORARRAY($A$32)),performace_data!$B$3:$B$294,0),MATCH(TRIM(F$31),performace_data!$B$4:$AM$4,0)),"")</f>
        <v>-0.0271648364434391</v>
      </c>
      <c r="G32" s="176" cm="1">
        <f t="array" ref="G32:G53">IFERROR(INDEX(performace_data!$B$3:$AN$293,MATCH(TRIM(_xlfn.ANCHORARRAY($A$32)),performace_data!$B$3:$B$294,0),MATCH(TRIM(G$31),performace_data!$B$4:$AM$4,0)),"")</f>
        <v>0.183371252542426</v>
      </c>
      <c r="H32" s="176" cm="1">
        <f t="array" ref="H32:H53">IFERROR(INDEX(performace_data!$B$3:$AN$293,MATCH(TRIM(_xlfn.ANCHORARRAY($A$32)),performace_data!$B$3:$B$294,0),MATCH(TRIM(H$31),performace_data!$B$4:$AM$4,0)),"")</f>
        <v>0.259155398552223</v>
      </c>
      <c r="I32" s="174" t="str" cm="1">
        <f t="array" ref="I32:I53">IFERROR(INDEX(performace_data!$B$3:$AN$293,MATCH(TRIM(_xlfn.ANCHORARRAY($A$32)),performace_data!$B$3:$B$294,0),MATCH(TRIM(I$31),performace_data!$B$4:$AM$4,0)),"")</f>
        <v>NA</v>
      </c>
      <c r="K32" s="201">
        <v>2024</v>
      </c>
      <c r="L32" s="54" cm="1">
        <f t="array" ref="L32">_xlfn.LET(_xlpm.FilteredList,_xlfn._xlws.FILTER('Drop Downs'!$J$26:$J$48,'Drop Downs'!$I$26:$I$48=$L$30),_xlpm.DataValues,_xlfn.IFNA(VLOOKUP(_xlpm.FilteredList,$A$57:$I$78,3,FALSE),0),_xlpm.Weights,_xlfn.IFNA(VLOOKUP(_xlpm.FilteredList,'Selector Sheet '!$B$14:$D$43,2,FALSE),0),SUMPRODUCT(_xlpm.DataValues,_xlpm.Weights))</f>
        <v>0.258626241620342</v>
      </c>
      <c r="M32" s="54">
        <v>0.0880476902077809</v>
      </c>
      <c r="AD32" s="518"/>
      <c r="AE32" s="16" t="s">
        <v>25</v>
      </c>
      <c r="AF32" s="17">
        <v>2024</v>
      </c>
      <c r="AG32" s="17">
        <v>2023</v>
      </c>
      <c r="AH32" s="18">
        <v>2022</v>
      </c>
      <c r="AI32" s="18">
        <v>2021</v>
      </c>
      <c r="AJ32" s="18">
        <v>2021</v>
      </c>
      <c r="AK32" s="18">
        <v>2019</v>
      </c>
      <c r="AL32" s="18">
        <v>2020</v>
      </c>
      <c r="AM32" s="18">
        <v>2019</v>
      </c>
      <c r="AN32" s="273">
        <v>2018</v>
      </c>
      <c r="AO32" s="54"/>
    </row>
    <row r="33" spans="1:40">
      <c r="A33" s="211" t="str">
        <v>Nippon India Large Cap Fund(G)</v>
      </c>
      <c r="B33" s="72">
        <v>1.51</v>
      </c>
      <c r="C33" s="176">
        <v>-0.017875</v>
      </c>
      <c r="D33" s="176">
        <v>0.047609</v>
      </c>
      <c r="E33" s="176">
        <v>0.078495</v>
      </c>
      <c r="F33" s="176">
        <v>0.006832</v>
      </c>
      <c r="G33" s="176">
        <v>0.204123</v>
      </c>
      <c r="H33" s="176">
        <v>0.251486</v>
      </c>
      <c r="I33" s="174">
        <v>0.137065</v>
      </c>
      <c r="K33" s="201">
        <v>2023</v>
      </c>
      <c r="L33" s="54" cm="1">
        <f t="array" ref="L33">_xlfn.LET(_xlpm.FilteredList,_xlfn._xlws.FILTER('Drop Downs'!$J$26:$J$48,'Drop Downs'!$I$26:$I$48=$L$30),_xlpm.DataValues,_xlfn.IFNA(VLOOKUP(_xlpm.FilteredList,$A$57:$I$78,4,FALSE),0),_xlpm.Weights,_xlfn.IFNA(VLOOKUP(_xlpm.FilteredList,'Selector Sheet '!$B$14:$D$43,2,FALSE),0),SUMPRODUCT(_xlpm.DataValues,_xlpm.Weights))</f>
        <v>0.347849558827031</v>
      </c>
      <c r="M33" s="54">
        <v>0.200278393101744</v>
      </c>
      <c r="AD33" s="211" t="str" cm="1">
        <f t="array" ref="AD33:AD48">IF($A$4:$A$19&gt;0,$A$4:$A$19,"")</f>
        <v>Renaissance Opportunities Fund PMS</v>
      </c>
      <c r="AE33" s="45" cm="1">
        <f t="array" ref="AE33:AE48">_xlfn.IFNA(INDEX(performace_data!$B$4:$AN$294,MATCH(_xlfn.ANCHORARRAY($AD$33),performace_data!$B$4:$B$294,0),MATCH(AE$32,performace_data!$B$4:$AM$4,0)),"")</f>
        <v>-0.0157526639606131</v>
      </c>
      <c r="AF33" s="53" cm="1">
        <f t="array" ref="AF33:AF48">_xlfn.IFNA(INDEX(performace_data!$B$4:$AN$294,MATCH(_xlfn.ANCHORARRAY($AD$33),performace_data!$B$4:$B$294,0),MATCH(AF$32,performace_data!$B$4:$AM$4,0)),"")</f>
        <v>0.246137661220227</v>
      </c>
      <c r="AG33" s="53" cm="1">
        <f t="array" ref="AG33:AG48">_xlfn.IFNA(INDEX(performace_data!$B$4:$AN$294,MATCH(_xlfn.ANCHORARRAY($AD$33),performace_data!$B$4:$B$294,0),MATCH(AG$32,performace_data!$B$4:$AM$4,0)),"")</f>
        <v>0.27255977580347</v>
      </c>
      <c r="AH33" s="53" cm="1">
        <f t="array" ref="AH33:AH48">_xlfn.IFNA(INDEX(performace_data!$B$4:$AN$294,MATCH(_xlfn.ANCHORARRAY($AD$33),performace_data!$B$4:$B$294,0),MATCH(AH$32,performace_data!$B$4:$AM$4,0)),"")</f>
        <v>0.100871060698555</v>
      </c>
      <c r="AI33" cm="1">
        <f t="array" ref="AI33:AI48">_xlfn.IFNA(INDEX(performace_data!$B$4:$AN$294,MATCH(_xlfn.ANCHORARRAY($AD$33),performace_data!$B$4:$B$294,0),MATCH(AI$32,performace_data!$B$4:$AM$4,0)),"")</f>
        <v>0.363589982277438</v>
      </c>
      <c r="AJ33" s="53" cm="1">
        <f t="array" ref="AJ33:AJ48">_xlfn.IFNA(INDEX(performace_data!$B$4:$AN$294,MATCH(_xlfn.ANCHORARRAY($AD$33),performace_data!$B$4:$B$294,0),MATCH(AJ$32,performace_data!$B$4:$AM$4,0)),"")</f>
        <v>0.363589982277438</v>
      </c>
      <c r="AK33" cm="1">
        <f t="array" ref="AK33:AK48">_xlfn.IFNA(INDEX(performace_data!$B$4:$AN$294,MATCH(_xlfn.ANCHORARRAY($AD$33),performace_data!$B$4:$B$294,0),MATCH(AK$32,performace_data!$B$4:$AM$4,0)),"")</f>
        <v>0.109299961060874</v>
      </c>
      <c r="AL33" s="53" cm="1">
        <f t="array" ref="AL33:AL48">_xlfn.IFNA(INDEX(performace_data!$B$4:$AN$294,MATCH(_xlfn.ANCHORARRAY($AD$33),performace_data!$B$4:$B$294,0),MATCH(AL$32,performace_data!$B$4:$AM$4,0)),"")</f>
        <v>0.0893649385219928</v>
      </c>
      <c r="AM33" s="53" cm="1">
        <f t="array" ref="AM33:AM48">_xlfn.IFNA(INDEX(performace_data!$B$4:$AN$294,MATCH(_xlfn.ANCHORARRAY($AD$33),performace_data!$B$4:$B$294,0),MATCH(AM$32,performace_data!$B$4:$AM$4,0)),"")</f>
        <v>0.109299961060874</v>
      </c>
      <c r="AN33" s="54" cm="1">
        <f t="array" ref="AN33:AN48">_xlfn.IFNA(INDEX(performace_data!$B$4:$AN$294,MATCH(_xlfn.ANCHORARRAY($AD$33),performace_data!$B$4:$B$294,0),MATCH(AN$32,performace_data!$B$4:$AM$4,0)),"")</f>
        <v>-0.0771779924938113</v>
      </c>
    </row>
    <row r="34" spans="1:40">
      <c r="A34" s="211" t="str">
        <v>SBI Large &amp; Midcap Fund-Reg(G)</v>
      </c>
      <c r="B34" s="72">
        <v>1.58</v>
      </c>
      <c r="C34" s="176">
        <v>-0.009427</v>
      </c>
      <c r="D34" s="176">
        <v>0.065682</v>
      </c>
      <c r="E34" s="176">
        <v>0.085126</v>
      </c>
      <c r="F34" s="176">
        <v>0.02127</v>
      </c>
      <c r="G34" s="176">
        <v>0.192237</v>
      </c>
      <c r="H34" s="176">
        <v>0.246868</v>
      </c>
      <c r="I34" s="174">
        <v>0.141788</v>
      </c>
      <c r="K34" s="201">
        <v>2022</v>
      </c>
      <c r="L34" s="54" cm="1">
        <f t="array" ref="L34">_xlfn.LET(_xlpm.FilteredList,_xlfn._xlws.FILTER('Drop Downs'!$J$26:$J$48,'Drop Downs'!$I$26:$I$48=$L$30),_xlpm.DataValues,_xlfn.IFNA(VLOOKUP(_xlpm.FilteredList,$A$57:$I$78,5,FALSE),0),_xlpm.Weights,_xlfn.IFNA(VLOOKUP(_xlpm.FilteredList,'Selector Sheet '!$B$14:$D$43,2,FALSE),0),SUMPRODUCT(_xlpm.DataValues,_xlpm.Weights))</f>
        <v>0.112697169395463</v>
      </c>
      <c r="M34" s="54">
        <v>0.0432896067488569</v>
      </c>
      <c r="AD34" s="224" t="str">
        <v>Nippon India Large Cap Fund(G)</v>
      </c>
      <c r="AE34" s="45">
        <v>0.045961</v>
      </c>
      <c r="AF34" s="53">
        <v>0.182397253978206</v>
      </c>
      <c r="AG34" s="53">
        <v>0.321478427661326</v>
      </c>
      <c r="AH34" s="53">
        <v>0.113278340777579</v>
      </c>
      <c r="AI34">
        <v>0.323671949303782</v>
      </c>
      <c r="AJ34" s="53">
        <v>0.323671949303782</v>
      </c>
      <c r="AK34">
        <v>0.0725190954426446</v>
      </c>
      <c r="AL34" s="53">
        <v>0.0490812677272166</v>
      </c>
      <c r="AM34" s="53">
        <v>0.0725190954426446</v>
      </c>
      <c r="AN34" s="54">
        <v>-0.00200396593257917</v>
      </c>
    </row>
    <row r="35" spans="1:40">
      <c r="A35" s="211" t="str">
        <v>Canara Rob Emerg Equities Fund-Reg(G)</v>
      </c>
      <c r="B35" s="72">
        <v>1.6</v>
      </c>
      <c r="C35" s="176">
        <v>-0.025189</v>
      </c>
      <c r="D35" s="176">
        <v>0.055282</v>
      </c>
      <c r="E35" s="176">
        <v>0.073313</v>
      </c>
      <c r="F35" s="176">
        <v>0.005758</v>
      </c>
      <c r="G35" s="176">
        <v>0.173117</v>
      </c>
      <c r="H35" s="176">
        <v>0.221895</v>
      </c>
      <c r="I35" s="174">
        <v>0.147989</v>
      </c>
      <c r="K35" s="201">
        <v>2021</v>
      </c>
      <c r="L35" s="54" cm="1">
        <f t="array" ref="L35">_xlfn.LET(_xlpm.FilteredList,_xlfn._xlws.FILTER('Drop Downs'!$J$26:$J$48,'Drop Downs'!$I$26:$I$48=$L$30),_xlpm.DataValues,_xlfn.IFNA(VLOOKUP(_xlpm.FilteredList,$A$57:$I$78,6,FALSE),0),_xlpm.Weights,_xlfn.IFNA(VLOOKUP(_xlpm.FilteredList,'Selector Sheet '!$B$14:$D$43,2,FALSE),0),SUMPRODUCT(_xlpm.DataValues,_xlpm.Weights))</f>
        <v>0.419969090958717</v>
      </c>
      <c r="M35" s="54">
        <v>0.241192983710909</v>
      </c>
      <c r="AD35" s="224" t="str">
        <v>SBI Large &amp; Midcap Fund-Reg(G)</v>
      </c>
      <c r="AE35" s="45">
        <v>0.049623</v>
      </c>
      <c r="AF35" s="53">
        <v>0.180429945474413</v>
      </c>
      <c r="AG35" s="53">
        <v>0.267927654028178</v>
      </c>
      <c r="AH35" s="53">
        <v>0.0727005482251813</v>
      </c>
      <c r="AI35">
        <v>0.393453444860057</v>
      </c>
      <c r="AJ35" s="53">
        <v>0.393453444860057</v>
      </c>
      <c r="AK35">
        <v>0.0682271555012597</v>
      </c>
      <c r="AL35" s="53">
        <v>0.157561874583203</v>
      </c>
      <c r="AM35" s="53">
        <v>0.0682271555012597</v>
      </c>
      <c r="AN35" s="54">
        <v>-0.0525042773477515</v>
      </c>
    </row>
    <row r="36" spans="1:40">
      <c r="A36" s="211" t="str">
        <v/>
      </c>
      <c r="B36" s="72" t="str">
        <v/>
      </c>
      <c r="C36" s="176" t="str">
        <v/>
      </c>
      <c r="D36" s="176" t="str">
        <v/>
      </c>
      <c r="E36" s="176" t="str">
        <v/>
      </c>
      <c r="F36" s="176" t="str">
        <v/>
      </c>
      <c r="G36" s="176" t="str">
        <v/>
      </c>
      <c r="H36" s="176" t="str">
        <v/>
      </c>
      <c r="I36" s="174" t="str">
        <v/>
      </c>
      <c r="K36" s="201">
        <v>2020</v>
      </c>
      <c r="L36" s="54" cm="1">
        <f t="array" ref="L36">_xlfn.LET(_xlpm.FilteredList,_xlfn._xlws.FILTER('Drop Downs'!$J$26:$J$48,'Drop Downs'!$I$26:$I$48=$L$30),_xlpm.DataValues,_xlfn.IFNA(VLOOKUP(_xlpm.FilteredList,$A$57:$I$78,7,FALSE),0),_xlpm.Weights,_xlfn.IFNA(VLOOKUP(_xlpm.FilteredList,'Selector Sheet '!$B$14:$D$43,2,FALSE),0),SUMPRODUCT(_xlpm.DataValues,_xlpm.Weights))</f>
        <v>0.109524557222032</v>
      </c>
      <c r="M36" s="54">
        <v>0.149016514017808</v>
      </c>
      <c r="AD36" s="224" t="str">
        <v>Canara Rob Emerg Equities Fund-Reg(G)</v>
      </c>
      <c r="AE36" s="45">
        <v>0.002476</v>
      </c>
      <c r="AF36" s="53">
        <v>0.263157894736842</v>
      </c>
      <c r="AG36" s="53">
        <v>0.24037691691815</v>
      </c>
      <c r="AH36" s="53">
        <v>-0.0164758616512205</v>
      </c>
      <c r="AI36">
        <v>0.369927806821011</v>
      </c>
      <c r="AJ36" s="53">
        <v>0.369927806821011</v>
      </c>
      <c r="AK36">
        <v>0.0868246658429743</v>
      </c>
      <c r="AL36" s="53">
        <v>0.245452666391071</v>
      </c>
      <c r="AM36" s="53">
        <v>0.0868246658429743</v>
      </c>
      <c r="AN36" s="54">
        <v>-0.0929190015282731</v>
      </c>
    </row>
    <row r="37" spans="1:40">
      <c r="A37" s="211" t="str">
        <v/>
      </c>
      <c r="B37" s="72" t="str">
        <v/>
      </c>
      <c r="C37" s="176" t="str">
        <v/>
      </c>
      <c r="D37" s="176" t="str">
        <v/>
      </c>
      <c r="E37" s="176" t="str">
        <v/>
      </c>
      <c r="F37" s="176" t="str">
        <v/>
      </c>
      <c r="G37" s="176" t="str">
        <v/>
      </c>
      <c r="H37" s="176" t="str">
        <v/>
      </c>
      <c r="I37" s="174" t="str">
        <v/>
      </c>
      <c r="K37" s="201">
        <v>2019</v>
      </c>
      <c r="L37" s="54" cm="1">
        <f t="array" ref="L37">_xlfn.LET(_xlpm.FilteredList,_xlfn._xlws.FILTER('Drop Downs'!$J$26:$J$48,'Drop Downs'!$I$26:$I$48=$L$30),_xlpm.DataValues,_xlfn.IFNA(VLOOKUP(_xlpm.FilteredList,$A$57:$I$78,8,FALSE),0),_xlpm.Weights,_xlfn.IFNA(VLOOKUP(_xlpm.FilteredList,'Selector Sheet '!$B$14:$D$43,2,FALSE),0),SUMPRODUCT(_xlpm.DataValues,_xlpm.Weights))</f>
        <v>0.106414710386183</v>
      </c>
      <c r="M37" s="54">
        <v>0.120220390239861</v>
      </c>
      <c r="AD37" s="224" t="str">
        <v/>
      </c>
      <c r="AE37" s="45" t="str">
        <v/>
      </c>
      <c r="AF37" s="53" t="str">
        <v/>
      </c>
      <c r="AG37" s="53" t="str">
        <v/>
      </c>
      <c r="AH37" s="53" t="str">
        <v/>
      </c>
      <c r="AI37" t="str">
        <v/>
      </c>
      <c r="AJ37" s="53" t="str">
        <v/>
      </c>
      <c r="AK37" t="str">
        <v/>
      </c>
      <c r="AL37" s="53" t="str">
        <v/>
      </c>
      <c r="AM37" s="53" t="str">
        <v/>
      </c>
      <c r="AN37" s="54" t="str">
        <v/>
      </c>
    </row>
    <row r="38" ht="14.55" spans="1:40">
      <c r="A38" s="211" t="str">
        <v/>
      </c>
      <c r="B38" s="72" t="str">
        <v/>
      </c>
      <c r="C38" s="176" t="str">
        <v/>
      </c>
      <c r="D38" s="176" t="str">
        <v/>
      </c>
      <c r="E38" s="176" t="str">
        <v/>
      </c>
      <c r="F38" s="176" t="str">
        <v/>
      </c>
      <c r="G38" s="176" t="str">
        <v/>
      </c>
      <c r="H38" s="176" t="str">
        <v/>
      </c>
      <c r="I38" s="174" t="str">
        <v/>
      </c>
      <c r="K38" s="202">
        <v>2018</v>
      </c>
      <c r="L38" s="260" cm="1">
        <f t="array" ref="L38">_xlfn.LET(_xlpm.FilteredList,_xlfn._xlws.FILTER('Drop Downs'!$J$26:$J$48,'Drop Downs'!$I$26:$I$48=$L$30),_xlpm.DataValues,_xlfn.IFNA(VLOOKUP(_xlpm.FilteredList,$A$57:$I$78,9,FALSE),0),_xlpm.Weights,_xlfn.IFNA(VLOOKUP(_xlpm.FilteredList,'Selector Sheet '!$B$14:$D$43,2,FALSE),0),SUMPRODUCT(_xlpm.DataValues,_xlpm.Weights))</f>
        <v>-0.0541333071007977</v>
      </c>
      <c r="M38" s="260">
        <v>0.0315126249916908</v>
      </c>
      <c r="AD38" s="224" t="str">
        <v/>
      </c>
      <c r="AE38" s="45" t="str">
        <v/>
      </c>
      <c r="AF38" s="53" t="str">
        <v/>
      </c>
      <c r="AG38" s="53" t="str">
        <v/>
      </c>
      <c r="AH38" s="53" t="str">
        <v/>
      </c>
      <c r="AI38" t="str">
        <v/>
      </c>
      <c r="AJ38" s="53" t="str">
        <v/>
      </c>
      <c r="AK38" t="str">
        <v/>
      </c>
      <c r="AL38" s="53" t="str">
        <v/>
      </c>
      <c r="AM38" s="53" t="str">
        <v/>
      </c>
      <c r="AN38" s="54" t="str">
        <v/>
      </c>
    </row>
    <row r="39" spans="1:40">
      <c r="A39" s="211" t="str">
        <v/>
      </c>
      <c r="B39" s="72" t="str">
        <v/>
      </c>
      <c r="C39" s="176" t="str">
        <v/>
      </c>
      <c r="D39" s="176" t="str">
        <v/>
      </c>
      <c r="E39" s="176" t="str">
        <v/>
      </c>
      <c r="F39" s="176" t="str">
        <v/>
      </c>
      <c r="G39" s="176" t="str">
        <v/>
      </c>
      <c r="H39" s="176" t="str">
        <v/>
      </c>
      <c r="I39" s="174" t="str">
        <v/>
      </c>
      <c r="AD39" s="224" t="str">
        <v/>
      </c>
      <c r="AE39" s="45" t="str">
        <v/>
      </c>
      <c r="AF39" s="53" t="str">
        <v/>
      </c>
      <c r="AG39" s="53" t="str">
        <v/>
      </c>
      <c r="AH39" s="53" t="str">
        <v/>
      </c>
      <c r="AI39" t="str">
        <v/>
      </c>
      <c r="AJ39" s="53" t="str">
        <v/>
      </c>
      <c r="AK39" t="str">
        <v/>
      </c>
      <c r="AL39" s="53" t="str">
        <v/>
      </c>
      <c r="AM39" s="53" t="str">
        <v/>
      </c>
      <c r="AN39" s="54" t="str">
        <v/>
      </c>
    </row>
    <row r="40" spans="1:40">
      <c r="A40" s="211" t="str">
        <v/>
      </c>
      <c r="B40" s="72" t="str">
        <v/>
      </c>
      <c r="C40" s="176" t="str">
        <v/>
      </c>
      <c r="D40" s="176" t="str">
        <v/>
      </c>
      <c r="E40" s="176" t="str">
        <v/>
      </c>
      <c r="F40" s="176" t="str">
        <v/>
      </c>
      <c r="G40" s="176" t="str">
        <v/>
      </c>
      <c r="H40" s="176" t="str">
        <v/>
      </c>
      <c r="I40" s="174" t="str">
        <v/>
      </c>
      <c r="AD40" t="str">
        <v/>
      </c>
      <c r="AE40" s="45" t="str">
        <v/>
      </c>
      <c r="AF40" s="53" t="str">
        <v/>
      </c>
      <c r="AG40" s="53" t="str">
        <v/>
      </c>
      <c r="AH40" s="53" t="str">
        <v/>
      </c>
      <c r="AI40" t="str">
        <v/>
      </c>
      <c r="AJ40" s="53" t="str">
        <v/>
      </c>
      <c r="AK40" t="str">
        <v/>
      </c>
      <c r="AL40" s="53" t="str">
        <v/>
      </c>
      <c r="AM40" s="53" t="str">
        <v/>
      </c>
      <c r="AN40" s="54" t="str">
        <v/>
      </c>
    </row>
    <row r="41" spans="1:40">
      <c r="A41" s="224" t="str">
        <v/>
      </c>
      <c r="B41" s="72" t="str">
        <v/>
      </c>
      <c r="C41" s="176" t="str">
        <v/>
      </c>
      <c r="D41" s="176" t="str">
        <v/>
      </c>
      <c r="E41" s="176" t="str">
        <v/>
      </c>
      <c r="F41" s="176" t="str">
        <v/>
      </c>
      <c r="G41" s="176" t="str">
        <v/>
      </c>
      <c r="H41" s="176" t="str">
        <v/>
      </c>
      <c r="I41" s="174" t="str">
        <v/>
      </c>
      <c r="L41" s="32"/>
      <c r="AD41" s="224" t="str">
        <v/>
      </c>
      <c r="AE41" s="45" t="str">
        <v/>
      </c>
      <c r="AF41" s="53" t="str">
        <v/>
      </c>
      <c r="AG41" s="53" t="str">
        <v/>
      </c>
      <c r="AH41" s="53" t="str">
        <v/>
      </c>
      <c r="AI41" t="str">
        <v/>
      </c>
      <c r="AJ41" s="53" t="str">
        <v/>
      </c>
      <c r="AK41" t="str">
        <v/>
      </c>
      <c r="AL41" s="53" t="str">
        <v/>
      </c>
      <c r="AM41" s="53" t="str">
        <v/>
      </c>
      <c r="AN41" s="54" t="str">
        <v/>
      </c>
    </row>
    <row r="42" spans="1:40">
      <c r="A42" s="224" t="str">
        <v/>
      </c>
      <c r="B42" s="72" t="str">
        <v/>
      </c>
      <c r="C42" s="176" t="str">
        <v/>
      </c>
      <c r="D42" s="176" t="str">
        <v/>
      </c>
      <c r="E42" s="176" t="str">
        <v/>
      </c>
      <c r="F42" s="176" t="str">
        <v/>
      </c>
      <c r="G42" s="176" t="str">
        <v/>
      </c>
      <c r="H42" s="176" t="str">
        <v/>
      </c>
      <c r="I42" s="174" t="str">
        <v/>
      </c>
      <c r="K42" s="32"/>
      <c r="L42" s="32"/>
      <c r="AD42" s="224" t="str">
        <v/>
      </c>
      <c r="AE42" s="45" t="str">
        <v/>
      </c>
      <c r="AF42" s="53" t="str">
        <v/>
      </c>
      <c r="AG42" s="53" t="str">
        <v/>
      </c>
      <c r="AH42" s="53" t="str">
        <v/>
      </c>
      <c r="AI42" t="str">
        <v/>
      </c>
      <c r="AJ42" s="53" t="str">
        <v/>
      </c>
      <c r="AK42" t="str">
        <v/>
      </c>
      <c r="AL42" s="53" t="str">
        <v/>
      </c>
      <c r="AM42" s="53" t="str">
        <v/>
      </c>
      <c r="AN42" s="54" t="str">
        <v/>
      </c>
    </row>
    <row r="43" spans="1:40">
      <c r="A43" s="224" t="str">
        <v/>
      </c>
      <c r="B43" s="72" t="str">
        <v/>
      </c>
      <c r="C43" s="176" t="str">
        <v/>
      </c>
      <c r="D43" s="176" t="str">
        <v/>
      </c>
      <c r="E43" s="176" t="str">
        <v/>
      </c>
      <c r="F43" s="176" t="str">
        <v/>
      </c>
      <c r="G43" s="176" t="str">
        <v/>
      </c>
      <c r="H43" s="176" t="str">
        <v/>
      </c>
      <c r="I43" s="174" t="str">
        <v/>
      </c>
      <c r="L43" s="32"/>
      <c r="AD43" s="224" t="str">
        <v/>
      </c>
      <c r="AE43" s="45" t="str">
        <v/>
      </c>
      <c r="AF43" s="53" t="str">
        <v/>
      </c>
      <c r="AG43" s="53" t="str">
        <v/>
      </c>
      <c r="AH43" s="53" t="str">
        <v/>
      </c>
      <c r="AI43" t="str">
        <v/>
      </c>
      <c r="AJ43" s="53" t="str">
        <v/>
      </c>
      <c r="AK43" t="str">
        <v/>
      </c>
      <c r="AL43" s="53" t="str">
        <v/>
      </c>
      <c r="AM43" s="53" t="str">
        <v/>
      </c>
      <c r="AN43" s="54" t="str">
        <v/>
      </c>
    </row>
    <row r="44" spans="1:40">
      <c r="A44" s="224" t="str">
        <v/>
      </c>
      <c r="B44" s="72" t="str">
        <v/>
      </c>
      <c r="C44" s="176" t="str">
        <v/>
      </c>
      <c r="D44" s="176" t="str">
        <v/>
      </c>
      <c r="E44" s="176" t="str">
        <v/>
      </c>
      <c r="F44" s="176" t="str">
        <v/>
      </c>
      <c r="G44" s="176" t="str">
        <v/>
      </c>
      <c r="H44" s="176" t="str">
        <v/>
      </c>
      <c r="I44" s="174" t="str">
        <v/>
      </c>
      <c r="L44" s="32"/>
      <c r="AD44" s="224" t="str">
        <v/>
      </c>
      <c r="AE44" s="45" t="str">
        <v/>
      </c>
      <c r="AF44" s="53" t="str">
        <v/>
      </c>
      <c r="AG44" s="53" t="str">
        <v/>
      </c>
      <c r="AH44" s="53" t="str">
        <v/>
      </c>
      <c r="AI44" t="str">
        <v/>
      </c>
      <c r="AJ44" s="53" t="str">
        <v/>
      </c>
      <c r="AK44" t="str">
        <v/>
      </c>
      <c r="AL44" s="53" t="str">
        <v/>
      </c>
      <c r="AM44" s="53" t="str">
        <v/>
      </c>
      <c r="AN44" s="54" t="str">
        <v/>
      </c>
    </row>
    <row r="45" spans="1:40">
      <c r="A45" s="224" t="str">
        <v/>
      </c>
      <c r="B45" s="72" t="str">
        <v/>
      </c>
      <c r="C45" s="176" t="str">
        <v/>
      </c>
      <c r="D45" s="176" t="str">
        <v/>
      </c>
      <c r="E45" s="176" t="str">
        <v/>
      </c>
      <c r="F45" s="176" t="str">
        <v/>
      </c>
      <c r="G45" s="176" t="str">
        <v/>
      </c>
      <c r="H45" s="176" t="str">
        <v/>
      </c>
      <c r="I45" s="174" t="str">
        <v/>
      </c>
      <c r="L45" s="32"/>
      <c r="AD45" s="224" t="str">
        <v/>
      </c>
      <c r="AE45" s="45" t="str">
        <v/>
      </c>
      <c r="AF45" s="53" t="str">
        <v/>
      </c>
      <c r="AG45" s="53" t="str">
        <v/>
      </c>
      <c r="AH45" s="53" t="str">
        <v/>
      </c>
      <c r="AI45" t="str">
        <v/>
      </c>
      <c r="AJ45" s="53" t="str">
        <v/>
      </c>
      <c r="AK45" t="str">
        <v/>
      </c>
      <c r="AL45" s="53" t="str">
        <v/>
      </c>
      <c r="AM45" s="53" t="str">
        <v/>
      </c>
      <c r="AN45" s="54" t="str">
        <v/>
      </c>
    </row>
    <row r="46" spans="1:40">
      <c r="A46" s="224" t="str">
        <v/>
      </c>
      <c r="B46" s="72" t="str">
        <v/>
      </c>
      <c r="C46" s="176" t="str">
        <v/>
      </c>
      <c r="D46" s="176" t="str">
        <v/>
      </c>
      <c r="E46" s="176" t="str">
        <v/>
      </c>
      <c r="F46" s="176" t="str">
        <v/>
      </c>
      <c r="G46" s="176" t="str">
        <v/>
      </c>
      <c r="H46" s="176" t="str">
        <v/>
      </c>
      <c r="I46" s="174" t="str">
        <v/>
      </c>
      <c r="L46" s="32"/>
      <c r="AD46" s="224" t="str">
        <v/>
      </c>
      <c r="AE46" s="45" t="str">
        <v/>
      </c>
      <c r="AF46" s="53" t="str">
        <v/>
      </c>
      <c r="AG46" s="53" t="str">
        <v/>
      </c>
      <c r="AH46" s="53" t="str">
        <v/>
      </c>
      <c r="AI46" t="str">
        <v/>
      </c>
      <c r="AJ46" s="53" t="str">
        <v/>
      </c>
      <c r="AK46" t="str">
        <v/>
      </c>
      <c r="AL46" s="53" t="str">
        <v/>
      </c>
      <c r="AM46" s="53" t="str">
        <v/>
      </c>
      <c r="AN46" s="54" t="str">
        <v/>
      </c>
    </row>
    <row r="47" spans="1:40">
      <c r="A47" s="224" t="str">
        <v/>
      </c>
      <c r="B47" s="72" t="str">
        <v/>
      </c>
      <c r="C47" s="176" t="str">
        <v/>
      </c>
      <c r="D47" s="176" t="str">
        <v/>
      </c>
      <c r="E47" s="176" t="str">
        <v/>
      </c>
      <c r="F47" s="176" t="str">
        <v/>
      </c>
      <c r="G47" s="176" t="str">
        <v/>
      </c>
      <c r="H47" s="176" t="str">
        <v/>
      </c>
      <c r="I47" s="174" t="str">
        <v/>
      </c>
      <c r="L47" s="32"/>
      <c r="AD47" s="224" t="str">
        <v/>
      </c>
      <c r="AE47" s="45" t="str">
        <v/>
      </c>
      <c r="AF47" s="53" t="str">
        <v/>
      </c>
      <c r="AG47" s="53" t="str">
        <v/>
      </c>
      <c r="AH47" s="53" t="str">
        <v/>
      </c>
      <c r="AI47" t="str">
        <v/>
      </c>
      <c r="AJ47" s="53" t="str">
        <v/>
      </c>
      <c r="AK47" t="str">
        <v/>
      </c>
      <c r="AL47" s="53" t="str">
        <v/>
      </c>
      <c r="AM47" s="53" t="str">
        <v/>
      </c>
      <c r="AN47" s="54" t="str">
        <v/>
      </c>
    </row>
    <row r="48" ht="14.55" spans="1:40">
      <c r="A48" s="224" t="str">
        <v/>
      </c>
      <c r="B48" s="72" t="str">
        <v/>
      </c>
      <c r="C48" s="176" t="str">
        <v/>
      </c>
      <c r="D48" s="176" t="str">
        <v/>
      </c>
      <c r="E48" s="176" t="str">
        <v/>
      </c>
      <c r="F48" s="176" t="str">
        <v/>
      </c>
      <c r="G48" s="176" t="str">
        <v/>
      </c>
      <c r="H48" s="176" t="str">
        <v/>
      </c>
      <c r="I48" s="174" t="str">
        <v/>
      </c>
      <c r="L48" s="32"/>
      <c r="AD48" s="497" t="str">
        <v/>
      </c>
      <c r="AE48" s="59" t="str">
        <v/>
      </c>
      <c r="AF48" s="521" t="str">
        <v/>
      </c>
      <c r="AG48" s="521" t="str">
        <v/>
      </c>
      <c r="AH48" s="521" t="str">
        <v/>
      </c>
      <c r="AI48" s="186" t="str">
        <v/>
      </c>
      <c r="AJ48" s="521" t="str">
        <v/>
      </c>
      <c r="AK48" s="186" t="str">
        <v/>
      </c>
      <c r="AL48" s="521" t="str">
        <v/>
      </c>
      <c r="AM48" s="521" t="str">
        <v/>
      </c>
      <c r="AN48" s="260" t="str">
        <v/>
      </c>
    </row>
    <row r="49" spans="1:12">
      <c r="A49" s="224" t="str">
        <v/>
      </c>
      <c r="B49" s="72" t="str">
        <v/>
      </c>
      <c r="C49" s="176" t="str">
        <v/>
      </c>
      <c r="D49" s="176" t="str">
        <v/>
      </c>
      <c r="E49" s="176" t="str">
        <v/>
      </c>
      <c r="F49" s="176" t="str">
        <v/>
      </c>
      <c r="G49" s="176" t="str">
        <v/>
      </c>
      <c r="H49" s="176" t="str">
        <v/>
      </c>
      <c r="I49" s="174" t="str">
        <v/>
      </c>
      <c r="L49" s="32"/>
    </row>
    <row r="50" spans="1:12">
      <c r="A50" s="224" t="str">
        <v/>
      </c>
      <c r="B50" s="72" t="str">
        <v/>
      </c>
      <c r="C50" s="176" t="str">
        <v/>
      </c>
      <c r="D50" s="176" t="str">
        <v/>
      </c>
      <c r="E50" s="176" t="str">
        <v/>
      </c>
      <c r="F50" s="176" t="str">
        <v/>
      </c>
      <c r="G50" s="176" t="str">
        <v/>
      </c>
      <c r="H50" s="176" t="str">
        <v/>
      </c>
      <c r="I50" s="174" t="str">
        <v/>
      </c>
      <c r="L50" s="32"/>
    </row>
    <row r="51" spans="1:12">
      <c r="A51" s="224" t="str">
        <v/>
      </c>
      <c r="B51" s="72" t="str">
        <v/>
      </c>
      <c r="C51" s="176" t="str">
        <v/>
      </c>
      <c r="D51" s="176" t="str">
        <v/>
      </c>
      <c r="E51" s="176" t="str">
        <v/>
      </c>
      <c r="F51" s="176" t="str">
        <v/>
      </c>
      <c r="G51" s="176" t="str">
        <v/>
      </c>
      <c r="H51" s="176" t="str">
        <v/>
      </c>
      <c r="I51" s="174" t="str">
        <v/>
      </c>
      <c r="L51" s="32"/>
    </row>
    <row r="52" spans="1:12">
      <c r="A52" s="224" t="str">
        <v/>
      </c>
      <c r="B52" s="72" t="str">
        <v/>
      </c>
      <c r="C52" s="176" t="str">
        <v/>
      </c>
      <c r="D52" s="176" t="str">
        <v/>
      </c>
      <c r="E52" s="176" t="str">
        <v/>
      </c>
      <c r="F52" s="176" t="str">
        <v/>
      </c>
      <c r="G52" s="176" t="str">
        <v/>
      </c>
      <c r="H52" s="176" t="str">
        <v/>
      </c>
      <c r="I52" s="174" t="str">
        <v/>
      </c>
      <c r="L52" s="32"/>
    </row>
    <row r="53" ht="14.55" spans="1:12">
      <c r="A53" s="497" t="str">
        <v/>
      </c>
      <c r="B53" s="519" t="str">
        <v/>
      </c>
      <c r="C53" s="502" t="str">
        <v/>
      </c>
      <c r="D53" s="502" t="str">
        <v/>
      </c>
      <c r="E53" s="502" t="str">
        <v/>
      </c>
      <c r="F53" s="502" t="str">
        <v/>
      </c>
      <c r="G53" s="502" t="str">
        <v/>
      </c>
      <c r="H53" s="502" t="str">
        <v/>
      </c>
      <c r="I53" s="185" t="str">
        <v/>
      </c>
      <c r="L53" s="32"/>
    </row>
    <row r="54" ht="14.55" spans="12:12">
      <c r="L54" s="32"/>
    </row>
    <row r="55" ht="14.55" spans="1:9">
      <c r="A55" s="166" t="s">
        <v>9</v>
      </c>
      <c r="B55" s="86" t="s">
        <v>10</v>
      </c>
      <c r="C55" s="41"/>
      <c r="D55" s="41"/>
      <c r="E55" s="41"/>
      <c r="F55" s="41"/>
      <c r="G55" s="41"/>
      <c r="H55" s="41"/>
      <c r="I55" s="90"/>
    </row>
    <row r="56" ht="14.55" spans="1:9">
      <c r="A56" s="518"/>
      <c r="B56" s="16" t="s">
        <v>25</v>
      </c>
      <c r="C56" s="17">
        <v>2024</v>
      </c>
      <c r="D56" s="17">
        <v>2023</v>
      </c>
      <c r="E56" s="18">
        <v>2022</v>
      </c>
      <c r="F56" s="18">
        <v>2021</v>
      </c>
      <c r="G56" s="18">
        <v>2020</v>
      </c>
      <c r="H56" s="18">
        <v>2019</v>
      </c>
      <c r="I56" s="273">
        <v>2018</v>
      </c>
    </row>
    <row r="57" spans="1:9">
      <c r="A57" s="211" t="str" cm="1">
        <f t="array" ref="A57:A78">IF($A$4:$A$25&gt;0,$A$4:$A$25,"")</f>
        <v>Renaissance Opportunities Fund PMS</v>
      </c>
      <c r="B57" s="175" cm="1">
        <f t="array" ref="B57:B78">_xlfn.IFNA(INDEX(performace_data!$B$4:$AN$294,MATCH(_xlfn.ANCHORARRAY($A$57),performace_data!$B$4:$B$294,0),MATCH(B$56,performace_data!$B$4:$AM$4,0)),"")</f>
        <v>-0.0157526639606131</v>
      </c>
      <c r="C57" s="176" cm="1">
        <f t="array" ref="C57:C78">_xlfn.IFNA(INDEX(performace_data!$B$4:$AN$294,MATCH(_xlfn.ANCHORARRAY($A$57),performace_data!$B$4:$B$294,0),MATCH(C$56,performace_data!$B$4:$AM$4,0)),"")</f>
        <v>0.246137661220227</v>
      </c>
      <c r="D57" s="176" cm="1">
        <f t="array" ref="D57:D78">_xlfn.IFNA(INDEX(performace_data!$B$4:$AN$294,MATCH(_xlfn.ANCHORARRAY($A$57),performace_data!$B$4:$B$294,0),MATCH(D$56,performace_data!$B$4:$AM$4,0)),"")</f>
        <v>0.27255977580347</v>
      </c>
      <c r="E57" s="176" cm="1">
        <f t="array" ref="E57:E78">_xlfn.IFNA(INDEX(performace_data!$B$4:$AN$294,MATCH(_xlfn.ANCHORARRAY($A$57),performace_data!$B$4:$B$294,0),MATCH(E$56,performace_data!$B$4:$AM$4,0)),"")</f>
        <v>0.100871060698555</v>
      </c>
      <c r="F57" s="176" cm="1">
        <f t="array" ref="F57:F78">_xlfn.IFNA(INDEX(performace_data!$B$4:$AN$294,MATCH(_xlfn.ANCHORARRAY($A$57),performace_data!$B$4:$B$294,0),MATCH(F$56,performace_data!$B$4:$AM$4,0)),"")</f>
        <v>0.363589982277438</v>
      </c>
      <c r="G57" s="176" cm="1">
        <f t="array" ref="G57:G78">_xlfn.IFNA(INDEX(performace_data!$B$4:$AN$294,MATCH(_xlfn.ANCHORARRAY($A$57),performace_data!$B$4:$B$294,0),MATCH(G$56,performace_data!$B$4:$AM$4,0)),"")</f>
        <v>0.0893649385219928</v>
      </c>
      <c r="H57" s="176" cm="1">
        <f t="array" ref="H57:H78">_xlfn.IFNA(INDEX(performace_data!$B$4:$AN$294,MATCH(_xlfn.ANCHORARRAY($A$57),performace_data!$B$4:$B$294,0),MATCH(H$56,performace_data!$B$4:$AM$4,0)),"")</f>
        <v>0.109299961060874</v>
      </c>
      <c r="I57" s="174" cm="1">
        <f t="array" ref="I57:I78">_xlfn.IFNA(INDEX(performace_data!$B$4:$AN$294,MATCH(_xlfn.ANCHORARRAY($A$57),performace_data!$B$4:$B$294,0),MATCH(I$56,performace_data!$B$4:$AM$4,0)),"")</f>
        <v>-0.0771779924938113</v>
      </c>
    </row>
    <row r="58" spans="1:9">
      <c r="A58" s="224" t="str">
        <v>Nippon India Large Cap Fund(G)</v>
      </c>
      <c r="B58" s="175">
        <v>0.045961</v>
      </c>
      <c r="C58" s="176">
        <v>0.182397253978206</v>
      </c>
      <c r="D58" s="176">
        <v>0.321478427661326</v>
      </c>
      <c r="E58" s="176">
        <v>0.113278340777579</v>
      </c>
      <c r="F58" s="176">
        <v>0.323671949303782</v>
      </c>
      <c r="G58" s="176">
        <v>0.0490812677272166</v>
      </c>
      <c r="H58" s="176">
        <v>0.0725190954426446</v>
      </c>
      <c r="I58" s="174">
        <v>-0.00200396593257917</v>
      </c>
    </row>
    <row r="59" spans="1:9">
      <c r="A59" s="224" t="str">
        <v>SBI Large &amp; Midcap Fund-Reg(G)</v>
      </c>
      <c r="B59" s="175">
        <v>0.049623</v>
      </c>
      <c r="C59" s="176">
        <v>0.180429945474413</v>
      </c>
      <c r="D59" s="176">
        <v>0.267927654028178</v>
      </c>
      <c r="E59" s="176">
        <v>0.0727005482251813</v>
      </c>
      <c r="F59" s="176">
        <v>0.393453444860057</v>
      </c>
      <c r="G59" s="176">
        <v>0.157561874583203</v>
      </c>
      <c r="H59" s="176">
        <v>0.0682271555012597</v>
      </c>
      <c r="I59" s="174">
        <v>-0.0525042773477515</v>
      </c>
    </row>
    <row r="60" spans="1:9">
      <c r="A60" s="224" t="str">
        <v>Canara Rob Emerg Equities Fund-Reg(G)</v>
      </c>
      <c r="B60" s="175">
        <v>0.002476</v>
      </c>
      <c r="C60" s="176">
        <v>0.263157894736842</v>
      </c>
      <c r="D60" s="176">
        <v>0.24037691691815</v>
      </c>
      <c r="E60" s="176">
        <v>-0.0164758616512205</v>
      </c>
      <c r="F60" s="176">
        <v>0.369927806821011</v>
      </c>
      <c r="G60" s="176">
        <v>0.245452666391071</v>
      </c>
      <c r="H60" s="176">
        <v>0.0868246658429743</v>
      </c>
      <c r="I60" s="174">
        <v>-0.0929190015282731</v>
      </c>
    </row>
    <row r="61" spans="1:9">
      <c r="A61" s="224" t="str">
        <v/>
      </c>
      <c r="B61" s="175" t="str">
        <v/>
      </c>
      <c r="C61" s="176" t="str">
        <v/>
      </c>
      <c r="D61" s="176" t="str">
        <v/>
      </c>
      <c r="E61" s="176" t="str">
        <v/>
      </c>
      <c r="F61" s="176" t="str">
        <v/>
      </c>
      <c r="G61" s="176" t="str">
        <v/>
      </c>
      <c r="H61" s="176" t="str">
        <v/>
      </c>
      <c r="I61" s="174" t="str">
        <v/>
      </c>
    </row>
    <row r="62" spans="1:9">
      <c r="A62" s="224" t="str">
        <v/>
      </c>
      <c r="B62" s="175" t="str">
        <v/>
      </c>
      <c r="C62" s="176" t="str">
        <v/>
      </c>
      <c r="D62" s="176" t="str">
        <v/>
      </c>
      <c r="E62" s="176" t="str">
        <v/>
      </c>
      <c r="F62" s="176" t="str">
        <v/>
      </c>
      <c r="G62" s="176" t="str">
        <v/>
      </c>
      <c r="H62" s="176" t="str">
        <v/>
      </c>
      <c r="I62" s="174" t="str">
        <v/>
      </c>
    </row>
    <row r="63" spans="1:9">
      <c r="A63" s="224" t="str">
        <v/>
      </c>
      <c r="B63" s="175" t="str">
        <v/>
      </c>
      <c r="C63" s="176" t="str">
        <v/>
      </c>
      <c r="D63" s="176" t="str">
        <v/>
      </c>
      <c r="E63" s="176" t="str">
        <v/>
      </c>
      <c r="F63" s="176" t="str">
        <v/>
      </c>
      <c r="G63" s="176" t="str">
        <v/>
      </c>
      <c r="H63" s="176" t="str">
        <v/>
      </c>
      <c r="I63" s="174" t="str">
        <v/>
      </c>
    </row>
    <row r="64" spans="1:9">
      <c r="A64" s="224" t="str">
        <v/>
      </c>
      <c r="B64" s="175" t="str">
        <v/>
      </c>
      <c r="C64" s="176" t="str">
        <v/>
      </c>
      <c r="D64" s="176" t="str">
        <v/>
      </c>
      <c r="E64" s="176" t="str">
        <v/>
      </c>
      <c r="F64" s="176" t="str">
        <v/>
      </c>
      <c r="G64" s="176" t="str">
        <v/>
      </c>
      <c r="H64" s="176" t="str">
        <v/>
      </c>
      <c r="I64" s="174" t="str">
        <v/>
      </c>
    </row>
    <row r="65" spans="1:9">
      <c r="A65" s="224" t="str">
        <v/>
      </c>
      <c r="B65" s="175" t="str">
        <v/>
      </c>
      <c r="C65" s="176" t="str">
        <v/>
      </c>
      <c r="D65" s="176" t="str">
        <v/>
      </c>
      <c r="E65" s="176" t="str">
        <v/>
      </c>
      <c r="F65" s="176" t="str">
        <v/>
      </c>
      <c r="G65" s="176" t="str">
        <v/>
      </c>
      <c r="H65" s="176" t="str">
        <v/>
      </c>
      <c r="I65" s="174" t="str">
        <v/>
      </c>
    </row>
    <row r="66" spans="1:9">
      <c r="A66" s="224" t="str">
        <v/>
      </c>
      <c r="B66" s="175" t="str">
        <v/>
      </c>
      <c r="C66" s="176" t="str">
        <v/>
      </c>
      <c r="D66" s="176" t="str">
        <v/>
      </c>
      <c r="E66" s="176" t="str">
        <v/>
      </c>
      <c r="F66" s="176" t="str">
        <v/>
      </c>
      <c r="G66" s="176" t="str">
        <v/>
      </c>
      <c r="H66" s="176" t="str">
        <v/>
      </c>
      <c r="I66" s="174" t="str">
        <v/>
      </c>
    </row>
    <row r="67" spans="1:9">
      <c r="A67" s="224" t="str">
        <v/>
      </c>
      <c r="B67" s="175" t="str">
        <v/>
      </c>
      <c r="C67" s="176" t="str">
        <v/>
      </c>
      <c r="D67" s="176" t="str">
        <v/>
      </c>
      <c r="E67" s="176" t="str">
        <v/>
      </c>
      <c r="F67" s="176" t="str">
        <v/>
      </c>
      <c r="G67" s="176" t="str">
        <v/>
      </c>
      <c r="H67" s="176" t="str">
        <v/>
      </c>
      <c r="I67" s="174" t="str">
        <v/>
      </c>
    </row>
    <row r="68" spans="1:9">
      <c r="A68" s="224" t="str">
        <v/>
      </c>
      <c r="B68" s="175" t="str">
        <v/>
      </c>
      <c r="C68" s="176" t="str">
        <v/>
      </c>
      <c r="D68" s="176" t="str">
        <v/>
      </c>
      <c r="E68" s="176" t="str">
        <v/>
      </c>
      <c r="F68" s="176" t="str">
        <v/>
      </c>
      <c r="G68" s="176" t="str">
        <v/>
      </c>
      <c r="H68" s="176" t="str">
        <v/>
      </c>
      <c r="I68" s="174" t="str">
        <v/>
      </c>
    </row>
    <row r="69" spans="1:9">
      <c r="A69" s="224" t="str">
        <v/>
      </c>
      <c r="B69" s="175" t="str">
        <v/>
      </c>
      <c r="C69" s="176" t="str">
        <v/>
      </c>
      <c r="D69" s="176" t="str">
        <v/>
      </c>
      <c r="E69" s="176" t="str">
        <v/>
      </c>
      <c r="F69" s="176" t="str">
        <v/>
      </c>
      <c r="G69" s="176" t="str">
        <v/>
      </c>
      <c r="H69" s="176" t="str">
        <v/>
      </c>
      <c r="I69" s="174" t="str">
        <v/>
      </c>
    </row>
    <row r="70" spans="1:9">
      <c r="A70" s="224" t="str">
        <v/>
      </c>
      <c r="B70" s="175" t="str">
        <v/>
      </c>
      <c r="C70" s="176" t="str">
        <v/>
      </c>
      <c r="D70" s="176" t="str">
        <v/>
      </c>
      <c r="E70" s="176" t="str">
        <v/>
      </c>
      <c r="F70" s="176" t="str">
        <v/>
      </c>
      <c r="G70" s="176" t="str">
        <v/>
      </c>
      <c r="H70" s="176" t="str">
        <v/>
      </c>
      <c r="I70" s="174" t="str">
        <v/>
      </c>
    </row>
    <row r="71" spans="1:9">
      <c r="A71" s="224" t="str">
        <v/>
      </c>
      <c r="B71" s="175" t="str">
        <v/>
      </c>
      <c r="C71" s="176" t="str">
        <v/>
      </c>
      <c r="D71" s="176" t="str">
        <v/>
      </c>
      <c r="E71" s="176" t="str">
        <v/>
      </c>
      <c r="F71" s="176" t="str">
        <v/>
      </c>
      <c r="G71" s="176" t="str">
        <v/>
      </c>
      <c r="H71" s="176" t="str">
        <v/>
      </c>
      <c r="I71" s="174" t="str">
        <v/>
      </c>
    </row>
    <row r="72" spans="1:9">
      <c r="A72" s="224" t="str">
        <v/>
      </c>
      <c r="B72" s="175" t="str">
        <v/>
      </c>
      <c r="C72" s="176" t="str">
        <v/>
      </c>
      <c r="D72" s="176" t="str">
        <v/>
      </c>
      <c r="E72" s="176" t="str">
        <v/>
      </c>
      <c r="F72" s="176" t="str">
        <v/>
      </c>
      <c r="G72" s="176" t="str">
        <v/>
      </c>
      <c r="H72" s="176" t="str">
        <v/>
      </c>
      <c r="I72" s="174" t="str">
        <v/>
      </c>
    </row>
    <row r="73" spans="1:9">
      <c r="A73" s="224" t="str">
        <v/>
      </c>
      <c r="B73" s="175" t="str">
        <v/>
      </c>
      <c r="C73" s="176" t="str">
        <v/>
      </c>
      <c r="D73" s="176" t="str">
        <v/>
      </c>
      <c r="E73" s="176" t="str">
        <v/>
      </c>
      <c r="F73" s="176" t="str">
        <v/>
      </c>
      <c r="G73" s="176" t="str">
        <v/>
      </c>
      <c r="H73" s="176" t="str">
        <v/>
      </c>
      <c r="I73" s="174" t="str">
        <v/>
      </c>
    </row>
    <row r="74" spans="1:9">
      <c r="A74" s="224" t="str">
        <v/>
      </c>
      <c r="B74" s="175" t="str">
        <v/>
      </c>
      <c r="C74" s="176" t="str">
        <v/>
      </c>
      <c r="D74" s="176" t="str">
        <v/>
      </c>
      <c r="E74" s="176" t="str">
        <v/>
      </c>
      <c r="F74" s="176" t="str">
        <v/>
      </c>
      <c r="G74" s="176" t="str">
        <v/>
      </c>
      <c r="H74" s="176" t="str">
        <v/>
      </c>
      <c r="I74" s="174" t="str">
        <v/>
      </c>
    </row>
    <row r="75" spans="1:9">
      <c r="A75" s="224" t="str">
        <v/>
      </c>
      <c r="B75" s="175" t="str">
        <v/>
      </c>
      <c r="C75" s="176" t="str">
        <v/>
      </c>
      <c r="D75" s="176" t="str">
        <v/>
      </c>
      <c r="E75" s="176" t="str">
        <v/>
      </c>
      <c r="F75" s="176" t="str">
        <v/>
      </c>
      <c r="G75" s="176" t="str">
        <v/>
      </c>
      <c r="H75" s="176" t="str">
        <v/>
      </c>
      <c r="I75" s="174" t="str">
        <v/>
      </c>
    </row>
    <row r="76" spans="1:9">
      <c r="A76" s="224" t="str">
        <v/>
      </c>
      <c r="B76" s="175" t="str">
        <v/>
      </c>
      <c r="C76" s="176" t="str">
        <v/>
      </c>
      <c r="D76" s="176" t="str">
        <v/>
      </c>
      <c r="E76" s="176" t="str">
        <v/>
      </c>
      <c r="F76" s="176" t="str">
        <v/>
      </c>
      <c r="G76" s="176" t="str">
        <v/>
      </c>
      <c r="H76" s="176" t="str">
        <v/>
      </c>
      <c r="I76" s="174" t="str">
        <v/>
      </c>
    </row>
    <row r="77" spans="1:9">
      <c r="A77" s="224" t="str">
        <v/>
      </c>
      <c r="B77" s="175" t="str">
        <v/>
      </c>
      <c r="C77" s="176" t="str">
        <v/>
      </c>
      <c r="D77" s="176" t="str">
        <v/>
      </c>
      <c r="E77" s="176" t="str">
        <v/>
      </c>
      <c r="F77" s="176" t="str">
        <v/>
      </c>
      <c r="G77" s="176" t="str">
        <v/>
      </c>
      <c r="H77" s="176" t="str">
        <v/>
      </c>
      <c r="I77" s="174" t="str">
        <v/>
      </c>
    </row>
    <row r="78" ht="14.55" spans="1:9">
      <c r="A78" s="497" t="str">
        <v/>
      </c>
      <c r="B78" s="501" t="str">
        <v/>
      </c>
      <c r="C78" s="502" t="str">
        <v/>
      </c>
      <c r="D78" s="502" t="str">
        <v/>
      </c>
      <c r="E78" s="502" t="str">
        <v/>
      </c>
      <c r="F78" s="502" t="str">
        <v/>
      </c>
      <c r="G78" s="502" t="str">
        <v/>
      </c>
      <c r="H78" s="502" t="str">
        <v/>
      </c>
      <c r="I78" s="185" t="str">
        <v/>
      </c>
    </row>
    <row r="79" spans="2:9">
      <c r="B79" s="176"/>
      <c r="C79" s="182"/>
      <c r="D79" s="182"/>
      <c r="E79" s="182"/>
      <c r="F79" s="182"/>
      <c r="G79" s="182"/>
      <c r="H79" s="182"/>
      <c r="I79" s="182"/>
    </row>
    <row r="80" spans="2:9">
      <c r="B80" s="176"/>
      <c r="C80" s="182"/>
      <c r="D80" s="182"/>
      <c r="E80" s="182"/>
      <c r="F80" s="182"/>
      <c r="G80" s="182"/>
      <c r="H80" s="182"/>
      <c r="I80" s="182"/>
    </row>
    <row r="81" spans="2:9">
      <c r="B81" s="176"/>
      <c r="C81" s="182"/>
      <c r="D81" s="182"/>
      <c r="E81" s="182"/>
      <c r="F81" s="182"/>
      <c r="G81" s="182"/>
      <c r="H81" s="182"/>
      <c r="I81" s="182"/>
    </row>
    <row r="83" ht="14.55"/>
    <row r="84" spans="1:14">
      <c r="A84" s="62" t="s">
        <v>36</v>
      </c>
      <c r="B84" s="203"/>
      <c r="C84" s="203"/>
      <c r="D84" s="203"/>
      <c r="E84" s="203"/>
      <c r="F84" s="203"/>
      <c r="G84" s="203"/>
      <c r="H84" s="203"/>
      <c r="I84" s="203"/>
      <c r="L84" s="62" t="s">
        <v>37</v>
      </c>
      <c r="M84" s="203"/>
      <c r="N84" s="203"/>
    </row>
    <row r="86" ht="14.55"/>
    <row r="87" ht="14.55" spans="1:14">
      <c r="A87" s="62" t="s">
        <v>6</v>
      </c>
      <c r="B87" s="63"/>
      <c r="D87" s="520" t="s">
        <v>7</v>
      </c>
      <c r="E87" s="164"/>
      <c r="F87" s="164"/>
      <c r="H87" s="248" t="s">
        <v>8</v>
      </c>
      <c r="I87" s="249"/>
      <c r="L87" s="245" t="s">
        <v>29</v>
      </c>
      <c r="M87" s="276" t="s">
        <v>30</v>
      </c>
      <c r="N87" s="164" t="s">
        <v>31</v>
      </c>
    </row>
    <row r="88" ht="14.55" spans="1:14">
      <c r="A88" s="236" t="s">
        <v>13</v>
      </c>
      <c r="B88" s="90" t="s">
        <v>14</v>
      </c>
      <c r="D88" s="250" t="s">
        <v>15</v>
      </c>
      <c r="E88" s="246" t="e">
        <f>SUM($B$89:$B$91)</f>
        <v>#N/A</v>
      </c>
      <c r="F88" s="247"/>
      <c r="H88" s="253" t="str" cm="1">
        <f t="array" ref="H88:I98">_xlfn._xlws.SORT(_xlfn.HSTACK(_xlfn.UNIQUE(source_data!$J$2:$J$192),_xlfn.BYROW(_xlfn.UNIQUE(source_data!$J$2:$J$192),_xlfn.LAMBDA(_xlpm.x,SUMIF(source_data!$J$2:$J$192,_xlpm.x,source_data!$L$2:$L$192)))),2,-1)</f>
        <v>Financial</v>
      </c>
      <c r="I88" s="479" t="e">
        <v>#N/A</v>
      </c>
      <c r="L88" s="250" t="s">
        <v>3</v>
      </c>
      <c r="M88" s="252" cm="1">
        <f t="array" ref="M88">SUMPRODUCT(source_data!$U$2:$U$24,_xlfn.IFNA(VLOOKUP(source_data!$T$2:$T$24,'Selector Sheet '!$B$15:$D$43,3,FALSE),0))</f>
        <v>0.3589668</v>
      </c>
      <c r="N88" s="278">
        <f>($W22/SUM($M$88:$M$90))*1</f>
        <v>0.761714577356999</v>
      </c>
    </row>
    <row r="89" spans="1:14">
      <c r="A89" s="238" t="str" cm="1">
        <f t="array" ref="A89:B108">_xlfn._xlws.SORT(_xlfn.TAKE(_xlfn._xlws.SORT(_xlfn.HSTACK(_xlfn.UNIQUE(source_data!$B$2:$B$567),_xlfn.BYROW(_xlfn.UNIQUE(source_data!$B$2:$B$567),_xlfn.LAMBDA(_xlpm.x,SUMIF(source_data!$B$2:$B$567,_xlpm.x,source_data!$D$2:$D$567)))),2,-1),20),2,-1)</f>
        <v>HDFC Bank</v>
      </c>
      <c r="B89" s="54" t="e">
        <v>#N/A</v>
      </c>
      <c r="D89" s="255" t="s">
        <v>26</v>
      </c>
      <c r="E89" s="251" t="e">
        <f>SUM($B$89:$B$93)</f>
        <v>#N/A</v>
      </c>
      <c r="F89" s="252"/>
      <c r="H89" s="238" t="str">
        <v>Technology</v>
      </c>
      <c r="I89" s="54" t="e">
        <v>#N/A</v>
      </c>
      <c r="L89" s="255" t="s">
        <v>32</v>
      </c>
      <c r="M89" s="252" cm="1">
        <f t="array" ref="M89">SUMPRODUCT(source_data!$V$2:$V$24,_xlfn.IFNA(VLOOKUP(source_data!$T$2:$T$24,'Selector Sheet '!$B$15:$D$43,3,FALSE),0))</f>
        <v>0.0795708</v>
      </c>
      <c r="N89" s="280">
        <f>($W23/SUM($M$88:$M$90))*1</f>
        <v>0.168846362092423</v>
      </c>
    </row>
    <row r="90" spans="1:14">
      <c r="A90" s="238" t="str">
        <v>ICICI Bank</v>
      </c>
      <c r="B90" s="54" t="e">
        <v>#N/A</v>
      </c>
      <c r="D90" s="255" t="s">
        <v>27</v>
      </c>
      <c r="E90" s="251" t="e">
        <f>SUM($B$89:$B$98)</f>
        <v>#N/A</v>
      </c>
      <c r="F90" s="252"/>
      <c r="H90" s="238" t="str">
        <v>Consumer Discretionary</v>
      </c>
      <c r="I90" s="54" t="e">
        <v>#N/A</v>
      </c>
      <c r="L90" s="256" t="s">
        <v>33</v>
      </c>
      <c r="M90" s="258" cm="1">
        <f t="array" ref="M90">SUMPRODUCT(source_data!$W$2:$W$24,_xlfn.IFNA(VLOOKUP(source_data!$T$2:$T$24,'Selector Sheet '!$B$15:$D$43,3,FALSE),0))</f>
        <v>0.03272396</v>
      </c>
      <c r="N90" s="282">
        <f>($W24/SUM($M$88:$M$90))*1</f>
        <v>0.0694390605505783</v>
      </c>
    </row>
    <row r="91" spans="1:9">
      <c r="A91" s="238" t="str">
        <v>Reliance Ind</v>
      </c>
      <c r="B91" s="54" t="e">
        <v>#N/A</v>
      </c>
      <c r="D91" s="256" t="s">
        <v>28</v>
      </c>
      <c r="E91" s="257" t="e">
        <f>SUM($B$89:$B$108)</f>
        <v>#N/A</v>
      </c>
      <c r="F91" s="258"/>
      <c r="H91" s="238" t="str">
        <v>Energy &amp; Utilities</v>
      </c>
      <c r="I91" s="54" t="e">
        <v>#N/A</v>
      </c>
    </row>
    <row r="92" spans="1:9">
      <c r="A92" s="238" t="str">
        <v>Infosys</v>
      </c>
      <c r="B92" s="54" t="e">
        <v>#N/A</v>
      </c>
      <c r="H92" s="238" t="str">
        <v>Consumer Staples</v>
      </c>
      <c r="I92" s="54" t="e">
        <v>#N/A</v>
      </c>
    </row>
    <row r="93" spans="1:9">
      <c r="A93" s="238" t="str">
        <v>Larsen &amp; Toubro</v>
      </c>
      <c r="B93" s="54" t="e">
        <v>#N/A</v>
      </c>
      <c r="H93" s="238" t="str">
        <v>Industrials</v>
      </c>
      <c r="I93" s="54" t="e">
        <v>#N/A</v>
      </c>
    </row>
    <row r="94" spans="1:9">
      <c r="A94" s="238" t="str">
        <v>Bharti Airtel</v>
      </c>
      <c r="B94" s="54" t="e">
        <v>#N/A</v>
      </c>
      <c r="H94" s="238" t="str">
        <v>Materials</v>
      </c>
      <c r="I94" s="54" t="e">
        <v>#N/A</v>
      </c>
    </row>
    <row r="95" spans="1:9">
      <c r="A95" s="238" t="str">
        <v>Mahindra &amp; Mahindra</v>
      </c>
      <c r="B95" s="54" t="e">
        <v>#N/A</v>
      </c>
      <c r="H95" s="238" t="str">
        <v>Healthcare</v>
      </c>
      <c r="I95" s="54" t="e">
        <v>#N/A</v>
      </c>
    </row>
    <row r="96" spans="1:9">
      <c r="A96" s="238" t="str">
        <v>Axis Bank</v>
      </c>
      <c r="B96" s="54" t="e">
        <v>#N/A</v>
      </c>
      <c r="H96" s="238" t="str">
        <v>Real Estate</v>
      </c>
      <c r="I96" s="54" t="e">
        <v>#N/A</v>
      </c>
    </row>
    <row r="97" spans="1:9">
      <c r="A97" s="238" t="str">
        <v>ITC</v>
      </c>
      <c r="B97" s="54" t="e">
        <v>#N/A</v>
      </c>
      <c r="H97" s="238" t="str">
        <v>Diversified</v>
      </c>
      <c r="I97" s="54" t="e">
        <v>#N/A</v>
      </c>
    </row>
    <row r="98" ht="14.55" spans="1:9">
      <c r="A98" s="238" t="str">
        <v>SBI</v>
      </c>
      <c r="B98" s="54" t="e">
        <v>#N/A</v>
      </c>
      <c r="H98" s="287" t="str">
        <v>Cash (Unclassified)</v>
      </c>
      <c r="I98" s="260">
        <v>0</v>
      </c>
    </row>
    <row r="99" spans="1:2">
      <c r="A99" s="238" t="str">
        <v>Maruti Suzuki</v>
      </c>
      <c r="B99" s="54" t="e">
        <v>#N/A</v>
      </c>
    </row>
    <row r="100" spans="1:2">
      <c r="A100" s="238" t="str">
        <v>NTPC</v>
      </c>
      <c r="B100" s="54" t="e">
        <v>#N/A</v>
      </c>
    </row>
    <row r="101" spans="1:2">
      <c r="A101" s="238" t="str">
        <v>Tata Consultancy</v>
      </c>
      <c r="B101" s="54" t="e">
        <v>#N/A</v>
      </c>
    </row>
    <row r="102" spans="1:2">
      <c r="A102" s="238" t="str">
        <v>Sun Pharmaceutical</v>
      </c>
      <c r="B102" s="54" t="e">
        <v>#N/A</v>
      </c>
    </row>
    <row r="103" spans="1:2">
      <c r="A103" s="238" t="str">
        <v>Ultratech Cement</v>
      </c>
      <c r="B103" s="54" t="e">
        <v>#N/A</v>
      </c>
    </row>
    <row r="104" spans="1:2">
      <c r="A104" s="238" t="str">
        <v>Interglobe Aviation</v>
      </c>
      <c r="B104" s="54" t="e">
        <v>#N/A</v>
      </c>
    </row>
    <row r="105" spans="1:2">
      <c r="A105" s="238" t="str">
        <v>Hindustan Unilever</v>
      </c>
      <c r="B105" s="54" t="e">
        <v>#N/A</v>
      </c>
    </row>
    <row r="106" spans="1:2">
      <c r="A106" s="238" t="str">
        <v>Bajaj Finance</v>
      </c>
      <c r="B106" s="54" t="e">
        <v>#N/A</v>
      </c>
    </row>
    <row r="107" spans="1:2">
      <c r="A107" s="238" t="str">
        <v>Kotak Bank</v>
      </c>
      <c r="B107" s="54" t="e">
        <v>#N/A</v>
      </c>
    </row>
    <row r="108" ht="14.55" spans="1:2">
      <c r="A108" s="287" t="str">
        <v>Tech Mahindra</v>
      </c>
      <c r="B108" s="260" t="e">
        <v>#N/A</v>
      </c>
    </row>
    <row r="109" spans="5:6">
      <c r="E109" s="34"/>
      <c r="F109" s="34"/>
    </row>
    <row r="110" spans="5:6">
      <c r="E110" s="34"/>
      <c r="F110" s="34"/>
    </row>
  </sheetData>
  <mergeCells count="27">
    <mergeCell ref="A1:E1"/>
    <mergeCell ref="S3:T3"/>
    <mergeCell ref="V3:X3"/>
    <mergeCell ref="Z3:AA3"/>
    <mergeCell ref="AF3:AN3"/>
    <mergeCell ref="W4:X4"/>
    <mergeCell ref="W5:X5"/>
    <mergeCell ref="W6:X6"/>
    <mergeCell ref="W7:X7"/>
    <mergeCell ref="A28:I28"/>
    <mergeCell ref="K28:M28"/>
    <mergeCell ref="C30:I30"/>
    <mergeCell ref="AF31:AN31"/>
    <mergeCell ref="B55:I55"/>
    <mergeCell ref="A84:I84"/>
    <mergeCell ref="L84:N84"/>
    <mergeCell ref="A87:B87"/>
    <mergeCell ref="D87:F87"/>
    <mergeCell ref="H87:I87"/>
    <mergeCell ref="E88:F88"/>
    <mergeCell ref="E89:F89"/>
    <mergeCell ref="E90:F90"/>
    <mergeCell ref="E91:F91"/>
    <mergeCell ref="A30:A31"/>
    <mergeCell ref="A55:A56"/>
    <mergeCell ref="AD3:AD4"/>
    <mergeCell ref="AD31:AD32"/>
  </mergeCells>
  <conditionalFormatting sqref="C32:I53">
    <cfRule type="cellIs" dxfId="0" priority="1" operator="lessThan">
      <formula>0</formula>
    </cfRule>
    <cfRule type="cellIs" dxfId="1" priority="2" operator="greaterThan">
      <formula>0</formula>
    </cfRule>
  </conditionalFormatting>
  <conditionalFormatting sqref="B57:I78">
    <cfRule type="cellIs" dxfId="0" priority="3" operator="lessThan">
      <formula>0</formula>
    </cfRule>
    <cfRule type="cellIs" dxfId="1" priority="4" operator="greaterThan">
      <formula>0</formula>
    </cfRule>
  </conditionalFormatting>
  <dataValidations count="1">
    <dataValidation type="list" allowBlank="1" showInputMessage="1" showErrorMessage="1" sqref="AR3 L30">
      <formula1>'Drop Downs'!$I$18:$I$21</formula1>
    </dataValidation>
  </dataValidation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9"/>
  <sheetViews>
    <sheetView workbookViewId="0">
      <selection activeCell="B54" sqref="B54"/>
    </sheetView>
  </sheetViews>
  <sheetFormatPr defaultColWidth="8.89166666666667" defaultRowHeight="13.8" outlineLevelCol="2"/>
  <cols>
    <col min="1" max="1" width="16.1083333333333" customWidth="1"/>
    <col min="2" max="2" width="23.1083333333333" customWidth="1"/>
    <col min="3" max="3" width="37.6666666666667" customWidth="1"/>
  </cols>
  <sheetData>
    <row r="1" spans="1:3">
      <c r="A1" t="s">
        <v>38</v>
      </c>
      <c r="B1" t="s">
        <v>39</v>
      </c>
      <c r="C1" t="s">
        <v>40</v>
      </c>
    </row>
    <row r="2" ht="14.4" spans="1:3">
      <c r="A2" s="508" t="s">
        <v>31</v>
      </c>
      <c r="B2" s="509"/>
      <c r="C2" s="509"/>
    </row>
    <row r="3" ht="18" customHeight="1" spans="1:3">
      <c r="A3" s="509"/>
      <c r="B3" s="510" t="s">
        <v>41</v>
      </c>
      <c r="C3" s="510"/>
    </row>
    <row r="4" ht="21" customHeight="1" spans="1:3">
      <c r="A4" s="509"/>
      <c r="B4" s="510"/>
      <c r="C4" s="511" t="s">
        <v>42</v>
      </c>
    </row>
    <row r="5" ht="14.4" spans="1:3">
      <c r="A5" s="509"/>
      <c r="B5" s="510"/>
      <c r="C5" s="511" t="s">
        <v>43</v>
      </c>
    </row>
    <row r="6" ht="14.4" spans="1:3">
      <c r="A6" s="509"/>
      <c r="B6" s="510"/>
      <c r="C6" s="512" t="s">
        <v>44</v>
      </c>
    </row>
    <row r="7" ht="14.4" spans="1:3">
      <c r="A7" s="509"/>
      <c r="B7" s="510"/>
      <c r="C7" s="511" t="s">
        <v>45</v>
      </c>
    </row>
    <row r="8" ht="14.4" spans="1:3">
      <c r="A8" s="509"/>
      <c r="B8" s="510"/>
      <c r="C8" s="511" t="s">
        <v>46</v>
      </c>
    </row>
    <row r="9" ht="14.4" spans="1:3">
      <c r="A9" s="509"/>
      <c r="B9" s="510" t="s">
        <v>47</v>
      </c>
      <c r="C9" s="510"/>
    </row>
    <row r="10" ht="14.4" spans="1:3">
      <c r="A10" s="509"/>
      <c r="B10" s="510"/>
      <c r="C10" s="511" t="s">
        <v>48</v>
      </c>
    </row>
    <row r="11" ht="14.4" spans="1:3">
      <c r="A11" s="509"/>
      <c r="B11" s="510"/>
      <c r="C11" s="511" t="s">
        <v>49</v>
      </c>
    </row>
    <row r="12" ht="14.4" spans="1:3">
      <c r="A12" s="509"/>
      <c r="B12" s="510"/>
      <c r="C12" s="511" t="s">
        <v>50</v>
      </c>
    </row>
    <row r="13" ht="14.4" spans="1:3">
      <c r="A13" s="509"/>
      <c r="B13" s="513" t="s">
        <v>51</v>
      </c>
      <c r="C13" s="510"/>
    </row>
    <row r="14" ht="14.4" spans="1:3">
      <c r="A14" s="509"/>
      <c r="B14" s="510"/>
      <c r="C14" s="511" t="s">
        <v>52</v>
      </c>
    </row>
    <row r="15" ht="14.4" spans="1:3">
      <c r="A15" s="509"/>
      <c r="B15" s="510"/>
      <c r="C15" s="511" t="s">
        <v>53</v>
      </c>
    </row>
    <row r="16" ht="14.4" spans="1:3">
      <c r="A16" s="509"/>
      <c r="B16" s="510"/>
      <c r="C16" s="511" t="s">
        <v>54</v>
      </c>
    </row>
    <row r="17" ht="14.4" spans="1:3">
      <c r="A17" s="509"/>
      <c r="B17" s="510"/>
      <c r="C17" s="511" t="s">
        <v>55</v>
      </c>
    </row>
    <row r="18" ht="14.4" spans="1:3">
      <c r="A18" s="509"/>
      <c r="B18" s="510"/>
      <c r="C18" s="511" t="s">
        <v>56</v>
      </c>
    </row>
    <row r="19" ht="14.4" spans="1:3">
      <c r="A19" s="509"/>
      <c r="B19" s="510"/>
      <c r="C19" s="511" t="s">
        <v>57</v>
      </c>
    </row>
    <row r="20" ht="14.4" spans="1:3">
      <c r="A20" s="509"/>
      <c r="B20" s="510"/>
      <c r="C20" s="511" t="s">
        <v>58</v>
      </c>
    </row>
    <row r="21" ht="14.4" spans="1:3">
      <c r="A21" s="509"/>
      <c r="B21" s="510"/>
      <c r="C21" s="511" t="s">
        <v>59</v>
      </c>
    </row>
    <row r="22" ht="14.4" spans="1:3">
      <c r="A22" s="508"/>
      <c r="B22" s="510"/>
      <c r="C22" s="511" t="s">
        <v>60</v>
      </c>
    </row>
    <row r="23" ht="14.4" spans="1:3">
      <c r="A23" s="509" t="s">
        <v>61</v>
      </c>
      <c r="B23" s="508"/>
      <c r="C23" s="510"/>
    </row>
    <row r="24" ht="14.4" spans="1:3">
      <c r="A24" s="509"/>
      <c r="B24" s="508" t="s">
        <v>62</v>
      </c>
      <c r="C24" s="510"/>
    </row>
    <row r="25" ht="14.4" spans="1:3">
      <c r="A25" s="509"/>
      <c r="B25" s="510"/>
      <c r="C25" s="511" t="s">
        <v>63</v>
      </c>
    </row>
    <row r="26" ht="14.4" spans="1:3">
      <c r="A26" s="509"/>
      <c r="B26" s="510"/>
      <c r="C26" s="511" t="s">
        <v>64</v>
      </c>
    </row>
    <row r="27" ht="14.4" spans="1:3">
      <c r="A27" s="509"/>
      <c r="B27" s="510"/>
      <c r="C27" s="511" t="s">
        <v>65</v>
      </c>
    </row>
    <row r="28" ht="14.4" spans="1:3">
      <c r="A28" s="509"/>
      <c r="B28" s="510"/>
      <c r="C28" s="514" t="s">
        <v>66</v>
      </c>
    </row>
    <row r="29" ht="14.4" spans="1:3">
      <c r="A29" s="508" t="s">
        <v>67</v>
      </c>
      <c r="B29" s="509"/>
      <c r="C29" s="509"/>
    </row>
    <row r="30" ht="14.4" spans="1:3">
      <c r="A30" s="509"/>
      <c r="B30" s="513" t="s">
        <v>68</v>
      </c>
      <c r="C30" s="509"/>
    </row>
    <row r="31" ht="14.4" spans="1:3">
      <c r="A31" s="509"/>
      <c r="B31" s="509"/>
      <c r="C31" s="511" t="s">
        <v>69</v>
      </c>
    </row>
    <row r="32" ht="14.4" spans="1:3">
      <c r="A32" s="509"/>
      <c r="B32" s="509"/>
      <c r="C32" s="511" t="s">
        <v>70</v>
      </c>
    </row>
    <row r="33" ht="14.4" spans="1:3">
      <c r="A33" s="509"/>
      <c r="B33" s="509"/>
      <c r="C33" s="511" t="s">
        <v>71</v>
      </c>
    </row>
    <row r="34" ht="14.4" spans="1:3">
      <c r="A34" s="509"/>
      <c r="B34" s="509"/>
      <c r="C34" s="511" t="s">
        <v>72</v>
      </c>
    </row>
    <row r="35" ht="14.4" spans="1:3">
      <c r="A35" s="509"/>
      <c r="B35" s="509"/>
      <c r="C35" s="511" t="s">
        <v>73</v>
      </c>
    </row>
    <row r="36" ht="14.4" spans="1:3">
      <c r="A36" s="509"/>
      <c r="B36" s="509"/>
      <c r="C36" s="511" t="s">
        <v>74</v>
      </c>
    </row>
    <row r="37" ht="14.4" spans="1:3">
      <c r="A37" s="509"/>
      <c r="B37" s="513" t="s">
        <v>75</v>
      </c>
      <c r="C37" s="509"/>
    </row>
    <row r="38" ht="14.4" spans="1:3">
      <c r="A38" s="509"/>
      <c r="B38" s="509"/>
      <c r="C38" s="511" t="s">
        <v>76</v>
      </c>
    </row>
    <row r="39" ht="14.4" spans="1:3">
      <c r="A39" s="509"/>
      <c r="B39" s="509"/>
      <c r="C39" s="511" t="s">
        <v>77</v>
      </c>
    </row>
    <row r="40" ht="14.4" spans="1:3">
      <c r="A40" s="509"/>
      <c r="B40" s="509"/>
      <c r="C40" s="511" t="s">
        <v>78</v>
      </c>
    </row>
    <row r="41" ht="14.4" spans="1:3">
      <c r="A41" s="509"/>
      <c r="B41" s="509"/>
      <c r="C41" s="511" t="s">
        <v>79</v>
      </c>
    </row>
    <row r="42" ht="14.4" spans="1:3">
      <c r="A42" s="509"/>
      <c r="B42" s="513" t="s">
        <v>80</v>
      </c>
      <c r="C42" s="509"/>
    </row>
    <row r="43" ht="14.4" spans="1:3">
      <c r="A43" s="509"/>
      <c r="B43" s="509"/>
      <c r="C43" s="511" t="s">
        <v>81</v>
      </c>
    </row>
    <row r="44" ht="14.4" spans="1:3">
      <c r="A44" s="508" t="s">
        <v>82</v>
      </c>
      <c r="B44" s="509"/>
      <c r="C44" s="509"/>
    </row>
    <row r="45" ht="14.4" spans="1:3">
      <c r="A45" s="509"/>
      <c r="B45" s="513" t="s">
        <v>83</v>
      </c>
      <c r="C45" s="509"/>
    </row>
    <row r="46" ht="14.4" spans="1:3">
      <c r="A46" s="509"/>
      <c r="B46" s="509"/>
      <c r="C46" s="511" t="s">
        <v>84</v>
      </c>
    </row>
    <row r="47" ht="14.4" spans="1:3">
      <c r="A47" s="513"/>
      <c r="B47" s="513" t="s">
        <v>85</v>
      </c>
      <c r="C47" s="509"/>
    </row>
    <row r="48" ht="14.4" spans="1:3">
      <c r="A48" s="509"/>
      <c r="B48" s="509"/>
      <c r="C48" s="511" t="s">
        <v>86</v>
      </c>
    </row>
    <row r="49" ht="14.4" spans="1:3">
      <c r="A49" s="509"/>
      <c r="B49" s="509"/>
      <c r="C49" s="511" t="s">
        <v>87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Y19"/>
  <sheetViews>
    <sheetView showGridLines="0" zoomScale="55" zoomScaleNormal="55" workbookViewId="0">
      <selection activeCell="H40" sqref="H40"/>
    </sheetView>
  </sheetViews>
  <sheetFormatPr defaultColWidth="9" defaultRowHeight="13.8"/>
  <cols>
    <col min="1" max="1" width="41.0916666666667" customWidth="1"/>
    <col min="8" max="8" width="31.3583333333333" customWidth="1"/>
    <col min="9" max="9" width="8.725" customWidth="1"/>
    <col min="17" max="17" width="31.3583333333333" customWidth="1"/>
  </cols>
  <sheetData>
    <row r="1" ht="15" customHeight="1" spans="1:25">
      <c r="A1" s="488" t="s">
        <v>88</v>
      </c>
      <c r="B1" s="63"/>
      <c r="H1" s="488" t="s">
        <v>88</v>
      </c>
      <c r="I1" s="203" t="s">
        <v>89</v>
      </c>
      <c r="J1" s="203" t="s">
        <v>90</v>
      </c>
      <c r="K1" s="203" t="s">
        <v>91</v>
      </c>
      <c r="L1" s="203" t="s">
        <v>20</v>
      </c>
      <c r="M1" s="203" t="s">
        <v>92</v>
      </c>
      <c r="N1" s="63" t="s">
        <v>93</v>
      </c>
      <c r="Q1" s="488" t="s">
        <v>88</v>
      </c>
      <c r="R1" s="503">
        <v>2025</v>
      </c>
      <c r="S1" s="503">
        <v>2024</v>
      </c>
      <c r="T1" s="503">
        <v>2023</v>
      </c>
      <c r="U1" s="503">
        <v>2022</v>
      </c>
      <c r="V1" s="503">
        <v>2021</v>
      </c>
      <c r="W1" s="503">
        <v>2020</v>
      </c>
      <c r="X1" s="503">
        <v>2019</v>
      </c>
      <c r="Y1" s="507">
        <v>2018</v>
      </c>
    </row>
    <row r="2" ht="14.55" spans="1:25">
      <c r="A2" s="111" t="s">
        <v>68</v>
      </c>
      <c r="B2" s="489" t="str" cm="1">
        <f t="array" ref="B2:B17">_xlfn.IFNA(VLOOKUP($A$2:$A$17,'Selector Sheet '!$B$14:$D$59,3,FALSE),"")</f>
        <v/>
      </c>
      <c r="H2" s="151" t="str" cm="1">
        <f t="array" ref="H2:H19">IF($A$2:$A$19&gt;0,$A$2:$A$19,"")</f>
        <v>Debt Alternatives</v>
      </c>
      <c r="I2" s="498" t="str" cm="1">
        <f t="array" ref="I2:I19">IFERROR(INDEX(performace_data!$AS$3:$BU$501,MATCH(TRIM(_xlfn.ANCHORARRAY($H2)),performace_data!$AS$3:$AS$501,0),MATCH(TRIM(I$1),performace_data!$AS$4:$BD$4,0)),"")</f>
        <v/>
      </c>
      <c r="J2" s="499" t="str" cm="1">
        <f t="array" ref="J2:J19">IFERROR(INDEX(performace_data!$AS$3:$BU$501,MATCH(TRIM(_xlfn.ANCHORARRAY($H2)),performace_data!$AS$3:$AS$501,0),MATCH(TRIM(J$1),performace_data!$AS$4:$BS$4,0)),"")</f>
        <v/>
      </c>
      <c r="K2" s="499" t="str" cm="1">
        <f t="array" ref="K2:K19">IFERROR(INDEX(performace_data!$AS$3:$BU$501,MATCH(TRIM(_xlfn.ANCHORARRAY($H2)),performace_data!$AS$3:$AS$501,0),MATCH(TRIM(K$1),performace_data!$AS$4:$BD$4,0)),"")</f>
        <v/>
      </c>
      <c r="L2" s="499" t="str" cm="1">
        <f t="array" ref="L2:L19">IFERROR(INDEX(performace_data!$AS$3:$BU$501,MATCH(TRIM(_xlfn.ANCHORARRAY($H2)),performace_data!$AS$3:$AS$501,0),MATCH(TRIM(L$1),performace_data!$AS$4:$BD$4,0)),"")</f>
        <v/>
      </c>
      <c r="M2" s="499" t="str" cm="1">
        <f t="array" ref="M2:M19">IFERROR(INDEX(performace_data!$AS$3:$BU$501,MATCH(TRIM(_xlfn.ANCHORARRAY($H2)),performace_data!$AS$3:$AS$501,0),MATCH(TRIM(M$1),performace_data!$AS$4:$BD$4,0)),"")</f>
        <v/>
      </c>
      <c r="N2" s="500" t="str" cm="1">
        <f t="array" ref="N2:N19">IFERROR(INDEX(performace_data!$AS$3:$BU$501,MATCH(TRIM(_xlfn.ANCHORARRAY($H2)),performace_data!$AS$3:$AS$501,0),MATCH(TRIM(N$1),performace_data!$AS$4:$BD$4,0)),"")</f>
        <v/>
      </c>
      <c r="Q2" s="151" t="str" cm="1">
        <f t="array" ref="Q2:Q19">IF($A$2:$A$19&gt;0,$A$2:$A$19,"")</f>
        <v>Debt Alternatives</v>
      </c>
      <c r="R2" s="167" t="str" cm="1">
        <f t="array" ref="R2:R19">_xlfn.IFNA(VLOOKUP(_xlfn.ANCHORARRAY($Q$2),performace_data!$AS$5:$BU$15,14,FALSE),"")</f>
        <v/>
      </c>
      <c r="S2" s="167" t="str" cm="1">
        <f t="array" ref="S2:S19">_xlfn.IFNA(VLOOKUP(_xlfn.ANCHORARRAY($Q$2),performace_data!$AS$5:$BU$15,15,FALSE),"")</f>
        <v/>
      </c>
      <c r="T2" s="167" t="str" cm="1">
        <f t="array" ref="T2:T19">_xlfn.IFNA(VLOOKUP(_xlfn.ANCHORARRAY($Q$2),performace_data!$AS$5:$BU$15,16,FALSE),"")</f>
        <v/>
      </c>
      <c r="U2" s="167" t="str" cm="1">
        <f t="array" ref="U2:U19">_xlfn.IFNA(VLOOKUP(_xlfn.ANCHORARRAY($Q$2),performace_data!$AS$5:$BU$15,17,FALSE),"")</f>
        <v/>
      </c>
      <c r="V2" s="167" t="str" cm="1">
        <f t="array" ref="V2:V19">_xlfn.IFNA(VLOOKUP(_xlfn.ANCHORARRAY($Q$2),performace_data!$AS$5:$BU$15,18,FALSE),"")</f>
        <v/>
      </c>
      <c r="W2" s="167" t="str" cm="1">
        <f t="array" ref="W2:W19">_xlfn.IFNA(VLOOKUP(_xlfn.ANCHORARRAY($Q$2),performace_data!$AS$5:$BU$15,19,FALSE),"")</f>
        <v/>
      </c>
      <c r="X2" s="167" t="str" cm="1">
        <f t="array" ref="X2:X19">_xlfn.IFNA(VLOOKUP(_xlfn.ANCHORARRAY($Q$2),performace_data!$AS$5:$BU$15,20,FALSE),"")</f>
        <v/>
      </c>
      <c r="Y2" s="112" t="str" cm="1">
        <f t="array" ref="Y2:Y19">_xlfn.IFNA(VLOOKUP(_xlfn.ANCHORARRAY($Q$2),performace_data!$AS$5:$BU$15,21,FALSE),"")</f>
        <v/>
      </c>
    </row>
    <row r="3" spans="1:25">
      <c r="A3" s="490" t="str" cm="1">
        <f t="array" ref="A3">_xlfn._xlws.FILTER('Selector Sheet '!$B$46:$B$51,'Selector Sheet '!$A$46:$A$51=TRUE,"No funds selected")</f>
        <v>No funds selected</v>
      </c>
      <c r="B3" s="174" t="str">
        <v/>
      </c>
      <c r="H3" s="224" t="str">
        <v>No funds selected</v>
      </c>
      <c r="I3" s="175" t="str">
        <v/>
      </c>
      <c r="J3" s="176" t="str">
        <v/>
      </c>
      <c r="K3" s="176" t="str">
        <v/>
      </c>
      <c r="L3" s="176" t="str">
        <v/>
      </c>
      <c r="M3" s="176" t="str">
        <v/>
      </c>
      <c r="N3" s="174" t="str">
        <v/>
      </c>
      <c r="Q3" s="504" t="str">
        <v>No funds selected</v>
      </c>
      <c r="R3" s="505" t="str">
        <v/>
      </c>
      <c r="S3" s="506" t="str">
        <v/>
      </c>
      <c r="T3" s="506" t="str">
        <v/>
      </c>
      <c r="U3" s="506" t="str">
        <v/>
      </c>
      <c r="V3" s="506" t="str">
        <v/>
      </c>
      <c r="W3" s="506" t="str">
        <v/>
      </c>
      <c r="X3" s="506" t="str">
        <v/>
      </c>
      <c r="Y3" s="199" t="str">
        <v/>
      </c>
    </row>
    <row r="4" spans="1:25">
      <c r="A4" s="490"/>
      <c r="B4" s="174" t="str">
        <v/>
      </c>
      <c r="H4" s="224" t="str">
        <v/>
      </c>
      <c r="I4" s="175" t="str">
        <v/>
      </c>
      <c r="J4" s="176" t="str">
        <v/>
      </c>
      <c r="K4" s="176" t="str">
        <v/>
      </c>
      <c r="L4" s="176" t="str">
        <v/>
      </c>
      <c r="M4" s="176" t="str">
        <v/>
      </c>
      <c r="N4" s="174" t="str">
        <v/>
      </c>
      <c r="Q4" s="224" t="str">
        <v/>
      </c>
      <c r="R4" s="175" t="str">
        <v/>
      </c>
      <c r="S4" s="176" t="str">
        <v/>
      </c>
      <c r="T4" s="176" t="str">
        <v/>
      </c>
      <c r="U4" s="176" t="str">
        <v/>
      </c>
      <c r="V4" s="176" t="str">
        <v/>
      </c>
      <c r="W4" s="176" t="str">
        <v/>
      </c>
      <c r="X4" s="176" t="str">
        <v/>
      </c>
      <c r="Y4" s="174" t="str">
        <v/>
      </c>
    </row>
    <row r="5" spans="1:25">
      <c r="A5" s="490"/>
      <c r="B5" s="174" t="str">
        <v/>
      </c>
      <c r="H5" s="224" t="str">
        <v/>
      </c>
      <c r="I5" s="175" t="str">
        <v/>
      </c>
      <c r="J5" s="176" t="str">
        <v/>
      </c>
      <c r="K5" s="176" t="str">
        <v/>
      </c>
      <c r="L5" s="176" t="str">
        <v/>
      </c>
      <c r="M5" s="176" t="str">
        <v/>
      </c>
      <c r="N5" s="174" t="str">
        <v/>
      </c>
      <c r="Q5" s="224" t="str">
        <v/>
      </c>
      <c r="R5" s="175" t="str">
        <v/>
      </c>
      <c r="S5" s="176" t="str">
        <v/>
      </c>
      <c r="T5" s="176" t="str">
        <v/>
      </c>
      <c r="U5" s="176" t="str">
        <v/>
      </c>
      <c r="V5" s="176" t="str">
        <v/>
      </c>
      <c r="W5" s="176" t="str">
        <v/>
      </c>
      <c r="X5" s="176" t="str">
        <v/>
      </c>
      <c r="Y5" s="174" t="str">
        <v/>
      </c>
    </row>
    <row r="6" spans="1:25">
      <c r="A6" s="490"/>
      <c r="B6" s="174" t="str">
        <v/>
      </c>
      <c r="H6" s="224" t="str">
        <v/>
      </c>
      <c r="I6" s="175" t="str">
        <v/>
      </c>
      <c r="J6" s="176" t="str">
        <v/>
      </c>
      <c r="K6" s="176" t="str">
        <v/>
      </c>
      <c r="L6" s="176" t="str">
        <v/>
      </c>
      <c r="M6" s="176" t="str">
        <v/>
      </c>
      <c r="N6" s="174" t="str">
        <v/>
      </c>
      <c r="Q6" s="224" t="str">
        <v/>
      </c>
      <c r="R6" s="175" t="str">
        <v/>
      </c>
      <c r="S6" s="176" t="str">
        <v/>
      </c>
      <c r="T6" s="176" t="str">
        <v/>
      </c>
      <c r="U6" s="176" t="str">
        <v/>
      </c>
      <c r="V6" s="176" t="str">
        <v/>
      </c>
      <c r="W6" s="176" t="str">
        <v/>
      </c>
      <c r="X6" s="176" t="str">
        <v/>
      </c>
      <c r="Y6" s="174" t="str">
        <v/>
      </c>
    </row>
    <row r="7" spans="1:25">
      <c r="A7" s="491"/>
      <c r="B7" s="174" t="str">
        <v/>
      </c>
      <c r="H7" s="224" t="str">
        <v/>
      </c>
      <c r="I7" s="175" t="str">
        <v/>
      </c>
      <c r="J7" s="176" t="str">
        <v/>
      </c>
      <c r="K7" s="176" t="str">
        <v/>
      </c>
      <c r="L7" s="176" t="str">
        <v/>
      </c>
      <c r="M7" s="176" t="str">
        <v/>
      </c>
      <c r="N7" s="174" t="str">
        <v/>
      </c>
      <c r="Q7" s="224" t="str">
        <v/>
      </c>
      <c r="R7" s="175" t="str">
        <v/>
      </c>
      <c r="S7" s="176" t="str">
        <v/>
      </c>
      <c r="T7" s="176" t="str">
        <v/>
      </c>
      <c r="U7" s="176" t="str">
        <v/>
      </c>
      <c r="V7" s="176" t="str">
        <v/>
      </c>
      <c r="W7" s="176" t="str">
        <v/>
      </c>
      <c r="X7" s="176" t="str">
        <v/>
      </c>
      <c r="Y7" s="174" t="str">
        <v/>
      </c>
    </row>
    <row r="8" spans="1:25">
      <c r="A8" s="491"/>
      <c r="B8" s="174" t="str">
        <v/>
      </c>
      <c r="H8" s="224" t="str">
        <v/>
      </c>
      <c r="I8" s="175" t="str">
        <v/>
      </c>
      <c r="J8" s="176" t="str">
        <v/>
      </c>
      <c r="K8" s="176" t="str">
        <v/>
      </c>
      <c r="L8" s="176" t="str">
        <v/>
      </c>
      <c r="M8" s="176" t="str">
        <v/>
      </c>
      <c r="N8" s="174" t="str">
        <v/>
      </c>
      <c r="Q8" s="224" t="str">
        <v/>
      </c>
      <c r="R8" s="175" t="str">
        <v/>
      </c>
      <c r="S8" s="176" t="str">
        <v/>
      </c>
      <c r="T8" s="176" t="str">
        <v/>
      </c>
      <c r="U8" s="176" t="str">
        <v/>
      </c>
      <c r="V8" s="176" t="str">
        <v/>
      </c>
      <c r="W8" s="176" t="str">
        <v/>
      </c>
      <c r="X8" s="176" t="str">
        <v/>
      </c>
      <c r="Y8" s="174" t="str">
        <v/>
      </c>
    </row>
    <row r="9" ht="14.55" spans="1:25">
      <c r="A9" s="492"/>
      <c r="B9" s="185" t="str">
        <v/>
      </c>
      <c r="H9" s="224" t="str">
        <v/>
      </c>
      <c r="I9" s="175" t="str">
        <v/>
      </c>
      <c r="J9" s="176" t="str">
        <v/>
      </c>
      <c r="K9" s="176" t="str">
        <v/>
      </c>
      <c r="L9" s="176" t="str">
        <v/>
      </c>
      <c r="M9" s="176" t="str">
        <v/>
      </c>
      <c r="N9" s="174" t="str">
        <v/>
      </c>
      <c r="Q9" s="224" t="str">
        <v/>
      </c>
      <c r="R9" s="175" t="str">
        <v/>
      </c>
      <c r="S9" s="176" t="str">
        <v/>
      </c>
      <c r="T9" s="176" t="str">
        <v/>
      </c>
      <c r="U9" s="176" t="str">
        <v/>
      </c>
      <c r="V9" s="176" t="str">
        <v/>
      </c>
      <c r="W9" s="176" t="str">
        <v/>
      </c>
      <c r="X9" s="176" t="str">
        <v/>
      </c>
      <c r="Y9" s="174" t="str">
        <v/>
      </c>
    </row>
    <row r="10" ht="14.55" hidden="1" spans="1:25">
      <c r="A10" s="151" t="s">
        <v>75</v>
      </c>
      <c r="B10" s="489" t="str">
        <v/>
      </c>
      <c r="H10" s="224" t="str">
        <v>Private Credit</v>
      </c>
      <c r="I10" s="175" t="str">
        <v/>
      </c>
      <c r="J10" s="176" t="str">
        <v/>
      </c>
      <c r="K10" s="176" t="str">
        <v/>
      </c>
      <c r="L10" s="176" t="str">
        <v/>
      </c>
      <c r="M10" s="176" t="str">
        <v/>
      </c>
      <c r="N10" s="174" t="str">
        <v/>
      </c>
      <c r="Q10" s="224" t="str">
        <v>Private Credit</v>
      </c>
      <c r="R10" s="175" t="str">
        <v/>
      </c>
      <c r="S10" s="176" t="str">
        <v/>
      </c>
      <c r="T10" s="176" t="str">
        <v/>
      </c>
      <c r="U10" s="176" t="str">
        <v/>
      </c>
      <c r="V10" s="176" t="str">
        <v/>
      </c>
      <c r="W10" s="176" t="str">
        <v/>
      </c>
      <c r="X10" s="176" t="str">
        <v/>
      </c>
      <c r="Y10" s="174" t="str">
        <v/>
      </c>
    </row>
    <row r="11" hidden="1" spans="1:25">
      <c r="A11" s="493" t="str" cm="1">
        <f t="array" ref="A11">_xlfn._xlws.FILTER('Selector Sheet '!$B$53:$B$56,'Selector Sheet '!$A$53:$A$56=TRUE,"No funds selected")</f>
        <v>No funds selected</v>
      </c>
      <c r="B11" s="494" t="str">
        <v/>
      </c>
      <c r="H11" s="224" t="str">
        <v>No funds selected</v>
      </c>
      <c r="I11" s="175" t="str">
        <v/>
      </c>
      <c r="J11" s="176" t="str">
        <v/>
      </c>
      <c r="K11" s="176" t="str">
        <v/>
      </c>
      <c r="L11" s="176" t="str">
        <v/>
      </c>
      <c r="M11" s="176" t="str">
        <v/>
      </c>
      <c r="N11" s="174" t="str">
        <v/>
      </c>
      <c r="Q11" s="224" t="str">
        <v>No funds selected</v>
      </c>
      <c r="R11" s="175" t="str">
        <v/>
      </c>
      <c r="S11" s="176" t="str">
        <v/>
      </c>
      <c r="T11" s="176" t="str">
        <v/>
      </c>
      <c r="U11" s="176" t="str">
        <v/>
      </c>
      <c r="V11" s="176" t="str">
        <v/>
      </c>
      <c r="W11" s="176" t="str">
        <v/>
      </c>
      <c r="X11" s="176" t="str">
        <v/>
      </c>
      <c r="Y11" s="174" t="str">
        <v/>
      </c>
    </row>
    <row r="12" hidden="1" spans="1:25">
      <c r="A12" s="495"/>
      <c r="B12" s="494" t="str">
        <v/>
      </c>
      <c r="H12" s="224" t="str">
        <v/>
      </c>
      <c r="I12" s="175" t="str">
        <v/>
      </c>
      <c r="J12" s="176" t="str">
        <v/>
      </c>
      <c r="K12" s="176" t="str">
        <v/>
      </c>
      <c r="L12" s="176" t="str">
        <v/>
      </c>
      <c r="M12" s="176" t="str">
        <v/>
      </c>
      <c r="N12" s="174" t="str">
        <v/>
      </c>
      <c r="Q12" s="224" t="str">
        <v/>
      </c>
      <c r="R12" s="175" t="str">
        <v/>
      </c>
      <c r="S12" s="176" t="str">
        <v/>
      </c>
      <c r="T12" s="176" t="str">
        <v/>
      </c>
      <c r="U12" s="176" t="str">
        <v/>
      </c>
      <c r="V12" s="176" t="str">
        <v/>
      </c>
      <c r="W12" s="176" t="str">
        <v/>
      </c>
      <c r="X12" s="176" t="str">
        <v/>
      </c>
      <c r="Y12" s="174" t="str">
        <v/>
      </c>
    </row>
    <row r="13" hidden="1" spans="1:25">
      <c r="A13" s="493"/>
      <c r="B13" s="494" t="str">
        <v/>
      </c>
      <c r="H13" s="224" t="str">
        <v/>
      </c>
      <c r="I13" s="175" t="str">
        <v/>
      </c>
      <c r="J13" s="176" t="str">
        <v/>
      </c>
      <c r="K13" s="176" t="str">
        <v/>
      </c>
      <c r="L13" s="176" t="str">
        <v/>
      </c>
      <c r="M13" s="176" t="str">
        <v/>
      </c>
      <c r="N13" s="174" t="str">
        <v/>
      </c>
      <c r="Q13" s="224" t="str">
        <v/>
      </c>
      <c r="R13" s="175" t="str">
        <v/>
      </c>
      <c r="S13" s="176" t="str">
        <v/>
      </c>
      <c r="T13" s="176" t="str">
        <v/>
      </c>
      <c r="U13" s="176" t="str">
        <v/>
      </c>
      <c r="V13" s="176" t="str">
        <v/>
      </c>
      <c r="W13" s="176" t="str">
        <v/>
      </c>
      <c r="X13" s="176" t="str">
        <v/>
      </c>
      <c r="Y13" s="174" t="str">
        <v/>
      </c>
    </row>
    <row r="14" ht="14.55" hidden="1" spans="1:25">
      <c r="A14" s="493"/>
      <c r="B14" s="494" t="str">
        <v/>
      </c>
      <c r="H14" s="224" t="str">
        <v/>
      </c>
      <c r="I14" s="175" t="str">
        <v/>
      </c>
      <c r="J14" s="176" t="str">
        <v/>
      </c>
      <c r="K14" s="176" t="str">
        <v/>
      </c>
      <c r="L14" s="176" t="str">
        <v/>
      </c>
      <c r="M14" s="176" t="str">
        <v/>
      </c>
      <c r="N14" s="174" t="str">
        <v/>
      </c>
      <c r="Q14" s="224" t="str">
        <v/>
      </c>
      <c r="R14" s="175" t="str">
        <v/>
      </c>
      <c r="S14" s="176" t="str">
        <v/>
      </c>
      <c r="T14" s="176" t="str">
        <v/>
      </c>
      <c r="U14" s="176" t="str">
        <v/>
      </c>
      <c r="V14" s="176" t="str">
        <v/>
      </c>
      <c r="W14" s="176" t="str">
        <v/>
      </c>
      <c r="X14" s="176" t="str">
        <v/>
      </c>
      <c r="Y14" s="174" t="str">
        <v/>
      </c>
    </row>
    <row r="15" ht="14.55" hidden="1" spans="1:25">
      <c r="A15" s="151" t="s">
        <v>80</v>
      </c>
      <c r="B15" s="489" t="str">
        <v/>
      </c>
      <c r="H15" s="224" t="str">
        <v>Multi Asset Allocation</v>
      </c>
      <c r="I15" s="175" t="str">
        <v/>
      </c>
      <c r="J15" s="176" t="str">
        <v/>
      </c>
      <c r="K15" s="176" t="str">
        <v/>
      </c>
      <c r="L15" s="176" t="str">
        <v/>
      </c>
      <c r="M15" s="176" t="str">
        <v/>
      </c>
      <c r="N15" s="174" t="str">
        <v/>
      </c>
      <c r="Q15" s="224" t="str">
        <v>Multi Asset Allocation</v>
      </c>
      <c r="R15" s="175" t="str">
        <v/>
      </c>
      <c r="S15" s="176" t="str">
        <v/>
      </c>
      <c r="T15" s="176" t="str">
        <v/>
      </c>
      <c r="U15" s="176" t="str">
        <v/>
      </c>
      <c r="V15" s="176" t="str">
        <v/>
      </c>
      <c r="W15" s="176" t="str">
        <v/>
      </c>
      <c r="X15" s="176" t="str">
        <v/>
      </c>
      <c r="Y15" s="174" t="str">
        <v/>
      </c>
    </row>
    <row r="16" hidden="1" spans="1:25">
      <c r="A16" s="493" t="str" cm="1">
        <f t="array" ref="A16">_xlfn._xlws.FILTER('Selector Sheet '!$B$58,'Selector Sheet '!$A$58=TRUE,"No funds selected")</f>
        <v>No funds selected</v>
      </c>
      <c r="B16" s="494" t="str">
        <v/>
      </c>
      <c r="H16" s="224" t="str">
        <v>No funds selected</v>
      </c>
      <c r="I16" s="175" t="str">
        <v/>
      </c>
      <c r="J16" s="176" t="str">
        <v/>
      </c>
      <c r="K16" s="176" t="str">
        <v/>
      </c>
      <c r="L16" s="176" t="str">
        <v/>
      </c>
      <c r="M16" s="176" t="str">
        <v/>
      </c>
      <c r="N16" s="174" t="str">
        <v/>
      </c>
      <c r="Q16" s="224" t="str">
        <v>No funds selected</v>
      </c>
      <c r="R16" s="175" t="str">
        <v/>
      </c>
      <c r="S16" s="176" t="str">
        <v/>
      </c>
      <c r="T16" s="176" t="str">
        <v/>
      </c>
      <c r="U16" s="176" t="str">
        <v/>
      </c>
      <c r="V16" s="176" t="str">
        <v/>
      </c>
      <c r="W16" s="176" t="str">
        <v/>
      </c>
      <c r="X16" s="176" t="str">
        <v/>
      </c>
      <c r="Y16" s="174" t="str">
        <v/>
      </c>
    </row>
    <row r="17" ht="14.55" hidden="1" spans="1:25">
      <c r="A17" s="492"/>
      <c r="B17" s="187" t="str">
        <v/>
      </c>
      <c r="H17" s="224" t="str">
        <v/>
      </c>
      <c r="I17" s="175" t="str">
        <v/>
      </c>
      <c r="J17" s="176" t="str">
        <v/>
      </c>
      <c r="K17" s="176" t="str">
        <v/>
      </c>
      <c r="L17" s="176" t="str">
        <v/>
      </c>
      <c r="M17" s="176" t="str">
        <v/>
      </c>
      <c r="N17" s="174" t="str">
        <v/>
      </c>
      <c r="Q17" s="224" t="str">
        <v/>
      </c>
      <c r="R17" s="175" t="str">
        <v/>
      </c>
      <c r="S17" s="176" t="str">
        <v/>
      </c>
      <c r="T17" s="176" t="str">
        <v/>
      </c>
      <c r="U17" s="176" t="str">
        <v/>
      </c>
      <c r="V17" s="176" t="str">
        <v/>
      </c>
      <c r="W17" s="176" t="str">
        <v/>
      </c>
      <c r="X17" s="176" t="str">
        <v/>
      </c>
      <c r="Y17" s="174" t="str">
        <v/>
      </c>
    </row>
    <row r="18" ht="14.55" spans="1:25">
      <c r="A18" s="151" t="s">
        <v>80</v>
      </c>
      <c r="B18" s="489" t="str" cm="1">
        <f t="array" ref="B18:B19">_xlfn.IFNA(VLOOKUP($A$18:$A$19,'Selector Sheet '!$B$14:$D$59,3,FALSE),"")</f>
        <v/>
      </c>
      <c r="H18" s="151" t="str">
        <v>Multi Asset Allocation</v>
      </c>
      <c r="I18" s="498" t="str">
        <v/>
      </c>
      <c r="J18" s="499" t="str">
        <v/>
      </c>
      <c r="K18" s="499" t="str">
        <v/>
      </c>
      <c r="L18" s="499" t="str">
        <v/>
      </c>
      <c r="M18" s="499" t="str">
        <v/>
      </c>
      <c r="N18" s="500" t="str">
        <v/>
      </c>
      <c r="Q18" s="151" t="str">
        <v>Multi Asset Allocation</v>
      </c>
      <c r="R18" s="498" t="str">
        <v/>
      </c>
      <c r="S18" s="499" t="str">
        <v/>
      </c>
      <c r="T18" s="499" t="str">
        <v/>
      </c>
      <c r="U18" s="499" t="str">
        <v/>
      </c>
      <c r="V18" s="499" t="str">
        <v/>
      </c>
      <c r="W18" s="499" t="str">
        <v/>
      </c>
      <c r="X18" s="499" t="str">
        <v/>
      </c>
      <c r="Y18" s="500" t="str">
        <v/>
      </c>
    </row>
    <row r="19" ht="14.55" spans="1:25">
      <c r="A19" s="492" t="str" cm="1">
        <f t="array" ref="A19">_xlfn._xlws.FILTER('Selector Sheet '!$B$58,'Selector Sheet '!$A$58=TRUE,"No funds selected")</f>
        <v>No funds selected</v>
      </c>
      <c r="B19" s="496" t="str">
        <v/>
      </c>
      <c r="H19" s="497" t="str">
        <v>No funds selected</v>
      </c>
      <c r="I19" s="501" t="str">
        <v/>
      </c>
      <c r="J19" s="502" t="str">
        <v/>
      </c>
      <c r="K19" s="502" t="str">
        <v/>
      </c>
      <c r="L19" s="502" t="str">
        <v/>
      </c>
      <c r="M19" s="502" t="str">
        <v/>
      </c>
      <c r="N19" s="185" t="str">
        <v/>
      </c>
      <c r="Q19" s="497" t="str">
        <v>No funds selected</v>
      </c>
      <c r="R19" s="501" t="str">
        <v/>
      </c>
      <c r="S19" s="502" t="str">
        <v/>
      </c>
      <c r="T19" s="502" t="str">
        <v/>
      </c>
      <c r="U19" s="502" t="str">
        <v/>
      </c>
      <c r="V19" s="502" t="str">
        <v/>
      </c>
      <c r="W19" s="502" t="str">
        <v/>
      </c>
      <c r="X19" s="502" t="str">
        <v/>
      </c>
      <c r="Y19" s="185" t="str">
        <v/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Formulas="1" workbookViewId="0">
      <selection activeCell="A1" sqref="A1"/>
    </sheetView>
  </sheetViews>
  <sheetFormatPr defaultColWidth="9" defaultRowHeight="13.8"/>
  <sheetData/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Z147"/>
  <sheetViews>
    <sheetView showGridLines="0" zoomScale="65" zoomScaleNormal="65" workbookViewId="0">
      <selection activeCell="H22" sqref="H22"/>
    </sheetView>
  </sheetViews>
  <sheetFormatPr defaultColWidth="9" defaultRowHeight="13.8"/>
  <cols>
    <col min="1" max="1" width="32.8166666666667" style="72" customWidth="1"/>
    <col min="2" max="2" width="37.8166666666667" style="72" customWidth="1"/>
    <col min="3" max="3" width="20.8166666666667" style="72" customWidth="1"/>
    <col min="4" max="4" width="21.725" customWidth="1"/>
    <col min="6" max="6" width="41.9083333333333" customWidth="1"/>
    <col min="7" max="7" width="27.0916666666667" customWidth="1"/>
    <col min="8" max="8" width="24" customWidth="1"/>
    <col min="9" max="62" width="48.6333333333333" customWidth="1"/>
    <col min="63" max="63" width="10.3583333333333" customWidth="1"/>
    <col min="64" max="66" width="20.725" customWidth="1"/>
    <col min="67" max="67" width="13.0916666666667" customWidth="1"/>
    <col min="68" max="68" width="34.9083333333333" customWidth="1"/>
    <col min="69" max="69" width="14.6333333333333" customWidth="1"/>
    <col min="70" max="72" width="48.6333333333333" customWidth="1"/>
    <col min="73" max="73" width="11.9083333333333" customWidth="1"/>
    <col min="74" max="74" width="6.63333333333333" customWidth="1"/>
    <col min="75" max="75" width="9.35833333333333" customWidth="1"/>
    <col min="76" max="76" width="10.3583333333333" customWidth="1"/>
  </cols>
  <sheetData>
    <row r="1" spans="1:26">
      <c r="A1"/>
      <c r="B1"/>
      <c r="C1"/>
      <c r="Z1" t="s">
        <v>94</v>
      </c>
    </row>
    <row r="2" spans="1:3">
      <c r="A2"/>
      <c r="B2"/>
      <c r="C2"/>
    </row>
    <row r="3" spans="1:3">
      <c r="A3"/>
      <c r="B3"/>
      <c r="C3"/>
    </row>
    <row r="4" spans="1:3">
      <c r="A4"/>
      <c r="B4"/>
      <c r="C4"/>
    </row>
    <row r="5" spans="1:3">
      <c r="A5"/>
      <c r="B5"/>
      <c r="C5"/>
    </row>
    <row r="6" spans="1:3">
      <c r="A6"/>
      <c r="B6"/>
      <c r="C6"/>
    </row>
    <row r="7" spans="1:3">
      <c r="A7"/>
      <c r="B7"/>
      <c r="C7"/>
    </row>
    <row r="8" spans="1:3">
      <c r="A8"/>
      <c r="B8"/>
      <c r="C8"/>
    </row>
    <row r="9" spans="1:8">
      <c r="A9" s="245"/>
      <c r="B9" s="164" t="s">
        <v>31</v>
      </c>
      <c r="C9" s="164" t="s">
        <v>30</v>
      </c>
      <c r="E9" s="245"/>
      <c r="F9" s="472" t="s">
        <v>3</v>
      </c>
      <c r="G9" s="472" t="s">
        <v>32</v>
      </c>
      <c r="H9" s="473" t="s">
        <v>33</v>
      </c>
    </row>
    <row r="10" spans="1:8">
      <c r="A10" s="250" t="s">
        <v>3</v>
      </c>
      <c r="B10" s="277">
        <f>C10/SUM($C$10:$C$12)*1</f>
        <v>0.761714577356999</v>
      </c>
      <c r="C10" s="277">
        <f>SUMPRODUCT(_xlfn.ANCHORARRAY('Output Dashboard '!$B$5),_xlfn.ANCHORARRAY('Output Dashboard '!$C$5))</f>
        <v>0.3589668</v>
      </c>
      <c r="E10" s="474" t="s">
        <v>31</v>
      </c>
      <c r="F10" s="53" cm="1">
        <f t="array" ref="F10:H10">TRANSPOSE($B$10:$B$12)</f>
        <v>0.761714577356999</v>
      </c>
      <c r="G10" s="53">
        <v>0.168846362092423</v>
      </c>
      <c r="H10" s="475">
        <v>0.0694390605505783</v>
      </c>
    </row>
    <row r="11" spans="1:8">
      <c r="A11" s="255" t="s">
        <v>32</v>
      </c>
      <c r="B11" s="279">
        <f>C11/SUM($C$10:$C$12)*1</f>
        <v>0.168846362092423</v>
      </c>
      <c r="C11" s="279">
        <f>SUMPRODUCT(_xlfn.ANCHORARRAY('Output Dashboard '!$B$5),_xlfn.ANCHORARRAY('Output Dashboard '!$D$5))</f>
        <v>0.0795708</v>
      </c>
      <c r="E11" s="476" t="s">
        <v>30</v>
      </c>
      <c r="F11" s="477" cm="1">
        <f t="array" ref="F11:H11">TRANSPOSE($C$10:$C$12)</f>
        <v>0.3589668</v>
      </c>
      <c r="G11" s="477">
        <v>0.0795708</v>
      </c>
      <c r="H11" s="478">
        <v>0.03272396</v>
      </c>
    </row>
    <row r="12" spans="1:3">
      <c r="A12" s="256" t="s">
        <v>33</v>
      </c>
      <c r="B12" s="281">
        <f>C12/SUM($C$10:$C$12)*1</f>
        <v>0.0694390605505783</v>
      </c>
      <c r="C12" s="281">
        <f>SUMPRODUCT(_xlfn.ANCHORARRAY('Output Dashboard '!$B$5),_xlfn.ANCHORARRAY('Output Dashboard '!$E$5))</f>
        <v>0.03272396</v>
      </c>
    </row>
    <row r="13" spans="1:3">
      <c r="A13"/>
      <c r="B13"/>
      <c r="C13"/>
    </row>
    <row r="14" spans="1:3">
      <c r="A14"/>
      <c r="B14"/>
      <c r="C14"/>
    </row>
    <row r="15" spans="1:3">
      <c r="A15"/>
      <c r="B15"/>
      <c r="C15"/>
    </row>
    <row r="16" spans="1:3">
      <c r="A16"/>
      <c r="B16"/>
      <c r="C16"/>
    </row>
    <row r="17" spans="1:3">
      <c r="A17"/>
      <c r="B17"/>
      <c r="C17"/>
    </row>
    <row r="18" spans="1:3">
      <c r="A18"/>
      <c r="B18"/>
      <c r="C18"/>
    </row>
    <row r="19" spans="1:3">
      <c r="A19"/>
      <c r="B19"/>
      <c r="C19"/>
    </row>
    <row r="20" spans="1:3">
      <c r="A20"/>
      <c r="B20"/>
      <c r="C20"/>
    </row>
    <row r="21" spans="1:3">
      <c r="A21"/>
      <c r="B21"/>
      <c r="C21"/>
    </row>
    <row r="22" spans="1:3">
      <c r="A22"/>
      <c r="B22"/>
      <c r="C22"/>
    </row>
    <row r="23" spans="1:3">
      <c r="A23"/>
      <c r="B23"/>
      <c r="C23"/>
    </row>
    <row r="24" spans="1:3">
      <c r="A24"/>
      <c r="B24"/>
      <c r="C24"/>
    </row>
    <row r="25" spans="1:3">
      <c r="A25"/>
      <c r="B25"/>
      <c r="C25"/>
    </row>
    <row r="26" spans="1:3">
      <c r="A26"/>
      <c r="B26"/>
      <c r="C26"/>
    </row>
    <row r="27" spans="1:3">
      <c r="A27"/>
      <c r="B27"/>
      <c r="C27"/>
    </row>
    <row r="28" spans="1:3">
      <c r="A28"/>
      <c r="B28"/>
      <c r="C28"/>
    </row>
    <row r="29" spans="1:3">
      <c r="A29"/>
      <c r="B29"/>
      <c r="C29"/>
    </row>
    <row r="30" spans="1:3">
      <c r="A30"/>
      <c r="B30"/>
      <c r="C30"/>
    </row>
    <row r="31" ht="14.55" spans="1:3">
      <c r="A31"/>
      <c r="B31"/>
      <c r="C31"/>
    </row>
    <row r="32" spans="1:6">
      <c r="A32" s="62" t="s">
        <v>8</v>
      </c>
      <c r="B32" s="63"/>
      <c r="C32"/>
      <c r="D32" s="264" t="str" cm="1">
        <f t="array" ref="D32:F35">'Output Dashboard '!$T$61:$V$64</f>
        <v>Sector Concentration</v>
      </c>
      <c r="E32" s="265">
        <v>0</v>
      </c>
      <c r="F32" s="266">
        <v>0</v>
      </c>
    </row>
    <row r="33" ht="14.55" spans="1:6">
      <c r="A33" s="248" t="s">
        <v>8</v>
      </c>
      <c r="B33" s="249" t="s">
        <v>95</v>
      </c>
      <c r="C33"/>
      <c r="D33" s="237" t="str">
        <v>Top 3 </v>
      </c>
      <c r="E33" s="267">
        <v>0.567069895180911</v>
      </c>
      <c r="F33" s="268">
        <v>0</v>
      </c>
    </row>
    <row r="34" spans="1:6">
      <c r="A34" s="253" t="str" cm="1">
        <f t="array" ref="A34:B44">_xlfn.IFNA(_xlfn._xlws.SORT(_xlfn.HSTACK(_xlfn.UNIQUE(sheet_2!$F$2:$F$778),_xlfn.BYROW(_xlfn.UNIQUE(sheet_2!$F$2:$F$778),_xlfn.LAMBDA(_xlpm.x,SUMIF(sheet_2!$F$2:$F$778,_xlpm.x,sheet_2!$G$2:$G$778)))),2,-1),"")</f>
        <v>Financials</v>
      </c>
      <c r="B34" s="479">
        <v>0.161723929269528</v>
      </c>
      <c r="C34"/>
      <c r="D34" s="239" t="str">
        <v>Top 5</v>
      </c>
      <c r="E34" s="269">
        <v>0.736408652583944</v>
      </c>
      <c r="F34" s="270">
        <v>0</v>
      </c>
    </row>
    <row r="35" spans="1:6">
      <c r="A35" s="238" t="str">
        <v>Consumer Discretionary</v>
      </c>
      <c r="B35" s="54">
        <v>0.0917128022983108</v>
      </c>
      <c r="C35"/>
      <c r="D35" s="240" t="str">
        <v>Top 11</v>
      </c>
      <c r="E35" s="271">
        <v>0.981593650819998</v>
      </c>
      <c r="F35" s="272">
        <v>0</v>
      </c>
    </row>
    <row r="36" spans="1:3">
      <c r="A36" s="238" t="str">
        <v>Industrials</v>
      </c>
      <c r="B36" s="54">
        <v>0.0609091955193042</v>
      </c>
      <c r="C36"/>
    </row>
    <row r="37" spans="1:3">
      <c r="A37" s="238" t="str">
        <v>Consumer Staples</v>
      </c>
      <c r="B37" s="54">
        <v>0.0485664291055112</v>
      </c>
      <c r="C37"/>
    </row>
    <row r="38" spans="1:3">
      <c r="A38" s="238" t="str">
        <v>Materials</v>
      </c>
      <c r="B38" s="54">
        <v>0.037600354504689</v>
      </c>
      <c r="C38"/>
    </row>
    <row r="39" spans="1:3">
      <c r="A39" s="238" t="str">
        <v>Information Technology</v>
      </c>
      <c r="B39" s="54">
        <v>0.032326160994751</v>
      </c>
      <c r="C39"/>
    </row>
    <row r="40" spans="1:3">
      <c r="A40" s="238" t="str">
        <v>Health Care</v>
      </c>
      <c r="B40" s="54">
        <v>0.0290195074934666</v>
      </c>
      <c r="C40"/>
    </row>
    <row r="41" spans="1:3">
      <c r="A41" s="238" t="str">
        <v>Energy</v>
      </c>
      <c r="B41" s="54">
        <v>0.028543336616855</v>
      </c>
      <c r="C41"/>
    </row>
    <row r="42" spans="1:3">
      <c r="A42" s="238" t="str">
        <v>Utilities</v>
      </c>
      <c r="B42" s="54">
        <v>0.0244725796494573</v>
      </c>
      <c r="C42"/>
    </row>
    <row r="43" spans="1:3">
      <c r="A43" s="238" t="str">
        <v>Communication Services</v>
      </c>
      <c r="B43" s="54">
        <v>0.00275888676852597</v>
      </c>
      <c r="C43"/>
    </row>
    <row r="44" ht="14.55" spans="1:3">
      <c r="A44" s="287" t="str">
        <v>Real Estate</v>
      </c>
      <c r="B44" s="260">
        <v>0.0008727043123762</v>
      </c>
      <c r="C44"/>
    </row>
    <row r="45" spans="1:3">
      <c r="A45"/>
      <c r="B45" s="480"/>
      <c r="C45"/>
    </row>
    <row r="46" spans="1:3">
      <c r="A46"/>
      <c r="B46"/>
      <c r="C46"/>
    </row>
    <row r="47" spans="1:3">
      <c r="A47"/>
      <c r="B47"/>
      <c r="C47"/>
    </row>
    <row r="75" ht="14.55"/>
    <row r="76" ht="14.55" spans="1:6">
      <c r="A76" s="62" t="str" cm="1">
        <f t="array" ref="A76:B97">'Output Dashboard '!$M$45:$N$66</f>
        <v>Equity Stock Exposure </v>
      </c>
      <c r="B76" s="63">
        <v>0</v>
      </c>
      <c r="D76" s="235" t="str" cm="1">
        <f t="array" ref="D76:F80">'Output Dashboard '!$P$45:$R$49</f>
        <v>Position Concentration</v>
      </c>
      <c r="E76" s="244">
        <v>0</v>
      </c>
      <c r="F76" s="244">
        <v>0</v>
      </c>
    </row>
    <row r="77" ht="14.55" spans="1:6">
      <c r="A77" s="236" t="str">
        <v>Name </v>
      </c>
      <c r="B77" s="90" t="str">
        <v>Percentage </v>
      </c>
      <c r="D77" s="237" t="str">
        <v>Top 3 </v>
      </c>
      <c r="E77" s="246">
        <v>0.207885660816042</v>
      </c>
      <c r="F77" s="247">
        <v>0</v>
      </c>
    </row>
    <row r="78" spans="1:6">
      <c r="A78" s="238" t="str">
        <v>HDFC Bank Ltd</v>
      </c>
      <c r="B78" s="54">
        <v>0.093156791150946</v>
      </c>
      <c r="D78" s="239" t="str">
        <v>Top 5</v>
      </c>
      <c r="E78" s="251">
        <v>0.285819319162048</v>
      </c>
      <c r="F78" s="252">
        <v>0</v>
      </c>
    </row>
    <row r="79" spans="1:6">
      <c r="A79" s="238" t="str">
        <v>Reliance Industries Ltd</v>
      </c>
      <c r="B79" s="54">
        <v>0.0581249503598166</v>
      </c>
      <c r="D79" s="239" t="str">
        <v>Top 10</v>
      </c>
      <c r="E79" s="251">
        <v>0.414732503673146</v>
      </c>
      <c r="F79" s="252">
        <v>0</v>
      </c>
    </row>
    <row r="80" spans="1:6">
      <c r="A80" s="238" t="str">
        <v>ICICI Bank Ltd</v>
      </c>
      <c r="B80" s="54">
        <v>0.056603919305279</v>
      </c>
      <c r="D80" s="240" t="str">
        <v>Top 20 </v>
      </c>
      <c r="E80" s="257">
        <v>0.571783510727566</v>
      </c>
      <c r="F80" s="258">
        <v>0</v>
      </c>
    </row>
    <row r="81" spans="1:2">
      <c r="A81" s="238" t="str">
        <v>State Bank of India</v>
      </c>
      <c r="B81" s="54">
        <v>0.0467224913218753</v>
      </c>
    </row>
    <row r="82" spans="1:2">
      <c r="A82" s="238" t="str">
        <v>Infosys Ltd</v>
      </c>
      <c r="B82" s="54">
        <v>0.0312111670241314</v>
      </c>
    </row>
    <row r="83" spans="1:2">
      <c r="A83" s="238" t="str">
        <v>HDFC Asset Management Co Ltd</v>
      </c>
      <c r="B83" s="54">
        <v>0.0301061403543155</v>
      </c>
    </row>
    <row r="84" spans="1:2">
      <c r="A84" s="238" t="str">
        <v>Kotak Mahindra Bank Ltd</v>
      </c>
      <c r="B84" s="54">
        <v>0.0279288409946347</v>
      </c>
    </row>
    <row r="85" spans="1:2">
      <c r="A85" s="238" t="str">
        <v>Tech Mahindra Ltd</v>
      </c>
      <c r="B85" s="54">
        <v>0.0271098526722582</v>
      </c>
    </row>
    <row r="86" spans="1:2">
      <c r="A86" s="238" t="str">
        <v>Larsen &amp; Toubro Ltd</v>
      </c>
      <c r="B86" s="54">
        <v>0.0246916417168476</v>
      </c>
    </row>
    <row r="87" spans="1:2">
      <c r="A87" s="238" t="str">
        <v>Axis Bank Ltd</v>
      </c>
      <c r="B87" s="54">
        <v>0.0190767087730417</v>
      </c>
    </row>
    <row r="88" spans="1:2">
      <c r="A88" s="238" t="str">
        <v>Tata Steel Ltd</v>
      </c>
      <c r="B88" s="54">
        <v>0.0183305197674064</v>
      </c>
    </row>
    <row r="89" spans="1:2">
      <c r="A89" s="238" t="str">
        <v>Info Edge India Ltd</v>
      </c>
      <c r="B89" s="54">
        <v>0.0179549388479747</v>
      </c>
    </row>
    <row r="90" spans="1:2">
      <c r="A90" s="238" t="str">
        <v>NTPC Ltd</v>
      </c>
      <c r="B90" s="54">
        <v>0.0177444345778064</v>
      </c>
    </row>
    <row r="91" spans="1:2">
      <c r="A91" s="238" t="str">
        <v>United Spirits Ltd</v>
      </c>
      <c r="B91" s="54">
        <v>0.0170316732964789</v>
      </c>
    </row>
    <row r="92" spans="1:2">
      <c r="A92" s="238" t="str">
        <v>Jubilant Foodworks Ltd</v>
      </c>
      <c r="B92" s="54">
        <v>0.0157254678614764</v>
      </c>
    </row>
    <row r="93" spans="1:2">
      <c r="A93" s="238" t="str">
        <v>ABB India Ltd</v>
      </c>
      <c r="B93" s="54">
        <v>0.0144128944357297</v>
      </c>
    </row>
    <row r="94" spans="1:2">
      <c r="A94" s="238" t="str">
        <v>Tata Consumer Products Ltd</v>
      </c>
      <c r="B94" s="54">
        <v>0.0143254438371717</v>
      </c>
    </row>
    <row r="95" spans="1:2">
      <c r="A95" s="238" t="str">
        <v>Bajaj Finance Ltd</v>
      </c>
      <c r="B95" s="54">
        <v>0.0139151003705381</v>
      </c>
    </row>
    <row r="96" spans="1:2">
      <c r="A96" s="238" t="str">
        <v>Federal Bank Ltd</v>
      </c>
      <c r="B96" s="54">
        <v>0.013879644408706</v>
      </c>
    </row>
    <row r="97" ht="14.55" spans="1:2">
      <c r="A97" s="287" t="str">
        <v>ITC Ltd</v>
      </c>
      <c r="B97" s="260">
        <v>0.0137308896511312</v>
      </c>
    </row>
    <row r="99" ht="14.55"/>
    <row r="100" ht="14.55" spans="1:4">
      <c r="A100" s="166" t="str" cm="1">
        <f t="array" ref="A100:D108">'Output Dashboard '!$A$44:$D$52</f>
        <v>Year</v>
      </c>
      <c r="B100" s="63" t="str">
        <v>Equity </v>
      </c>
      <c r="C100" s="90" t="str">
        <v>Nifty 50</v>
      </c>
      <c r="D100" s="90" t="str">
        <v>S&amp;P BSE 500</v>
      </c>
    </row>
    <row r="101" spans="1:4">
      <c r="A101" s="198" t="str">
        <v>CY 2025</v>
      </c>
      <c r="B101" s="199">
        <v>0.0169283900164112</v>
      </c>
      <c r="C101" s="199">
        <v>0.047518</v>
      </c>
      <c r="D101" s="199">
        <v>0.022527</v>
      </c>
    </row>
    <row r="102" spans="1:4">
      <c r="A102" s="201">
        <v>2024</v>
      </c>
      <c r="B102" s="174">
        <v>0.215521868016952</v>
      </c>
      <c r="C102" s="174">
        <v>0.0880476902077809</v>
      </c>
      <c r="D102" s="174">
        <v>0.145465796535709</v>
      </c>
    </row>
    <row r="103" spans="1:4">
      <c r="A103" s="201">
        <v>2023</v>
      </c>
      <c r="B103" s="174">
        <v>0.289874632355859</v>
      </c>
      <c r="C103" s="174">
        <v>0.200278393101744</v>
      </c>
      <c r="D103" s="174">
        <v>0.248498523517645</v>
      </c>
    </row>
    <row r="104" spans="1:4">
      <c r="A104" s="201">
        <v>2022</v>
      </c>
      <c r="B104" s="174">
        <v>0.0939143078295527</v>
      </c>
      <c r="C104" s="174">
        <v>0.0432896067488569</v>
      </c>
      <c r="D104" s="174">
        <v>0.0333786905211876</v>
      </c>
    </row>
    <row r="105" spans="1:4">
      <c r="A105" s="201">
        <v>2021</v>
      </c>
      <c r="B105" s="174">
        <v>0.349974242465597</v>
      </c>
      <c r="C105" s="174">
        <v>0.241192983710909</v>
      </c>
      <c r="D105" s="174">
        <v>0.301140430926607</v>
      </c>
    </row>
    <row r="106" spans="1:4">
      <c r="A106" s="201">
        <v>2020</v>
      </c>
      <c r="B106" s="174">
        <v>0.0912704643516934</v>
      </c>
      <c r="C106" s="174">
        <v>0.149016514017808</v>
      </c>
      <c r="D106" s="174">
        <v>0.168033833223551</v>
      </c>
    </row>
    <row r="107" spans="1:4">
      <c r="A107" s="201">
        <v>2019</v>
      </c>
      <c r="B107" s="174">
        <v>0.0886789253218191</v>
      </c>
      <c r="C107" s="174">
        <v>0.120220390239861</v>
      </c>
      <c r="D107" s="174">
        <v>0.077511676096721</v>
      </c>
    </row>
    <row r="108" ht="14.55" spans="1:4">
      <c r="A108" s="202">
        <v>2018</v>
      </c>
      <c r="B108" s="185">
        <v>-0.0451110892506647</v>
      </c>
      <c r="C108" s="185">
        <v>0.0315126249916908</v>
      </c>
      <c r="D108" s="185">
        <v>-0.0308170579621176</v>
      </c>
    </row>
    <row r="110" ht="14.55"/>
    <row r="111" ht="14.55" spans="1:4">
      <c r="A111" s="166" t="str" cm="1">
        <f t="array" ref="A111:D118">'Output Dashboard '!$A$71:$D$78</f>
        <v>Year</v>
      </c>
      <c r="B111" s="63" t="str">
        <v>Equity </v>
      </c>
      <c r="C111" s="90" t="str">
        <v>Nifty 50</v>
      </c>
      <c r="D111" s="90" t="str">
        <v>S&amp;P BSE 500</v>
      </c>
    </row>
    <row r="112" spans="1:4">
      <c r="A112" s="198" t="str">
        <v>1 M</v>
      </c>
      <c r="B112" s="199">
        <v>-0.0244159166666667</v>
      </c>
      <c r="C112" s="199">
        <v>-0.029341</v>
      </c>
      <c r="D112" s="199">
        <v>-0.028654</v>
      </c>
    </row>
    <row r="113" spans="1:4">
      <c r="A113" s="201" t="str">
        <v>3 M</v>
      </c>
      <c r="B113" s="174">
        <v>0.0353251876233334</v>
      </c>
      <c r="C113" s="174">
        <v>0.017841</v>
      </c>
      <c r="D113" s="174">
        <v>0.038723</v>
      </c>
    </row>
    <row r="114" spans="1:4">
      <c r="A114" s="201" t="str">
        <v>6 M</v>
      </c>
      <c r="B114" s="174">
        <v>0.0599328739582837</v>
      </c>
      <c r="C114" s="174">
        <v>0.053596</v>
      </c>
      <c r="D114" s="174">
        <v>0.05945</v>
      </c>
    </row>
    <row r="115" spans="1:4">
      <c r="A115" s="201" t="str">
        <v>1 Y</v>
      </c>
      <c r="B115" s="174">
        <v>-0.00621968185143298</v>
      </c>
      <c r="C115" s="174">
        <v>-0.007326</v>
      </c>
      <c r="D115" s="174">
        <v>-0.032041</v>
      </c>
    </row>
    <row r="116" spans="1:4">
      <c r="A116" s="201" t="str">
        <v>3 Y</v>
      </c>
      <c r="B116" s="174">
        <v>0.191902105226011</v>
      </c>
      <c r="C116" s="174">
        <v>0.129786</v>
      </c>
      <c r="D116" s="174">
        <v>0.154431</v>
      </c>
    </row>
    <row r="117" spans="1:4">
      <c r="A117" s="201" t="str">
        <v>5 Y</v>
      </c>
      <c r="B117" s="174">
        <v>0.251830832730093</v>
      </c>
      <c r="C117" s="174">
        <v>0.174585</v>
      </c>
      <c r="D117" s="174">
        <v>0.201781</v>
      </c>
    </row>
    <row r="118" ht="14.55" spans="1:4">
      <c r="A118" s="202" t="str">
        <v>10 Y</v>
      </c>
      <c r="B118" s="185">
        <v>0.0812585</v>
      </c>
      <c r="C118" s="185">
        <v>0.112352</v>
      </c>
      <c r="D118" s="185">
        <v>0.123351</v>
      </c>
    </row>
    <row r="119" ht="14.55" spans="1:3">
      <c r="A119"/>
      <c r="B119"/>
      <c r="C119"/>
    </row>
    <row r="120" spans="1:3">
      <c r="A120" s="481" t="s">
        <v>96</v>
      </c>
      <c r="B120" s="482"/>
      <c r="C120"/>
    </row>
    <row r="121" spans="1:3">
      <c r="A121" s="483" t="str" cm="1">
        <f t="array" ref="A121:C123">'Output Dashboard '!$H$43:$J$45</f>
        <v>P/E</v>
      </c>
      <c r="B121" s="484">
        <v>24.7458333333333</v>
      </c>
      <c r="C121" s="480">
        <v>0</v>
      </c>
    </row>
    <row r="122" spans="1:3">
      <c r="A122" s="255" t="str">
        <v>P/B</v>
      </c>
      <c r="B122" s="485">
        <v>2.32416666666667</v>
      </c>
      <c r="C122" s="480">
        <v>0</v>
      </c>
    </row>
    <row r="123" spans="1:3">
      <c r="A123" s="255" t="str">
        <v>Beta</v>
      </c>
      <c r="B123" s="486">
        <v>0.929166666666667</v>
      </c>
      <c r="C123" s="480">
        <v>0</v>
      </c>
    </row>
    <row r="124" spans="1:3">
      <c r="A124" s="256"/>
      <c r="B124" s="487"/>
      <c r="C124" s="480"/>
    </row>
    <row r="128" spans="3:9">
      <c r="C128" s="176"/>
      <c r="D128" s="176"/>
      <c r="E128" s="176"/>
      <c r="F128" s="176"/>
      <c r="G128" s="176"/>
      <c r="H128" s="176"/>
      <c r="I128" s="176"/>
    </row>
    <row r="129" spans="3:9">
      <c r="C129" s="176"/>
      <c r="D129" s="176"/>
      <c r="E129" s="176"/>
      <c r="F129" s="176"/>
      <c r="G129" s="176"/>
      <c r="H129" s="176"/>
      <c r="I129" s="176"/>
    </row>
    <row r="130" spans="3:9">
      <c r="C130" s="176"/>
      <c r="D130" s="176"/>
      <c r="E130" s="176"/>
      <c r="F130" s="176"/>
      <c r="G130" s="176"/>
      <c r="H130" s="176"/>
      <c r="I130" s="176"/>
    </row>
    <row r="131" spans="3:9">
      <c r="C131" s="176"/>
      <c r="D131" s="176"/>
      <c r="E131" s="176"/>
      <c r="F131" s="176"/>
      <c r="G131" s="176"/>
      <c r="H131" s="176"/>
      <c r="I131" s="176"/>
    </row>
    <row r="132" spans="3:9">
      <c r="C132" s="176"/>
      <c r="D132" s="176"/>
      <c r="E132" s="176"/>
      <c r="F132" s="176"/>
      <c r="G132" s="176"/>
      <c r="H132" s="176"/>
      <c r="I132" s="176"/>
    </row>
    <row r="133" spans="3:9">
      <c r="C133" s="176"/>
      <c r="D133" s="176"/>
      <c r="E133" s="176"/>
      <c r="F133" s="176"/>
      <c r="G133" s="176"/>
      <c r="H133" s="176"/>
      <c r="I133" s="176"/>
    </row>
    <row r="134" spans="3:9">
      <c r="C134" s="176"/>
      <c r="D134" s="176"/>
      <c r="E134" s="176"/>
      <c r="F134" s="176"/>
      <c r="G134" s="176"/>
      <c r="H134" s="176"/>
      <c r="I134" s="176"/>
    </row>
    <row r="135" spans="3:9">
      <c r="C135" s="176"/>
      <c r="D135" s="176"/>
      <c r="E135" s="176"/>
      <c r="F135" s="176"/>
      <c r="G135" s="176"/>
      <c r="H135" s="176"/>
      <c r="I135" s="176"/>
    </row>
    <row r="136" spans="3:9">
      <c r="C136" s="176"/>
      <c r="D136" s="176"/>
      <c r="E136" s="176"/>
      <c r="F136" s="176"/>
      <c r="G136" s="176"/>
      <c r="H136" s="176"/>
      <c r="I136" s="176"/>
    </row>
    <row r="137" spans="3:9">
      <c r="C137" s="176"/>
      <c r="D137" s="176"/>
      <c r="E137" s="176"/>
      <c r="F137" s="176"/>
      <c r="G137" s="176"/>
      <c r="H137" s="176"/>
      <c r="I137" s="176"/>
    </row>
    <row r="138" spans="3:9">
      <c r="C138" s="176"/>
      <c r="D138" s="176"/>
      <c r="E138" s="176"/>
      <c r="F138" s="176"/>
      <c r="G138" s="176"/>
      <c r="H138" s="176"/>
      <c r="I138" s="176"/>
    </row>
    <row r="139" spans="3:9">
      <c r="C139" s="176"/>
      <c r="D139" s="176"/>
      <c r="E139" s="176"/>
      <c r="F139" s="176"/>
      <c r="G139" s="176"/>
      <c r="H139" s="176"/>
      <c r="I139" s="176"/>
    </row>
    <row r="140" spans="3:9">
      <c r="C140" s="176"/>
      <c r="D140" s="176"/>
      <c r="E140" s="176"/>
      <c r="F140" s="176"/>
      <c r="G140" s="176"/>
      <c r="H140" s="176"/>
      <c r="I140" s="176"/>
    </row>
    <row r="141" spans="3:9">
      <c r="C141" s="176"/>
      <c r="D141" s="176"/>
      <c r="E141" s="176"/>
      <c r="F141" s="176"/>
      <c r="G141" s="176"/>
      <c r="H141" s="176"/>
      <c r="I141" s="176"/>
    </row>
    <row r="142" spans="3:9">
      <c r="C142" s="176"/>
      <c r="D142" s="176"/>
      <c r="E142" s="176"/>
      <c r="F142" s="176"/>
      <c r="G142" s="176"/>
      <c r="H142" s="176"/>
      <c r="I142" s="176"/>
    </row>
    <row r="143" spans="3:9">
      <c r="C143" s="176"/>
      <c r="D143" s="176"/>
      <c r="E143" s="176"/>
      <c r="F143" s="176"/>
      <c r="G143" s="176"/>
      <c r="H143" s="176"/>
      <c r="I143" s="176"/>
    </row>
    <row r="144" spans="3:9">
      <c r="C144" s="176"/>
      <c r="D144" s="176"/>
      <c r="E144" s="176"/>
      <c r="F144" s="176"/>
      <c r="G144" s="176"/>
      <c r="H144" s="176"/>
      <c r="I144" s="176"/>
    </row>
    <row r="145" spans="3:9">
      <c r="C145" s="176"/>
      <c r="D145" s="176"/>
      <c r="E145" s="176"/>
      <c r="F145" s="176"/>
      <c r="G145" s="176"/>
      <c r="H145" s="176"/>
      <c r="I145" s="176"/>
    </row>
    <row r="146" spans="3:9">
      <c r="C146" s="176"/>
      <c r="D146" s="176"/>
      <c r="E146" s="176"/>
      <c r="F146" s="176"/>
      <c r="G146" s="176"/>
      <c r="H146" s="176"/>
      <c r="I146" s="176"/>
    </row>
    <row r="147" spans="3:9">
      <c r="C147" s="176"/>
      <c r="D147" s="176"/>
      <c r="E147" s="176"/>
      <c r="F147" s="176"/>
      <c r="G147" s="176"/>
      <c r="H147" s="176"/>
      <c r="I147" s="176"/>
    </row>
  </sheetData>
  <mergeCells count="11">
    <mergeCell ref="A32:B32"/>
    <mergeCell ref="D32:F32"/>
    <mergeCell ref="E33:F33"/>
    <mergeCell ref="E34:F34"/>
    <mergeCell ref="E35:F35"/>
    <mergeCell ref="A76:B76"/>
    <mergeCell ref="D76:F76"/>
    <mergeCell ref="E77:F77"/>
    <mergeCell ref="E78:F78"/>
    <mergeCell ref="E79:F79"/>
    <mergeCell ref="E80:F80"/>
  </mergeCells>
  <pageMargins left="0.7" right="0.7" top="0.75" bottom="0.75" header="0.3" footer="0.3"/>
  <pageSetup paperSize="9" orientation="portrait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108" name="btnUploadTemplate" r:id="rId3">
              <controlPr print="0" defaultSize="0">
                <anchor moveWithCells="1" sizeWithCells="1">
                  <from>
                    <xdr:col>6</xdr:col>
                    <xdr:colOff>1885950</xdr:colOff>
                    <xdr:row>0</xdr:row>
                    <xdr:rowOff>127000</xdr:rowOff>
                  </from>
                  <to>
                    <xdr:col>8</xdr:col>
                    <xdr:colOff>222250</xdr:colOff>
                    <xdr:row>2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name="btnExportCharts" r:id="rId4">
              <controlPr print="0" defaultSize="0">
                <anchor moveWithCells="1" sizeWithCells="1">
                  <from>
                    <xdr:col>6</xdr:col>
                    <xdr:colOff>1885950</xdr:colOff>
                    <xdr:row>3</xdr:row>
                    <xdr:rowOff>82550</xdr:rowOff>
                  </from>
                  <to>
                    <xdr:col>8</xdr:col>
                    <xdr:colOff>222250</xdr:colOff>
                    <xdr:row>5</xdr:row>
                    <xdr:rowOff>95250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B1:BU501"/>
  <sheetViews>
    <sheetView zoomScale="65" zoomScaleNormal="65" topLeftCell="A215" workbookViewId="0">
      <selection activeCell="B141" sqref="B141:U143"/>
    </sheetView>
  </sheetViews>
  <sheetFormatPr defaultColWidth="9" defaultRowHeight="13.8"/>
  <cols>
    <col min="1" max="1" width="3.25" style="5" customWidth="1"/>
    <col min="2" max="2" width="48" style="5" customWidth="1"/>
    <col min="3" max="3" width="12.55" style="5" customWidth="1"/>
    <col min="4" max="6" width="10.725" style="5" customWidth="1"/>
    <col min="7" max="7" width="10.45" style="5" customWidth="1"/>
    <col min="8" max="9" width="9.175" style="5" customWidth="1"/>
    <col min="10" max="10" width="9.81666666666667" style="5" customWidth="1"/>
    <col min="11" max="11" width="10.45" style="5" customWidth="1"/>
    <col min="12" max="12" width="10.2666666666667" style="5" customWidth="1"/>
    <col min="13" max="13" width="9.26666666666667" style="5" customWidth="1"/>
    <col min="14" max="14" width="8.55" style="5" customWidth="1"/>
    <col min="15" max="15" width="7.55" style="324" customWidth="1"/>
    <col min="16" max="20" width="9.45" style="5" customWidth="1"/>
    <col min="21" max="21" width="9" style="5" customWidth="1"/>
    <col min="22" max="39" width="8.26666666666667" style="5" customWidth="1"/>
    <col min="40" max="40" width="14.175" style="5" customWidth="1"/>
    <col min="41" max="41" width="16.2666666666667" style="5" customWidth="1"/>
    <col min="42" max="44" width="8.725" style="5"/>
    <col min="45" max="45" width="73.55" style="5" customWidth="1"/>
    <col min="46" max="46" width="12.8166666666667" style="5" customWidth="1"/>
    <col min="47" max="47" width="10.3583333333333" style="5" customWidth="1"/>
    <col min="48" max="48" width="9.175" style="5" customWidth="1"/>
    <col min="49" max="49" width="2.725" style="5" customWidth="1"/>
    <col min="50" max="50" width="8.175" style="5" customWidth="1"/>
    <col min="51" max="51" width="9" style="5" customWidth="1"/>
    <col min="52" max="52" width="16.2666666666667" style="5" customWidth="1"/>
    <col min="53" max="56" width="8.81666666666667" style="5" customWidth="1"/>
    <col min="57" max="57" width="2.725" style="5" customWidth="1"/>
    <col min="58" max="73" width="8.81666666666667" style="5" customWidth="1"/>
    <col min="74" max="267" width="8.725" style="5"/>
    <col min="268" max="268" width="35.175" style="5" customWidth="1"/>
    <col min="269" max="297" width="8.26666666666667" style="5" customWidth="1"/>
    <col min="298" max="523" width="8.725" style="5"/>
    <col min="524" max="524" width="35.175" style="5" customWidth="1"/>
    <col min="525" max="553" width="8.26666666666667" style="5" customWidth="1"/>
    <col min="554" max="779" width="8.725" style="5"/>
    <col min="780" max="780" width="35.175" style="5" customWidth="1"/>
    <col min="781" max="809" width="8.26666666666667" style="5" customWidth="1"/>
    <col min="810" max="1035" width="8.725" style="5"/>
    <col min="1036" max="1036" width="35.175" style="5" customWidth="1"/>
    <col min="1037" max="1065" width="8.26666666666667" style="5" customWidth="1"/>
    <col min="1066" max="1291" width="8.725" style="5"/>
    <col min="1292" max="1292" width="35.175" style="5" customWidth="1"/>
    <col min="1293" max="1321" width="8.26666666666667" style="5" customWidth="1"/>
    <col min="1322" max="1547" width="8.725" style="5"/>
    <col min="1548" max="1548" width="35.175" style="5" customWidth="1"/>
    <col min="1549" max="1577" width="8.26666666666667" style="5" customWidth="1"/>
    <col min="1578" max="1803" width="8.725" style="5"/>
    <col min="1804" max="1804" width="35.175" style="5" customWidth="1"/>
    <col min="1805" max="1833" width="8.26666666666667" style="5" customWidth="1"/>
    <col min="1834" max="2059" width="8.725" style="5"/>
    <col min="2060" max="2060" width="35.175" style="5" customWidth="1"/>
    <col min="2061" max="2089" width="8.26666666666667" style="5" customWidth="1"/>
    <col min="2090" max="2315" width="8.725" style="5"/>
    <col min="2316" max="2316" width="35.175" style="5" customWidth="1"/>
    <col min="2317" max="2345" width="8.26666666666667" style="5" customWidth="1"/>
    <col min="2346" max="2571" width="8.725" style="5"/>
    <col min="2572" max="2572" width="35.175" style="5" customWidth="1"/>
    <col min="2573" max="2601" width="8.26666666666667" style="5" customWidth="1"/>
    <col min="2602" max="2827" width="8.725" style="5"/>
    <col min="2828" max="2828" width="35.175" style="5" customWidth="1"/>
    <col min="2829" max="2857" width="8.26666666666667" style="5" customWidth="1"/>
    <col min="2858" max="3083" width="8.725" style="5"/>
    <col min="3084" max="3084" width="35.175" style="5" customWidth="1"/>
    <col min="3085" max="3113" width="8.26666666666667" style="5" customWidth="1"/>
    <col min="3114" max="3339" width="8.725" style="5"/>
    <col min="3340" max="3340" width="35.175" style="5" customWidth="1"/>
    <col min="3341" max="3369" width="8.26666666666667" style="5" customWidth="1"/>
    <col min="3370" max="3595" width="8.725" style="5"/>
    <col min="3596" max="3596" width="35.175" style="5" customWidth="1"/>
    <col min="3597" max="3625" width="8.26666666666667" style="5" customWidth="1"/>
    <col min="3626" max="3851" width="8.725" style="5"/>
    <col min="3852" max="3852" width="35.175" style="5" customWidth="1"/>
    <col min="3853" max="3881" width="8.26666666666667" style="5" customWidth="1"/>
    <col min="3882" max="4107" width="8.725" style="5"/>
    <col min="4108" max="4108" width="35.175" style="5" customWidth="1"/>
    <col min="4109" max="4137" width="8.26666666666667" style="5" customWidth="1"/>
    <col min="4138" max="4363" width="8.725" style="5"/>
    <col min="4364" max="4364" width="35.175" style="5" customWidth="1"/>
    <col min="4365" max="4393" width="8.26666666666667" style="5" customWidth="1"/>
    <col min="4394" max="4619" width="8.725" style="5"/>
    <col min="4620" max="4620" width="35.175" style="5" customWidth="1"/>
    <col min="4621" max="4649" width="8.26666666666667" style="5" customWidth="1"/>
    <col min="4650" max="4875" width="8.725" style="5"/>
    <col min="4876" max="4876" width="35.175" style="5" customWidth="1"/>
    <col min="4877" max="4905" width="8.26666666666667" style="5" customWidth="1"/>
    <col min="4906" max="5131" width="8.725" style="5"/>
    <col min="5132" max="5132" width="35.175" style="5" customWidth="1"/>
    <col min="5133" max="5161" width="8.26666666666667" style="5" customWidth="1"/>
    <col min="5162" max="5387" width="8.725" style="5"/>
    <col min="5388" max="5388" width="35.175" style="5" customWidth="1"/>
    <col min="5389" max="5417" width="8.26666666666667" style="5" customWidth="1"/>
    <col min="5418" max="5643" width="8.725" style="5"/>
    <col min="5644" max="5644" width="35.175" style="5" customWidth="1"/>
    <col min="5645" max="5673" width="8.26666666666667" style="5" customWidth="1"/>
    <col min="5674" max="5899" width="8.725" style="5"/>
    <col min="5900" max="5900" width="35.175" style="5" customWidth="1"/>
    <col min="5901" max="5929" width="8.26666666666667" style="5" customWidth="1"/>
    <col min="5930" max="6155" width="8.725" style="5"/>
    <col min="6156" max="6156" width="35.175" style="5" customWidth="1"/>
    <col min="6157" max="6185" width="8.26666666666667" style="5" customWidth="1"/>
    <col min="6186" max="6411" width="8.725" style="5"/>
    <col min="6412" max="6412" width="35.175" style="5" customWidth="1"/>
    <col min="6413" max="6441" width="8.26666666666667" style="5" customWidth="1"/>
    <col min="6442" max="6667" width="8.725" style="5"/>
    <col min="6668" max="6668" width="35.175" style="5" customWidth="1"/>
    <col min="6669" max="6697" width="8.26666666666667" style="5" customWidth="1"/>
    <col min="6698" max="6923" width="8.725" style="5"/>
    <col min="6924" max="6924" width="35.175" style="5" customWidth="1"/>
    <col min="6925" max="6953" width="8.26666666666667" style="5" customWidth="1"/>
    <col min="6954" max="7179" width="8.725" style="5"/>
    <col min="7180" max="7180" width="35.175" style="5" customWidth="1"/>
    <col min="7181" max="7209" width="8.26666666666667" style="5" customWidth="1"/>
    <col min="7210" max="7435" width="8.725" style="5"/>
    <col min="7436" max="7436" width="35.175" style="5" customWidth="1"/>
    <col min="7437" max="7465" width="8.26666666666667" style="5" customWidth="1"/>
    <col min="7466" max="7691" width="8.725" style="5"/>
    <col min="7692" max="7692" width="35.175" style="5" customWidth="1"/>
    <col min="7693" max="7721" width="8.26666666666667" style="5" customWidth="1"/>
    <col min="7722" max="7947" width="8.725" style="5"/>
    <col min="7948" max="7948" width="35.175" style="5" customWidth="1"/>
    <col min="7949" max="7977" width="8.26666666666667" style="5" customWidth="1"/>
    <col min="7978" max="8203" width="8.725" style="5"/>
    <col min="8204" max="8204" width="35.175" style="5" customWidth="1"/>
    <col min="8205" max="8233" width="8.26666666666667" style="5" customWidth="1"/>
    <col min="8234" max="8459" width="8.725" style="5"/>
    <col min="8460" max="8460" width="35.175" style="5" customWidth="1"/>
    <col min="8461" max="8489" width="8.26666666666667" style="5" customWidth="1"/>
    <col min="8490" max="8715" width="8.725" style="5"/>
    <col min="8716" max="8716" width="35.175" style="5" customWidth="1"/>
    <col min="8717" max="8745" width="8.26666666666667" style="5" customWidth="1"/>
    <col min="8746" max="8971" width="8.725" style="5"/>
    <col min="8972" max="8972" width="35.175" style="5" customWidth="1"/>
    <col min="8973" max="9001" width="8.26666666666667" style="5" customWidth="1"/>
    <col min="9002" max="9227" width="8.725" style="5"/>
    <col min="9228" max="9228" width="35.175" style="5" customWidth="1"/>
    <col min="9229" max="9257" width="8.26666666666667" style="5" customWidth="1"/>
    <col min="9258" max="9483" width="8.725" style="5"/>
    <col min="9484" max="9484" width="35.175" style="5" customWidth="1"/>
    <col min="9485" max="9513" width="8.26666666666667" style="5" customWidth="1"/>
    <col min="9514" max="9739" width="8.725" style="5"/>
    <col min="9740" max="9740" width="35.175" style="5" customWidth="1"/>
    <col min="9741" max="9769" width="8.26666666666667" style="5" customWidth="1"/>
    <col min="9770" max="9995" width="8.725" style="5"/>
    <col min="9996" max="9996" width="35.175" style="5" customWidth="1"/>
    <col min="9997" max="10025" width="8.26666666666667" style="5" customWidth="1"/>
    <col min="10026" max="10251" width="8.725" style="5"/>
    <col min="10252" max="10252" width="35.175" style="5" customWidth="1"/>
    <col min="10253" max="10281" width="8.26666666666667" style="5" customWidth="1"/>
    <col min="10282" max="10507" width="8.725" style="5"/>
    <col min="10508" max="10508" width="35.175" style="5" customWidth="1"/>
    <col min="10509" max="10537" width="8.26666666666667" style="5" customWidth="1"/>
    <col min="10538" max="10763" width="8.725" style="5"/>
    <col min="10764" max="10764" width="35.175" style="5" customWidth="1"/>
    <col min="10765" max="10793" width="8.26666666666667" style="5" customWidth="1"/>
    <col min="10794" max="11019" width="8.725" style="5"/>
    <col min="11020" max="11020" width="35.175" style="5" customWidth="1"/>
    <col min="11021" max="11049" width="8.26666666666667" style="5" customWidth="1"/>
    <col min="11050" max="11275" width="8.725" style="5"/>
    <col min="11276" max="11276" width="35.175" style="5" customWidth="1"/>
    <col min="11277" max="11305" width="8.26666666666667" style="5" customWidth="1"/>
    <col min="11306" max="11531" width="8.725" style="5"/>
    <col min="11532" max="11532" width="35.175" style="5" customWidth="1"/>
    <col min="11533" max="11561" width="8.26666666666667" style="5" customWidth="1"/>
    <col min="11562" max="11787" width="8.725" style="5"/>
    <col min="11788" max="11788" width="35.175" style="5" customWidth="1"/>
    <col min="11789" max="11817" width="8.26666666666667" style="5" customWidth="1"/>
    <col min="11818" max="12043" width="8.725" style="5"/>
    <col min="12044" max="12044" width="35.175" style="5" customWidth="1"/>
    <col min="12045" max="12073" width="8.26666666666667" style="5" customWidth="1"/>
    <col min="12074" max="12299" width="8.725" style="5"/>
    <col min="12300" max="12300" width="35.175" style="5" customWidth="1"/>
    <col min="12301" max="12329" width="8.26666666666667" style="5" customWidth="1"/>
    <col min="12330" max="12555" width="8.725" style="5"/>
    <col min="12556" max="12556" width="35.175" style="5" customWidth="1"/>
    <col min="12557" max="12585" width="8.26666666666667" style="5" customWidth="1"/>
    <col min="12586" max="12811" width="8.725" style="5"/>
    <col min="12812" max="12812" width="35.175" style="5" customWidth="1"/>
    <col min="12813" max="12841" width="8.26666666666667" style="5" customWidth="1"/>
    <col min="12842" max="13067" width="8.725" style="5"/>
    <col min="13068" max="13068" width="35.175" style="5" customWidth="1"/>
    <col min="13069" max="13097" width="8.26666666666667" style="5" customWidth="1"/>
    <col min="13098" max="13323" width="8.725" style="5"/>
    <col min="13324" max="13324" width="35.175" style="5" customWidth="1"/>
    <col min="13325" max="13353" width="8.26666666666667" style="5" customWidth="1"/>
    <col min="13354" max="13579" width="8.725" style="5"/>
    <col min="13580" max="13580" width="35.175" style="5" customWidth="1"/>
    <col min="13581" max="13609" width="8.26666666666667" style="5" customWidth="1"/>
    <col min="13610" max="13835" width="8.725" style="5"/>
    <col min="13836" max="13836" width="35.175" style="5" customWidth="1"/>
    <col min="13837" max="13865" width="8.26666666666667" style="5" customWidth="1"/>
    <col min="13866" max="14091" width="8.725" style="5"/>
    <col min="14092" max="14092" width="35.175" style="5" customWidth="1"/>
    <col min="14093" max="14121" width="8.26666666666667" style="5" customWidth="1"/>
    <col min="14122" max="14347" width="8.725" style="5"/>
    <col min="14348" max="14348" width="35.175" style="5" customWidth="1"/>
    <col min="14349" max="14377" width="8.26666666666667" style="5" customWidth="1"/>
    <col min="14378" max="14603" width="8.725" style="5"/>
    <col min="14604" max="14604" width="35.175" style="5" customWidth="1"/>
    <col min="14605" max="14633" width="8.26666666666667" style="5" customWidth="1"/>
    <col min="14634" max="14859" width="8.725" style="5"/>
    <col min="14860" max="14860" width="35.175" style="5" customWidth="1"/>
    <col min="14861" max="14889" width="8.26666666666667" style="5" customWidth="1"/>
    <col min="14890" max="15115" width="8.725" style="5"/>
    <col min="15116" max="15116" width="35.175" style="5" customWidth="1"/>
    <col min="15117" max="15145" width="8.26666666666667" style="5" customWidth="1"/>
    <col min="15146" max="15371" width="8.725" style="5"/>
    <col min="15372" max="15372" width="35.175" style="5" customWidth="1"/>
    <col min="15373" max="15401" width="8.26666666666667" style="5" customWidth="1"/>
    <col min="15402" max="15627" width="8.725" style="5"/>
    <col min="15628" max="15628" width="35.175" style="5" customWidth="1"/>
    <col min="15629" max="15657" width="8.26666666666667" style="5" customWidth="1"/>
    <col min="15658" max="15883" width="8.725" style="5"/>
    <col min="15884" max="15884" width="35.175" style="5" customWidth="1"/>
    <col min="15885" max="15913" width="8.26666666666667" style="5" customWidth="1"/>
    <col min="15914" max="16139" width="8.725" style="5"/>
    <col min="16140" max="16140" width="35.175" style="5" customWidth="1"/>
    <col min="16141" max="16169" width="8.26666666666667" style="5" customWidth="1"/>
    <col min="16170" max="16384" width="8.725" style="5"/>
  </cols>
  <sheetData>
    <row r="1" ht="14.55" spans="6:12">
      <c r="F1" s="325"/>
      <c r="G1" s="326"/>
      <c r="L1" s="20"/>
    </row>
    <row r="2" ht="15" customHeight="1" spans="2:15">
      <c r="B2" s="327" t="s">
        <v>97</v>
      </c>
      <c r="C2" s="328"/>
      <c r="D2" s="328"/>
      <c r="E2" s="328"/>
      <c r="F2" s="329"/>
      <c r="G2" s="329"/>
      <c r="L2" s="325"/>
      <c r="M2" s="324"/>
      <c r="O2" s="5"/>
    </row>
    <row r="3" ht="15.75" customHeight="1" spans="2:73">
      <c r="B3" s="330" t="s">
        <v>98</v>
      </c>
      <c r="C3" s="331" t="s">
        <v>16</v>
      </c>
      <c r="D3" s="332" t="s">
        <v>99</v>
      </c>
      <c r="E3" s="333"/>
      <c r="F3" s="334" t="s">
        <v>10</v>
      </c>
      <c r="G3" s="335"/>
      <c r="H3" s="335"/>
      <c r="I3" s="335"/>
      <c r="J3" s="335"/>
      <c r="K3" s="335"/>
      <c r="L3" s="359"/>
      <c r="N3" s="360" t="s">
        <v>100</v>
      </c>
      <c r="O3" s="361"/>
      <c r="P3" s="361"/>
      <c r="Q3" s="361"/>
      <c r="R3" s="361"/>
      <c r="S3" s="361"/>
      <c r="T3" s="361"/>
      <c r="U3" s="361"/>
      <c r="V3" s="361"/>
      <c r="W3" s="361"/>
      <c r="X3" s="361"/>
      <c r="Y3" s="361"/>
      <c r="Z3" s="361"/>
      <c r="AA3" s="361"/>
      <c r="AB3" s="361"/>
      <c r="AC3" s="361"/>
      <c r="AD3" s="361"/>
      <c r="AE3" s="361"/>
      <c r="AF3" s="361"/>
      <c r="AG3" s="361"/>
      <c r="AH3" s="361"/>
      <c r="AI3" s="361"/>
      <c r="AJ3" s="361"/>
      <c r="AK3" s="361"/>
      <c r="AL3" s="361"/>
      <c r="AM3" s="361"/>
      <c r="AN3" s="364"/>
      <c r="AS3" s="368" t="s">
        <v>101</v>
      </c>
      <c r="AT3" s="369" t="s">
        <v>16</v>
      </c>
      <c r="AU3" s="370" t="s">
        <v>99</v>
      </c>
      <c r="AV3" s="371"/>
      <c r="AW3" s="386"/>
      <c r="AX3" s="360" t="s">
        <v>102</v>
      </c>
      <c r="AY3" s="361"/>
      <c r="AZ3" s="361"/>
      <c r="BA3" s="361"/>
      <c r="BB3" s="361"/>
      <c r="BC3" s="361"/>
      <c r="BD3" s="364"/>
      <c r="BE3" s="386"/>
      <c r="BF3" s="398" t="s">
        <v>103</v>
      </c>
      <c r="BG3" s="399"/>
      <c r="BH3" s="399"/>
      <c r="BI3" s="399"/>
      <c r="BJ3" s="399"/>
      <c r="BK3" s="399"/>
      <c r="BL3" s="399"/>
      <c r="BM3" s="399"/>
      <c r="BN3" s="399"/>
      <c r="BO3" s="399"/>
      <c r="BP3" s="399"/>
      <c r="BQ3" s="399"/>
      <c r="BR3" s="399"/>
      <c r="BS3" s="399"/>
      <c r="BT3" s="399"/>
      <c r="BU3" s="401"/>
    </row>
    <row r="4" ht="28.35" spans="2:73">
      <c r="B4" s="330" t="s">
        <v>98</v>
      </c>
      <c r="C4" s="336" t="s">
        <v>16</v>
      </c>
      <c r="D4" s="337" t="s">
        <v>104</v>
      </c>
      <c r="E4" s="338" t="s">
        <v>105</v>
      </c>
      <c r="F4" s="2" t="s">
        <v>17</v>
      </c>
      <c r="G4" s="3" t="s">
        <v>18</v>
      </c>
      <c r="H4" s="3" t="s">
        <v>19</v>
      </c>
      <c r="I4" s="3" t="s">
        <v>20</v>
      </c>
      <c r="J4" s="3" t="s">
        <v>22</v>
      </c>
      <c r="K4" s="3" t="s">
        <v>23</v>
      </c>
      <c r="L4" s="15" t="s">
        <v>24</v>
      </c>
      <c r="N4" s="16" t="s">
        <v>25</v>
      </c>
      <c r="O4" s="17">
        <v>2024</v>
      </c>
      <c r="P4" s="17">
        <v>2023</v>
      </c>
      <c r="Q4" s="18">
        <v>2022</v>
      </c>
      <c r="R4" s="18">
        <v>2021</v>
      </c>
      <c r="S4" s="18">
        <v>2020</v>
      </c>
      <c r="T4" s="18">
        <v>2019</v>
      </c>
      <c r="U4" s="18">
        <v>2018</v>
      </c>
      <c r="V4" s="18">
        <v>2017</v>
      </c>
      <c r="W4" s="18">
        <v>2016</v>
      </c>
      <c r="X4" s="18">
        <v>2015</v>
      </c>
      <c r="Y4" s="18">
        <v>2014</v>
      </c>
      <c r="Z4" s="18">
        <v>2013</v>
      </c>
      <c r="AA4" s="18">
        <v>2012</v>
      </c>
      <c r="AB4" s="18">
        <v>2011</v>
      </c>
      <c r="AC4" s="18">
        <v>2010</v>
      </c>
      <c r="AD4" s="18">
        <v>2009</v>
      </c>
      <c r="AE4" s="18">
        <v>2008</v>
      </c>
      <c r="AF4" s="18">
        <v>2007</v>
      </c>
      <c r="AG4" s="18">
        <v>2006</v>
      </c>
      <c r="AH4" s="18">
        <v>2005</v>
      </c>
      <c r="AI4" s="18">
        <v>2004</v>
      </c>
      <c r="AJ4" s="18">
        <v>2003</v>
      </c>
      <c r="AK4" s="18">
        <v>2002</v>
      </c>
      <c r="AL4" s="18">
        <v>2001</v>
      </c>
      <c r="AM4" s="273">
        <v>2000</v>
      </c>
      <c r="AN4" s="62" t="s">
        <v>106</v>
      </c>
      <c r="AO4" s="63" t="s">
        <v>107</v>
      </c>
      <c r="AP4" s="63" t="s">
        <v>108</v>
      </c>
      <c r="AQ4" s="63" t="s">
        <v>109</v>
      </c>
      <c r="AS4" s="372"/>
      <c r="AT4" s="373" t="s">
        <v>110</v>
      </c>
      <c r="AU4" s="374" t="s">
        <v>104</v>
      </c>
      <c r="AV4" s="375" t="s">
        <v>105</v>
      </c>
      <c r="AW4" s="387"/>
      <c r="AX4" s="16" t="s">
        <v>89</v>
      </c>
      <c r="AY4" s="18" t="s">
        <v>90</v>
      </c>
      <c r="AZ4" s="18" t="s">
        <v>91</v>
      </c>
      <c r="BA4" s="18" t="s">
        <v>20</v>
      </c>
      <c r="BB4" s="18" t="s">
        <v>92</v>
      </c>
      <c r="BC4" s="18" t="s">
        <v>93</v>
      </c>
      <c r="BD4" s="273" t="s">
        <v>111</v>
      </c>
      <c r="BE4" s="387"/>
      <c r="BF4" s="16">
        <v>2025</v>
      </c>
      <c r="BG4" s="16">
        <v>2024</v>
      </c>
      <c r="BH4" s="16">
        <v>2023</v>
      </c>
      <c r="BI4" s="18">
        <v>2022</v>
      </c>
      <c r="BJ4" s="18">
        <v>2021</v>
      </c>
      <c r="BK4" s="18">
        <v>2020</v>
      </c>
      <c r="BL4" s="18">
        <v>2019</v>
      </c>
      <c r="BM4" s="18">
        <v>2018</v>
      </c>
      <c r="BN4" s="18">
        <v>2017</v>
      </c>
      <c r="BO4" s="18">
        <v>2016</v>
      </c>
      <c r="BP4" s="18">
        <v>2015</v>
      </c>
      <c r="BQ4" s="18">
        <v>2014</v>
      </c>
      <c r="BR4" s="18">
        <v>2013</v>
      </c>
      <c r="BS4" s="18">
        <v>2012</v>
      </c>
      <c r="BT4" s="18">
        <v>2011</v>
      </c>
      <c r="BU4" s="273">
        <v>2010</v>
      </c>
    </row>
    <row r="5" spans="2:73">
      <c r="B5" s="339" t="s">
        <v>112</v>
      </c>
      <c r="C5" s="340">
        <v>1.63</v>
      </c>
      <c r="D5" s="341">
        <v>45838</v>
      </c>
      <c r="E5" s="342">
        <v>30927.4416</v>
      </c>
      <c r="F5" s="6">
        <v>-0.022096</v>
      </c>
      <c r="G5" s="7">
        <v>0.0339</v>
      </c>
      <c r="H5" s="7">
        <v>0.074165</v>
      </c>
      <c r="I5" s="7">
        <v>0.002579</v>
      </c>
      <c r="J5" s="7">
        <v>0.162269</v>
      </c>
      <c r="K5" s="7">
        <v>0.200447</v>
      </c>
      <c r="L5" s="19">
        <v>0.120113</v>
      </c>
      <c r="M5" s="20"/>
      <c r="N5" s="24">
        <v>0.048146</v>
      </c>
      <c r="O5" s="25">
        <v>0.155658635650328</v>
      </c>
      <c r="P5" s="25">
        <v>0.230708057598909</v>
      </c>
      <c r="Q5" s="25">
        <v>0.0353761100982179</v>
      </c>
      <c r="R5" s="25">
        <v>0.279046150374243</v>
      </c>
      <c r="S5" s="25">
        <v>0.142200455385144</v>
      </c>
      <c r="T5" s="25">
        <v>0.0764428412874584</v>
      </c>
      <c r="U5" s="25">
        <v>-0.0290512325445647</v>
      </c>
      <c r="V5" s="25">
        <v>0.305757504690432</v>
      </c>
      <c r="W5" s="25">
        <v>0.074258361151351</v>
      </c>
      <c r="X5" s="25">
        <v>0.0110163015792156</v>
      </c>
      <c r="Y5" s="25">
        <v>0.447239885724818</v>
      </c>
      <c r="Z5" s="25">
        <v>0.0925291985501411</v>
      </c>
      <c r="AA5" s="25">
        <v>0.360734347170845</v>
      </c>
      <c r="AB5" s="25">
        <v>-0.229250263991552</v>
      </c>
      <c r="AC5" s="25">
        <v>0.187014289295563</v>
      </c>
      <c r="AD5" s="25">
        <v>0.904511816662688</v>
      </c>
      <c r="AE5" s="25">
        <v>-0.485001229407426</v>
      </c>
      <c r="AF5" s="25">
        <v>0.622581288649511</v>
      </c>
      <c r="AG5" s="25">
        <v>0.477018267530937</v>
      </c>
      <c r="AH5" s="25">
        <v>0.417710944026733</v>
      </c>
      <c r="AI5" s="25">
        <v>0.214611872146119</v>
      </c>
      <c r="AJ5" s="25">
        <v>0.908034849951597</v>
      </c>
      <c r="AK5" s="25">
        <v>0.033</v>
      </c>
      <c r="AL5" s="25" t="s">
        <v>113</v>
      </c>
      <c r="AM5" s="365" t="s">
        <v>113</v>
      </c>
      <c r="AS5" t="s">
        <v>69</v>
      </c>
      <c r="AT5" s="376"/>
      <c r="AU5" s="377"/>
      <c r="AV5" s="378"/>
      <c r="AW5" s="387"/>
      <c r="AX5" s="388">
        <v>-0.0135</v>
      </c>
      <c r="AY5" s="389">
        <v>0.00862088140000017</v>
      </c>
      <c r="AZ5" s="389">
        <v>0.0391797904163271</v>
      </c>
      <c r="BA5" s="390">
        <v>0.10592712403818</v>
      </c>
      <c r="BB5" s="20">
        <v>0.142555716915734</v>
      </c>
      <c r="BC5" s="389" t="s">
        <v>113</v>
      </c>
      <c r="BD5" s="389" t="s">
        <v>113</v>
      </c>
      <c r="BE5" s="387"/>
      <c r="BF5" s="392">
        <v>0.0202200215361001</v>
      </c>
      <c r="BG5" s="388">
        <v>0.141366148583062</v>
      </c>
      <c r="BH5" s="388">
        <v>0.152362174428603</v>
      </c>
      <c r="BI5" s="389">
        <v>0.149573549003525</v>
      </c>
      <c r="BJ5" s="389">
        <v>0.02509849</v>
      </c>
      <c r="BK5" s="389" t="s">
        <v>113</v>
      </c>
      <c r="BL5" s="389" t="s">
        <v>113</v>
      </c>
      <c r="BM5" s="389" t="s">
        <v>113</v>
      </c>
      <c r="BN5" s="389" t="s">
        <v>113</v>
      </c>
      <c r="BO5" s="389" t="s">
        <v>113</v>
      </c>
      <c r="BP5" s="389" t="s">
        <v>113</v>
      </c>
      <c r="BQ5" s="389" t="s">
        <v>113</v>
      </c>
      <c r="BR5" s="389" t="s">
        <v>113</v>
      </c>
      <c r="BS5" s="389" t="s">
        <v>113</v>
      </c>
      <c r="BT5" s="389"/>
      <c r="BU5" s="391"/>
    </row>
    <row r="6" spans="2:73">
      <c r="B6" s="339" t="s">
        <v>114</v>
      </c>
      <c r="C6" s="343">
        <v>1.56</v>
      </c>
      <c r="D6" s="344">
        <v>45838</v>
      </c>
      <c r="E6" s="345">
        <v>34373.875002</v>
      </c>
      <c r="F6" s="9">
        <v>-0.02403</v>
      </c>
      <c r="G6" s="10">
        <v>0.02089</v>
      </c>
      <c r="H6" s="10">
        <v>0.054932</v>
      </c>
      <c r="I6" s="10">
        <v>0.001833</v>
      </c>
      <c r="J6" s="10">
        <v>0.116325</v>
      </c>
      <c r="K6" s="10">
        <v>0.147279</v>
      </c>
      <c r="L6" s="23">
        <v>0.116562</v>
      </c>
      <c r="M6" s="20"/>
      <c r="N6" s="24">
        <v>0.030516</v>
      </c>
      <c r="O6" s="25">
        <v>0.137258724897641</v>
      </c>
      <c r="P6" s="25">
        <v>0.174490496908633</v>
      </c>
      <c r="Q6" s="25">
        <v>-0.056599697558868</v>
      </c>
      <c r="R6" s="25">
        <v>0.206411258795934</v>
      </c>
      <c r="S6" s="25">
        <v>0.197191887675507</v>
      </c>
      <c r="T6" s="25">
        <v>0.185719570847207</v>
      </c>
      <c r="U6" s="25">
        <v>0.0654316121403232</v>
      </c>
      <c r="V6" s="25">
        <v>0.380304678998912</v>
      </c>
      <c r="W6" s="25">
        <v>-0.0361824855794442</v>
      </c>
      <c r="X6" s="25">
        <v>-0.0124287933713101</v>
      </c>
      <c r="Y6" s="25">
        <v>0.408460977388767</v>
      </c>
      <c r="Z6" s="25">
        <v>0.134933774834437</v>
      </c>
      <c r="AA6" s="25">
        <v>0.317339149400218</v>
      </c>
      <c r="AB6" s="25">
        <v>-0.225506756756757</v>
      </c>
      <c r="AC6" s="25">
        <v>0.184</v>
      </c>
      <c r="AD6" s="25" t="s">
        <v>113</v>
      </c>
      <c r="AE6" s="25" t="s">
        <v>113</v>
      </c>
      <c r="AF6" s="25" t="s">
        <v>113</v>
      </c>
      <c r="AG6" s="25" t="s">
        <v>113</v>
      </c>
      <c r="AH6" s="25" t="s">
        <v>113</v>
      </c>
      <c r="AI6" s="25" t="s">
        <v>113</v>
      </c>
      <c r="AJ6" s="25" t="s">
        <v>113</v>
      </c>
      <c r="AK6" s="25" t="s">
        <v>113</v>
      </c>
      <c r="AL6" s="25" t="s">
        <v>113</v>
      </c>
      <c r="AM6" s="365" t="s">
        <v>113</v>
      </c>
      <c r="AS6" t="s">
        <v>70</v>
      </c>
      <c r="AT6" s="376"/>
      <c r="AU6" s="377"/>
      <c r="AV6" s="378"/>
      <c r="AW6" s="387"/>
      <c r="AX6" s="388">
        <v>0.00629999999999997</v>
      </c>
      <c r="AY6" s="389">
        <v>0.01830405207</v>
      </c>
      <c r="AZ6" s="389">
        <v>0.056719309630431</v>
      </c>
      <c r="BA6" s="390">
        <v>0.131263289009508</v>
      </c>
      <c r="BB6" s="389" t="s">
        <v>113</v>
      </c>
      <c r="BC6" s="389" t="s">
        <v>113</v>
      </c>
      <c r="BD6" s="389" t="s">
        <v>113</v>
      </c>
      <c r="BE6" s="387"/>
      <c r="BF6" s="392">
        <v>0.023497402735557</v>
      </c>
      <c r="BG6" s="388">
        <v>0.180066655236744</v>
      </c>
      <c r="BH6" s="388" t="s">
        <v>113</v>
      </c>
      <c r="BI6" s="389" t="s">
        <v>113</v>
      </c>
      <c r="BJ6" s="389" t="s">
        <v>113</v>
      </c>
      <c r="BK6" s="389" t="s">
        <v>113</v>
      </c>
      <c r="BL6" s="389" t="s">
        <v>113</v>
      </c>
      <c r="BM6" s="389" t="s">
        <v>113</v>
      </c>
      <c r="BN6" s="389" t="s">
        <v>113</v>
      </c>
      <c r="BO6" s="389" t="s">
        <v>113</v>
      </c>
      <c r="BP6" s="389" t="s">
        <v>113</v>
      </c>
      <c r="BQ6" s="389" t="s">
        <v>113</v>
      </c>
      <c r="BR6" s="389" t="s">
        <v>113</v>
      </c>
      <c r="BS6" s="389" t="s">
        <v>113</v>
      </c>
      <c r="BT6" s="389"/>
      <c r="BU6" s="391"/>
    </row>
    <row r="7" spans="2:73">
      <c r="B7" s="339" t="s">
        <v>115</v>
      </c>
      <c r="C7" s="343">
        <v>2.03</v>
      </c>
      <c r="D7" s="344">
        <v>45838</v>
      </c>
      <c r="E7" s="345">
        <v>1928.3758</v>
      </c>
      <c r="F7" s="9">
        <v>-0.009759</v>
      </c>
      <c r="G7" s="10">
        <v>0.045971</v>
      </c>
      <c r="H7" s="10">
        <v>0.085497</v>
      </c>
      <c r="I7" s="10">
        <v>0.015454</v>
      </c>
      <c r="J7" s="10">
        <v>0.165152</v>
      </c>
      <c r="K7" s="10">
        <v>0.184913</v>
      </c>
      <c r="L7" s="23">
        <v>0.12064</v>
      </c>
      <c r="M7" s="20"/>
      <c r="N7" s="24">
        <v>0.03456</v>
      </c>
      <c r="O7" s="25">
        <v>0.187040353008889</v>
      </c>
      <c r="P7" s="25">
        <v>0.267719248464703</v>
      </c>
      <c r="Q7" s="25">
        <v>-0.0231835280142546</v>
      </c>
      <c r="R7" s="25">
        <v>0.267503136762861</v>
      </c>
      <c r="S7" s="25">
        <v>0.174130819092516</v>
      </c>
      <c r="T7" s="25">
        <v>0.105897686542848</v>
      </c>
      <c r="U7" s="25">
        <v>-0.0422663554318384</v>
      </c>
      <c r="V7" s="25">
        <v>0.34163435854065</v>
      </c>
      <c r="W7" s="25">
        <v>0.0528482700555856</v>
      </c>
      <c r="X7" s="25">
        <v>-0.0567276507276507</v>
      </c>
      <c r="Y7" s="25">
        <v>0.303932943689615</v>
      </c>
      <c r="Z7" s="25">
        <v>0.0801747563718141</v>
      </c>
      <c r="AA7" s="25">
        <v>0.274335226467054</v>
      </c>
      <c r="AB7" s="25">
        <v>-0.23337071323134</v>
      </c>
      <c r="AC7" s="25">
        <v>0.185195733398431</v>
      </c>
      <c r="AD7" s="25">
        <v>0.740440447528678</v>
      </c>
      <c r="AE7" s="25">
        <v>-0.512743248838386</v>
      </c>
      <c r="AF7" s="25">
        <v>0.481983978183058</v>
      </c>
      <c r="AG7" s="25">
        <v>0.1734</v>
      </c>
      <c r="AH7" s="25" t="s">
        <v>113</v>
      </c>
      <c r="AI7" s="25" t="s">
        <v>113</v>
      </c>
      <c r="AJ7" s="25" t="s">
        <v>113</v>
      </c>
      <c r="AK7" s="25" t="s">
        <v>113</v>
      </c>
      <c r="AL7" s="25" t="s">
        <v>113</v>
      </c>
      <c r="AM7" s="365" t="s">
        <v>113</v>
      </c>
      <c r="AS7" t="s">
        <v>71</v>
      </c>
      <c r="AT7" s="376"/>
      <c r="AU7" s="377"/>
      <c r="AV7" s="378"/>
      <c r="AW7" s="387"/>
      <c r="AX7" s="388">
        <v>0.0291999999999999</v>
      </c>
      <c r="AY7" s="389">
        <v>0.0315317555199999</v>
      </c>
      <c r="AZ7" s="389">
        <v>-0.00412604130837735</v>
      </c>
      <c r="BA7" s="390">
        <v>0.10107677588386</v>
      </c>
      <c r="BB7" s="5">
        <v>0.186865874473905</v>
      </c>
      <c r="BC7" s="389">
        <v>0.301790955568388</v>
      </c>
      <c r="BD7" s="391"/>
      <c r="BE7" s="387"/>
      <c r="BF7" s="392">
        <v>0.0129641839206398</v>
      </c>
      <c r="BG7" s="388">
        <v>0.161097923170117</v>
      </c>
      <c r="BH7" s="388">
        <v>0.316118635621339</v>
      </c>
      <c r="BI7" s="389">
        <v>0.0940648901156438</v>
      </c>
      <c r="BJ7" s="389">
        <v>0.447209105039434</v>
      </c>
      <c r="BK7" s="389">
        <v>0.265743605366634</v>
      </c>
      <c r="BL7" s="389" t="s">
        <v>113</v>
      </c>
      <c r="BM7" s="389" t="s">
        <v>113</v>
      </c>
      <c r="BN7" s="389" t="s">
        <v>113</v>
      </c>
      <c r="BO7" s="389" t="s">
        <v>113</v>
      </c>
      <c r="BP7" s="389" t="s">
        <v>113</v>
      </c>
      <c r="BQ7" s="389" t="s">
        <v>113</v>
      </c>
      <c r="BR7" s="389" t="s">
        <v>113</v>
      </c>
      <c r="BS7" s="389" t="s">
        <v>113</v>
      </c>
      <c r="BT7" s="389"/>
      <c r="BU7" s="391"/>
    </row>
    <row r="8" spans="2:73">
      <c r="B8" s="339" t="s">
        <v>46</v>
      </c>
      <c r="C8" s="343">
        <v>1.64</v>
      </c>
      <c r="D8" s="344">
        <v>45838</v>
      </c>
      <c r="E8" s="345">
        <v>16617.3296</v>
      </c>
      <c r="F8" s="9">
        <v>-0.022278</v>
      </c>
      <c r="G8" s="10">
        <v>0.029528</v>
      </c>
      <c r="H8" s="10">
        <v>0.065354</v>
      </c>
      <c r="I8" s="10">
        <v>0.018666</v>
      </c>
      <c r="J8" s="10">
        <v>0.161045</v>
      </c>
      <c r="K8" s="10">
        <v>0.186387</v>
      </c>
      <c r="L8" s="23">
        <v>0.131291</v>
      </c>
      <c r="M8" s="20"/>
      <c r="N8" s="24">
        <v>0.039245</v>
      </c>
      <c r="O8" s="25">
        <v>0.177881802223522</v>
      </c>
      <c r="P8" s="25">
        <v>0.222169249106079</v>
      </c>
      <c r="Q8" s="25">
        <v>0.00817111271329016</v>
      </c>
      <c r="R8" s="25">
        <v>0.245435498353786</v>
      </c>
      <c r="S8" s="25">
        <v>0.230570902394107</v>
      </c>
      <c r="T8" s="25">
        <v>0.156795909671922</v>
      </c>
      <c r="U8" s="25">
        <v>0.033920704845815</v>
      </c>
      <c r="V8" s="25">
        <v>0.313657407407407</v>
      </c>
      <c r="W8" s="25">
        <v>0.0188679245283019</v>
      </c>
      <c r="X8" s="25">
        <v>-0.00469483568075107</v>
      </c>
      <c r="Y8" s="25">
        <v>0.358851674641148</v>
      </c>
      <c r="Z8" s="25">
        <v>0.050251256281407</v>
      </c>
      <c r="AA8" s="25">
        <v>0.283870967741935</v>
      </c>
      <c r="AB8" s="25">
        <v>-0.127579737335835</v>
      </c>
      <c r="AC8" s="25">
        <v>0.066</v>
      </c>
      <c r="AD8" s="25" t="s">
        <v>113</v>
      </c>
      <c r="AE8" s="25" t="s">
        <v>113</v>
      </c>
      <c r="AF8" s="25" t="s">
        <v>113</v>
      </c>
      <c r="AG8" s="25" t="s">
        <v>113</v>
      </c>
      <c r="AH8" s="25" t="s">
        <v>113</v>
      </c>
      <c r="AI8" s="25" t="s">
        <v>113</v>
      </c>
      <c r="AJ8" s="25" t="s">
        <v>113</v>
      </c>
      <c r="AK8" s="25" t="s">
        <v>113</v>
      </c>
      <c r="AL8" s="25" t="s">
        <v>113</v>
      </c>
      <c r="AM8" s="365" t="s">
        <v>113</v>
      </c>
      <c r="AN8" s="65">
        <v>0.7</v>
      </c>
      <c r="AO8" s="65">
        <v>0.9</v>
      </c>
      <c r="AP8" s="65">
        <v>26.79</v>
      </c>
      <c r="AQ8" s="65">
        <v>4.13</v>
      </c>
      <c r="AS8" t="s">
        <v>72</v>
      </c>
      <c r="AT8" s="376"/>
      <c r="AU8" s="377"/>
      <c r="AV8" s="378"/>
      <c r="AW8" s="387"/>
      <c r="AX8" s="388" t="s">
        <v>113</v>
      </c>
      <c r="AY8" s="388" t="s">
        <v>113</v>
      </c>
      <c r="AZ8" s="388" t="s">
        <v>113</v>
      </c>
      <c r="BA8" s="388" t="s">
        <v>113</v>
      </c>
      <c r="BB8" s="388" t="s">
        <v>113</v>
      </c>
      <c r="BC8" s="388" t="s">
        <v>113</v>
      </c>
      <c r="BD8" s="388" t="s">
        <v>113</v>
      </c>
      <c r="BE8" s="387"/>
      <c r="BF8" s="388" t="s">
        <v>113</v>
      </c>
      <c r="BG8" s="388" t="s">
        <v>113</v>
      </c>
      <c r="BH8" s="388" t="s">
        <v>113</v>
      </c>
      <c r="BI8" s="388" t="s">
        <v>113</v>
      </c>
      <c r="BJ8" s="388" t="s">
        <v>113</v>
      </c>
      <c r="BK8" s="388" t="s">
        <v>113</v>
      </c>
      <c r="BL8" s="388" t="s">
        <v>113</v>
      </c>
      <c r="BM8" s="388" t="s">
        <v>113</v>
      </c>
      <c r="BN8" s="388" t="s">
        <v>113</v>
      </c>
      <c r="BO8" s="388" t="s">
        <v>113</v>
      </c>
      <c r="BP8" s="388" t="s">
        <v>113</v>
      </c>
      <c r="BQ8" s="388" t="s">
        <v>113</v>
      </c>
      <c r="BR8" s="388" t="s">
        <v>113</v>
      </c>
      <c r="BS8" s="388" t="s">
        <v>113</v>
      </c>
      <c r="BT8" s="389"/>
      <c r="BU8" s="391"/>
    </row>
    <row r="9" spans="2:73">
      <c r="B9" s="339" t="s">
        <v>116</v>
      </c>
      <c r="C9" s="343">
        <v>1.85</v>
      </c>
      <c r="D9" s="344">
        <v>45838</v>
      </c>
      <c r="E9" s="345">
        <v>6323.2679</v>
      </c>
      <c r="F9" s="9">
        <v>-0.021492</v>
      </c>
      <c r="G9" s="10">
        <v>0.01465</v>
      </c>
      <c r="H9" s="10">
        <v>0.06126</v>
      </c>
      <c r="I9" s="10">
        <v>0.01562</v>
      </c>
      <c r="J9" s="10">
        <v>0.185538</v>
      </c>
      <c r="K9" s="10">
        <v>0.1903</v>
      </c>
      <c r="L9" s="23">
        <v>0.110868</v>
      </c>
      <c r="M9" s="20"/>
      <c r="N9" s="24">
        <v>0.044684</v>
      </c>
      <c r="O9" s="25">
        <v>0.204988502913131</v>
      </c>
      <c r="P9" s="25">
        <v>0.26612782822319</v>
      </c>
      <c r="Q9" s="25">
        <v>0.0144085473733488</v>
      </c>
      <c r="R9" s="25">
        <v>0.195253905366099</v>
      </c>
      <c r="S9" s="25">
        <v>0.0749244873320036</v>
      </c>
      <c r="T9" s="25">
        <v>0.148451943197286</v>
      </c>
      <c r="U9" s="25">
        <v>-0.0272134387351779</v>
      </c>
      <c r="V9" s="25">
        <v>0.264802374628964</v>
      </c>
      <c r="W9" s="25">
        <v>0.0488765665146033</v>
      </c>
      <c r="X9" s="25">
        <v>-0.0232897583959642</v>
      </c>
      <c r="Y9" s="25">
        <v>0.374883377048603</v>
      </c>
      <c r="Z9" s="25">
        <v>0.0222602123447904</v>
      </c>
      <c r="AA9" s="25">
        <v>0.302854463396049</v>
      </c>
      <c r="AB9" s="25">
        <v>-0.198479737665486</v>
      </c>
      <c r="AC9" s="25">
        <v>0.167970764790448</v>
      </c>
      <c r="AD9" s="25">
        <v>0.77127028865779</v>
      </c>
      <c r="AE9" s="25">
        <v>-0.455412529375648</v>
      </c>
      <c r="AF9" s="25">
        <v>0.649312102800475</v>
      </c>
      <c r="AG9" s="25">
        <v>0.465984131046839</v>
      </c>
      <c r="AH9" s="25">
        <v>0.429041697147037</v>
      </c>
      <c r="AI9" s="25">
        <v>0.250114311842707</v>
      </c>
      <c r="AJ9" s="25">
        <v>1.187</v>
      </c>
      <c r="AK9" s="25" t="s">
        <v>113</v>
      </c>
      <c r="AL9" s="25" t="s">
        <v>113</v>
      </c>
      <c r="AM9" s="365" t="s">
        <v>113</v>
      </c>
      <c r="AS9" t="s">
        <v>73</v>
      </c>
      <c r="AT9" s="376"/>
      <c r="AU9" s="377"/>
      <c r="AV9" s="378"/>
      <c r="AW9" s="387"/>
      <c r="AX9" s="388">
        <v>0.00219999999999998</v>
      </c>
      <c r="AY9" s="389">
        <v>0.0213700816000002</v>
      </c>
      <c r="AZ9" s="389">
        <v>0.0211317667079236</v>
      </c>
      <c r="BA9" s="390">
        <v>0.108026495488816</v>
      </c>
      <c r="BB9" s="390">
        <v>0.157024441369694</v>
      </c>
      <c r="BC9" s="389" t="s">
        <v>113</v>
      </c>
      <c r="BD9" s="389" t="s">
        <v>113</v>
      </c>
      <c r="BE9" s="387"/>
      <c r="BF9" s="392">
        <v>0.00502816029440023</v>
      </c>
      <c r="BG9" s="388">
        <v>0.167257506709361</v>
      </c>
      <c r="BH9" s="388">
        <v>0.169268698116085</v>
      </c>
      <c r="BI9" s="389">
        <v>0.133710275020996</v>
      </c>
      <c r="BJ9" s="389" t="s">
        <v>113</v>
      </c>
      <c r="BK9" s="389" t="s">
        <v>113</v>
      </c>
      <c r="BL9" s="389" t="s">
        <v>113</v>
      </c>
      <c r="BM9" s="389" t="s">
        <v>113</v>
      </c>
      <c r="BN9" s="389" t="s">
        <v>113</v>
      </c>
      <c r="BO9" s="389" t="s">
        <v>113</v>
      </c>
      <c r="BP9" s="389" t="s">
        <v>113</v>
      </c>
      <c r="BQ9" s="389" t="s">
        <v>113</v>
      </c>
      <c r="BR9" s="389" t="s">
        <v>113</v>
      </c>
      <c r="BS9" s="389" t="s">
        <v>113</v>
      </c>
      <c r="BT9" s="389"/>
      <c r="BU9" s="391"/>
    </row>
    <row r="10" spans="2:73">
      <c r="B10" s="339" t="s">
        <v>117</v>
      </c>
      <c r="C10" s="343">
        <v>2.11</v>
      </c>
      <c r="D10" s="344">
        <v>45838</v>
      </c>
      <c r="E10" s="345">
        <v>1322.0746</v>
      </c>
      <c r="F10" s="9">
        <v>-0.03389</v>
      </c>
      <c r="G10" s="10">
        <v>0.017227</v>
      </c>
      <c r="H10" s="10">
        <v>0.042103</v>
      </c>
      <c r="I10" s="10">
        <v>-0.030946</v>
      </c>
      <c r="J10" s="10">
        <v>0.158246</v>
      </c>
      <c r="K10" s="10">
        <v>0.184889</v>
      </c>
      <c r="L10" s="23">
        <v>0.118923</v>
      </c>
      <c r="M10" s="20"/>
      <c r="N10" s="24">
        <v>0.018229</v>
      </c>
      <c r="O10" s="25">
        <v>0.146265706621488</v>
      </c>
      <c r="P10" s="25">
        <v>0.257188498402556</v>
      </c>
      <c r="Q10" s="25">
        <v>0.0337614678899083</v>
      </c>
      <c r="R10" s="25">
        <v>0.233869141951551</v>
      </c>
      <c r="S10" s="25">
        <v>0.172862453531599</v>
      </c>
      <c r="T10" s="25">
        <v>0.115190997927154</v>
      </c>
      <c r="U10" s="25">
        <v>0.0168623908461308</v>
      </c>
      <c r="V10" s="25">
        <v>0.338033843674456</v>
      </c>
      <c r="W10" s="25">
        <v>0.00404530744336575</v>
      </c>
      <c r="X10" s="25">
        <v>0.00774561761108837</v>
      </c>
      <c r="Y10" s="25">
        <v>0.376543209876543</v>
      </c>
      <c r="Z10" s="25">
        <v>0.110972568578554</v>
      </c>
      <c r="AA10" s="25">
        <v>0.297734627831715</v>
      </c>
      <c r="AB10" s="25">
        <v>-0.185770750988142</v>
      </c>
      <c r="AC10" s="25">
        <v>0.159663865546218</v>
      </c>
      <c r="AD10" s="25">
        <v>0.309</v>
      </c>
      <c r="AE10" s="25" t="s">
        <v>113</v>
      </c>
      <c r="AF10" s="25" t="s">
        <v>113</v>
      </c>
      <c r="AG10" s="25" t="s">
        <v>113</v>
      </c>
      <c r="AH10" s="25" t="s">
        <v>113</v>
      </c>
      <c r="AI10" s="25" t="s">
        <v>113</v>
      </c>
      <c r="AJ10" s="25" t="s">
        <v>113</v>
      </c>
      <c r="AK10" s="25" t="s">
        <v>113</v>
      </c>
      <c r="AL10" s="25" t="s">
        <v>113</v>
      </c>
      <c r="AM10" s="365" t="s">
        <v>113</v>
      </c>
      <c r="AS10" t="s">
        <v>74</v>
      </c>
      <c r="AT10" s="376"/>
      <c r="AU10" s="377"/>
      <c r="AV10" s="378"/>
      <c r="AW10" s="387"/>
      <c r="AX10" s="388">
        <v>0.0125999999999999</v>
      </c>
      <c r="AY10" s="389">
        <v>0.0372505825100002</v>
      </c>
      <c r="AZ10" s="389">
        <v>0.0792665086840862</v>
      </c>
      <c r="BA10" s="390">
        <v>0.170130749829241</v>
      </c>
      <c r="BB10" s="5">
        <v>0.135298545657318</v>
      </c>
      <c r="BC10" s="389">
        <v>0.128469977185993</v>
      </c>
      <c r="BD10" s="391"/>
      <c r="BE10" s="387"/>
      <c r="BF10" s="392">
        <v>0.054468942179666</v>
      </c>
      <c r="BG10" s="388">
        <v>0.1706777971064</v>
      </c>
      <c r="BH10" s="388">
        <v>0.105169453538697</v>
      </c>
      <c r="BI10" s="389">
        <v>0.092774729332505</v>
      </c>
      <c r="BJ10" s="389">
        <v>0.100825007164755</v>
      </c>
      <c r="BK10" s="389">
        <v>0.162163155429869</v>
      </c>
      <c r="BL10" s="389">
        <v>0.113937216465696</v>
      </c>
      <c r="BM10" s="389">
        <v>0.127325815355805</v>
      </c>
      <c r="BN10" s="389">
        <v>0.132113154705603</v>
      </c>
      <c r="BO10" s="389" t="s">
        <v>113</v>
      </c>
      <c r="BP10" s="389" t="s">
        <v>113</v>
      </c>
      <c r="BQ10" s="389" t="s">
        <v>113</v>
      </c>
      <c r="BR10" s="389" t="s">
        <v>113</v>
      </c>
      <c r="BS10" s="389" t="s">
        <v>113</v>
      </c>
      <c r="BT10" s="389"/>
      <c r="BU10" s="391"/>
    </row>
    <row r="11" spans="2:73">
      <c r="B11" s="339" t="s">
        <v>118</v>
      </c>
      <c r="C11" s="343">
        <v>1.84</v>
      </c>
      <c r="D11" s="344">
        <v>45838</v>
      </c>
      <c r="E11" s="345">
        <v>7983.816018992</v>
      </c>
      <c r="F11" s="9">
        <v>-0.019053</v>
      </c>
      <c r="G11" s="10">
        <v>0.036704</v>
      </c>
      <c r="H11" s="10">
        <v>0.069894</v>
      </c>
      <c r="I11" s="10">
        <v>0.013708</v>
      </c>
      <c r="J11" s="10">
        <v>0.146926</v>
      </c>
      <c r="K11" s="10">
        <v>0.195552</v>
      </c>
      <c r="L11" s="23">
        <v>0.107427</v>
      </c>
      <c r="M11" s="20"/>
      <c r="N11" s="24">
        <v>0.040589</v>
      </c>
      <c r="O11" s="25">
        <v>0.162135332096932</v>
      </c>
      <c r="P11" s="25">
        <v>0.216608480900681</v>
      </c>
      <c r="Q11" s="25">
        <v>-0.0222127517419425</v>
      </c>
      <c r="R11" s="25">
        <v>0.327582441662797</v>
      </c>
      <c r="S11" s="25">
        <v>0.136702585959552</v>
      </c>
      <c r="T11" s="25">
        <v>0.0525602531596898</v>
      </c>
      <c r="U11" s="25">
        <v>-0.0357765226478776</v>
      </c>
      <c r="V11" s="25">
        <v>0.263080448521556</v>
      </c>
      <c r="W11" s="25">
        <v>0.0644577628417875</v>
      </c>
      <c r="X11" s="25">
        <v>0.0201751240531078</v>
      </c>
      <c r="Y11" s="25">
        <v>0.372210974345775</v>
      </c>
      <c r="Z11" s="25">
        <v>0.0407818769373254</v>
      </c>
      <c r="AA11" s="25">
        <v>0.26788333602982</v>
      </c>
      <c r="AB11" s="25">
        <v>-0.182485121270024</v>
      </c>
      <c r="AC11" s="25">
        <v>0.229625596625776</v>
      </c>
      <c r="AD11" s="25">
        <v>0.844881596399458</v>
      </c>
      <c r="AE11" s="25">
        <v>-0.481424292166301</v>
      </c>
      <c r="AF11" s="25">
        <v>0.474080656185921</v>
      </c>
      <c r="AG11" s="25">
        <v>0.455238726790448</v>
      </c>
      <c r="AH11" s="25">
        <v>0.412205400343373</v>
      </c>
      <c r="AI11" s="25">
        <v>0.246013224426296</v>
      </c>
      <c r="AJ11" s="25">
        <v>1.20592020592021</v>
      </c>
      <c r="AK11" s="25">
        <v>0.239234449760766</v>
      </c>
      <c r="AL11" s="25">
        <v>-0.161390994204192</v>
      </c>
      <c r="AM11" s="365">
        <v>-0.131965944272445</v>
      </c>
      <c r="AS11" t="s">
        <v>76</v>
      </c>
      <c r="AT11" s="376"/>
      <c r="AU11" s="377"/>
      <c r="AV11" s="378"/>
      <c r="AW11" s="387"/>
      <c r="AX11" s="388"/>
      <c r="AY11" s="389"/>
      <c r="AZ11" s="389"/>
      <c r="BA11" s="389"/>
      <c r="BB11" s="389"/>
      <c r="BC11" s="389"/>
      <c r="BD11" s="391"/>
      <c r="BE11" s="387"/>
      <c r="BF11" s="388"/>
      <c r="BG11" s="388"/>
      <c r="BH11" s="388"/>
      <c r="BI11" s="389"/>
      <c r="BJ11" s="389"/>
      <c r="BK11" s="389"/>
      <c r="BL11" s="389"/>
      <c r="BM11" s="389"/>
      <c r="BN11" s="389"/>
      <c r="BO11" s="389"/>
      <c r="BP11" s="389"/>
      <c r="BQ11" s="389"/>
      <c r="BR11" s="389"/>
      <c r="BS11" s="389"/>
      <c r="BT11" s="389"/>
      <c r="BU11" s="391"/>
    </row>
    <row r="12" spans="2:73">
      <c r="B12" s="339" t="s">
        <v>119</v>
      </c>
      <c r="C12" s="343">
        <v>1.59</v>
      </c>
      <c r="D12" s="344">
        <v>45838</v>
      </c>
      <c r="E12" s="345">
        <v>38905.1245</v>
      </c>
      <c r="F12" s="9">
        <v>-0.02065</v>
      </c>
      <c r="G12" s="10">
        <v>0.018871</v>
      </c>
      <c r="H12" s="10">
        <v>0.049209</v>
      </c>
      <c r="I12" s="10">
        <v>-0.02436</v>
      </c>
      <c r="J12" s="10">
        <v>0.171713</v>
      </c>
      <c r="K12" s="10">
        <v>0.215781</v>
      </c>
      <c r="L12" s="23">
        <v>0.12449</v>
      </c>
      <c r="M12" s="20"/>
      <c r="N12" s="24">
        <v>0.033793</v>
      </c>
      <c r="O12" s="25">
        <v>0.116446245211043</v>
      </c>
      <c r="P12" s="25">
        <v>0.300231943398902</v>
      </c>
      <c r="Q12" s="25">
        <v>0.106111359948307</v>
      </c>
      <c r="R12" s="25">
        <v>0.285366963212128</v>
      </c>
      <c r="S12" s="25">
        <v>0.0591061211270658</v>
      </c>
      <c r="T12" s="25">
        <v>0.0769817073170725</v>
      </c>
      <c r="U12" s="25">
        <v>0.00126330675933797</v>
      </c>
      <c r="V12" s="25">
        <v>0.319668050264723</v>
      </c>
      <c r="W12" s="25">
        <v>0.0852083976535984</v>
      </c>
      <c r="X12" s="25">
        <v>-0.0608981049799372</v>
      </c>
      <c r="Y12" s="25">
        <v>0.465176443600496</v>
      </c>
      <c r="Z12" s="25">
        <v>0.0404877984096586</v>
      </c>
      <c r="AA12" s="25">
        <v>0.3243323928492</v>
      </c>
      <c r="AB12" s="25">
        <v>-0.242961787814466</v>
      </c>
      <c r="AC12" s="25">
        <v>0.250504278051158</v>
      </c>
      <c r="AD12" s="25">
        <v>0.944610875234391</v>
      </c>
      <c r="AE12" s="25">
        <v>-0.453454267035753</v>
      </c>
      <c r="AF12" s="25">
        <v>0.544528336213959</v>
      </c>
      <c r="AG12" s="25">
        <v>0.374468617154287</v>
      </c>
      <c r="AH12" s="25">
        <v>0.552406832298137</v>
      </c>
      <c r="AI12" s="25">
        <v>0.275247524752475</v>
      </c>
      <c r="AJ12" s="25">
        <v>1.34474753337202</v>
      </c>
      <c r="AK12" s="25">
        <v>0.261346998535874</v>
      </c>
      <c r="AL12" s="25">
        <v>-0.101315789473685</v>
      </c>
      <c r="AM12" s="365">
        <v>-0.210822943705991</v>
      </c>
      <c r="AS12" t="s">
        <v>77</v>
      </c>
      <c r="AT12" s="376"/>
      <c r="AU12" s="377"/>
      <c r="AV12" s="378"/>
      <c r="AW12" s="387"/>
      <c r="AX12" s="388"/>
      <c r="AY12" s="389"/>
      <c r="AZ12" s="389"/>
      <c r="BA12" s="389"/>
      <c r="BB12" s="389"/>
      <c r="BC12" s="389"/>
      <c r="BD12" s="391"/>
      <c r="BE12" s="387"/>
      <c r="BF12" s="388"/>
      <c r="BG12" s="388"/>
      <c r="BH12" s="388"/>
      <c r="BI12" s="389"/>
      <c r="BJ12" s="389"/>
      <c r="BK12" s="389"/>
      <c r="BL12" s="389"/>
      <c r="BM12" s="389"/>
      <c r="BN12" s="389"/>
      <c r="BO12" s="389"/>
      <c r="BP12" s="389"/>
      <c r="BQ12" s="389"/>
      <c r="BR12" s="389"/>
      <c r="BS12" s="389"/>
      <c r="BT12" s="389"/>
      <c r="BU12" s="391"/>
    </row>
    <row r="13" spans="2:73">
      <c r="B13" s="339" t="s">
        <v>120</v>
      </c>
      <c r="C13" s="343">
        <v>2.13</v>
      </c>
      <c r="D13" s="344">
        <v>45838</v>
      </c>
      <c r="E13" s="345">
        <v>1887.7311</v>
      </c>
      <c r="F13" s="9">
        <v>-0.01841</v>
      </c>
      <c r="G13" s="10">
        <v>0.02958</v>
      </c>
      <c r="H13" s="10">
        <v>0.036813</v>
      </c>
      <c r="I13" s="10">
        <v>-0.026154</v>
      </c>
      <c r="J13" s="10">
        <v>0.146284</v>
      </c>
      <c r="K13" s="10">
        <v>0.176785</v>
      </c>
      <c r="L13" s="23">
        <v>0.117438</v>
      </c>
      <c r="M13" s="20"/>
      <c r="N13" s="24">
        <v>-0.00662</v>
      </c>
      <c r="O13" s="25">
        <v>0.183231841513157</v>
      </c>
      <c r="P13" s="25">
        <v>0.235143296219083</v>
      </c>
      <c r="Q13" s="25">
        <v>0.00511646874866631</v>
      </c>
      <c r="R13" s="25">
        <v>0.227008060453015</v>
      </c>
      <c r="S13" s="25">
        <v>0.158540954660259</v>
      </c>
      <c r="T13" s="25">
        <v>0.151068512117077</v>
      </c>
      <c r="U13" s="25">
        <v>-0.0317075614705445</v>
      </c>
      <c r="V13" s="25">
        <v>0.305343373730748</v>
      </c>
      <c r="W13" s="25">
        <v>0.0802121730124616</v>
      </c>
      <c r="X13" s="25">
        <v>-0.0298751449192674</v>
      </c>
      <c r="Y13" s="25">
        <v>0.348549236715944</v>
      </c>
      <c r="Z13" s="25">
        <v>0.0318505030460878</v>
      </c>
      <c r="AA13" s="25">
        <v>0.232379256322463</v>
      </c>
      <c r="AB13" s="25">
        <v>-0.226817562044697</v>
      </c>
      <c r="AC13" s="25">
        <v>0.179978407112554</v>
      </c>
      <c r="AD13" s="25">
        <v>0.585480564376733</v>
      </c>
      <c r="AE13" s="25">
        <v>-0.480475000848402</v>
      </c>
      <c r="AF13" s="25">
        <v>0.595251249305941</v>
      </c>
      <c r="AG13" s="25">
        <v>0.372498961671385</v>
      </c>
      <c r="AH13" s="25">
        <v>0.419682027923985</v>
      </c>
      <c r="AI13" s="25">
        <v>0.3873095684803</v>
      </c>
      <c r="AJ13" s="25">
        <v>1.6025390625</v>
      </c>
      <c r="AK13" s="25">
        <v>0.024</v>
      </c>
      <c r="AL13" s="25" t="s">
        <v>113</v>
      </c>
      <c r="AM13" s="365" t="s">
        <v>113</v>
      </c>
      <c r="AS13" t="s">
        <v>78</v>
      </c>
      <c r="AT13" s="376"/>
      <c r="AU13" s="377"/>
      <c r="AV13" s="378"/>
      <c r="AW13" s="387"/>
      <c r="AX13" s="388"/>
      <c r="AY13" s="389"/>
      <c r="AZ13" s="389"/>
      <c r="BA13" s="389"/>
      <c r="BB13" s="389"/>
      <c r="BC13" s="389"/>
      <c r="BD13" s="391"/>
      <c r="BE13" s="387"/>
      <c r="BF13" s="388"/>
      <c r="BG13" s="388"/>
      <c r="BH13" s="388"/>
      <c r="BI13" s="389"/>
      <c r="BJ13" s="389"/>
      <c r="BK13" s="389"/>
      <c r="BL13" s="389"/>
      <c r="BM13" s="389"/>
      <c r="BN13" s="389"/>
      <c r="BO13" s="389"/>
      <c r="BP13" s="389"/>
      <c r="BQ13" s="389"/>
      <c r="BR13" s="389"/>
      <c r="BS13" s="389"/>
      <c r="BT13" s="389"/>
      <c r="BU13" s="391"/>
    </row>
    <row r="14" spans="2:73">
      <c r="B14" s="339" t="s">
        <v>44</v>
      </c>
      <c r="C14" s="343">
        <v>1.42</v>
      </c>
      <c r="D14" s="344">
        <v>45838</v>
      </c>
      <c r="E14" s="345">
        <v>72336.0508815222</v>
      </c>
      <c r="F14" s="9">
        <v>-0.016662</v>
      </c>
      <c r="G14" s="10">
        <v>0.029834</v>
      </c>
      <c r="H14" s="10">
        <v>0.071031</v>
      </c>
      <c r="I14" s="10">
        <v>0.011239</v>
      </c>
      <c r="J14" s="10">
        <v>0.189794</v>
      </c>
      <c r="K14" s="10">
        <v>0.221221</v>
      </c>
      <c r="L14" s="23">
        <v>0.137519</v>
      </c>
      <c r="M14" s="20"/>
      <c r="N14" s="24">
        <v>0.057922</v>
      </c>
      <c r="O14" s="25">
        <v>0.168731696328002</v>
      </c>
      <c r="P14" s="25">
        <v>0.273927392739274</v>
      </c>
      <c r="Q14" s="25">
        <v>0.0685372585096596</v>
      </c>
      <c r="R14" s="25">
        <v>0.291740938799762</v>
      </c>
      <c r="S14" s="25">
        <v>0.134861766689144</v>
      </c>
      <c r="T14" s="25">
        <v>0.0977054034048853</v>
      </c>
      <c r="U14" s="25">
        <v>-0.00807635829662257</v>
      </c>
      <c r="V14" s="25">
        <v>0.327485380116959</v>
      </c>
      <c r="W14" s="25">
        <v>0.0773538676933847</v>
      </c>
      <c r="X14" s="25">
        <v>-0.00209570380719521</v>
      </c>
      <c r="Y14" s="25">
        <v>0.41103992114342</v>
      </c>
      <c r="Z14" s="25">
        <v>0.102118413905486</v>
      </c>
      <c r="AA14" s="25">
        <v>0.267906336088154</v>
      </c>
      <c r="AB14" s="25">
        <v>-0.164075993091537</v>
      </c>
      <c r="AC14" s="25">
        <v>0.270665691294806</v>
      </c>
      <c r="AD14" s="25">
        <v>0.911888111888112</v>
      </c>
      <c r="AE14" s="25">
        <v>-0.285</v>
      </c>
      <c r="AF14" s="25" t="s">
        <v>113</v>
      </c>
      <c r="AG14" s="25" t="s">
        <v>113</v>
      </c>
      <c r="AH14" s="25" t="s">
        <v>113</v>
      </c>
      <c r="AI14" s="25" t="s">
        <v>113</v>
      </c>
      <c r="AJ14" s="25" t="s">
        <v>113</v>
      </c>
      <c r="AK14" s="25" t="s">
        <v>113</v>
      </c>
      <c r="AL14" s="25" t="s">
        <v>113</v>
      </c>
      <c r="AM14" s="365" t="s">
        <v>113</v>
      </c>
      <c r="AN14" s="65">
        <v>0.9</v>
      </c>
      <c r="AO14" s="65">
        <v>0.89</v>
      </c>
      <c r="AP14" s="65">
        <v>22.93</v>
      </c>
      <c r="AQ14" s="65">
        <v>3.49</v>
      </c>
      <c r="AS14" t="s">
        <v>79</v>
      </c>
      <c r="AT14" s="376"/>
      <c r="AU14" s="377"/>
      <c r="AV14" s="378"/>
      <c r="AW14" s="387"/>
      <c r="AX14" s="388"/>
      <c r="AY14" s="389"/>
      <c r="AZ14" s="389"/>
      <c r="BA14" s="389"/>
      <c r="BB14" s="389"/>
      <c r="BC14" s="389"/>
      <c r="BD14" s="391"/>
      <c r="BE14" s="387"/>
      <c r="BF14" s="388"/>
      <c r="BG14" s="388"/>
      <c r="BH14" s="388"/>
      <c r="BI14" s="389"/>
      <c r="BJ14" s="389"/>
      <c r="BK14" s="389"/>
      <c r="BL14" s="389"/>
      <c r="BM14" s="389"/>
      <c r="BN14" s="389"/>
      <c r="BO14" s="389"/>
      <c r="BP14" s="389"/>
      <c r="BQ14" s="389"/>
      <c r="BR14" s="389"/>
      <c r="BS14" s="389"/>
      <c r="BT14" s="389"/>
      <c r="BU14" s="391"/>
    </row>
    <row r="15" spans="2:73">
      <c r="B15" s="339" t="s">
        <v>121</v>
      </c>
      <c r="C15" s="343">
        <v>2.05</v>
      </c>
      <c r="D15" s="344">
        <v>45838</v>
      </c>
      <c r="E15" s="345">
        <v>1558.2449</v>
      </c>
      <c r="F15" s="9">
        <v>-0.034711</v>
      </c>
      <c r="G15" s="10">
        <v>0.036672</v>
      </c>
      <c r="H15" s="10">
        <v>0.070412</v>
      </c>
      <c r="I15" s="10">
        <v>-0.002188</v>
      </c>
      <c r="J15" s="10">
        <v>0.170622</v>
      </c>
      <c r="K15" s="10">
        <v>0.191028</v>
      </c>
      <c r="L15" s="23">
        <v>0.121877</v>
      </c>
      <c r="M15" s="20"/>
      <c r="N15" s="24">
        <v>0.017854</v>
      </c>
      <c r="O15" s="25">
        <v>0.199964292090698</v>
      </c>
      <c r="P15" s="25">
        <v>0.277891854893908</v>
      </c>
      <c r="Q15" s="25">
        <v>-0.0298804780876494</v>
      </c>
      <c r="R15" s="25">
        <v>0.325315341742446</v>
      </c>
      <c r="S15" s="25">
        <v>0.140515222482436</v>
      </c>
      <c r="T15" s="25">
        <v>0.104990757855823</v>
      </c>
      <c r="U15" s="25">
        <v>-0.0044166359955834</v>
      </c>
      <c r="V15" s="25">
        <v>0.283419933868682</v>
      </c>
      <c r="W15" s="25">
        <v>0.0276699029126214</v>
      </c>
      <c r="X15" s="25">
        <v>0.0456852791878174</v>
      </c>
      <c r="Y15" s="25">
        <v>0.395184135977337</v>
      </c>
      <c r="Z15" s="25">
        <v>0.0920340293890177</v>
      </c>
      <c r="AA15" s="25">
        <v>0.243269230769231</v>
      </c>
      <c r="AB15" s="25">
        <v>-0.219219219219219</v>
      </c>
      <c r="AC15" s="25">
        <v>0.176678445229682</v>
      </c>
      <c r="AD15" s="25">
        <v>0.132</v>
      </c>
      <c r="AE15" s="25" t="s">
        <v>113</v>
      </c>
      <c r="AF15" s="25" t="s">
        <v>113</v>
      </c>
      <c r="AG15" s="25" t="s">
        <v>113</v>
      </c>
      <c r="AH15" s="25" t="s">
        <v>113</v>
      </c>
      <c r="AI15" s="25" t="s">
        <v>113</v>
      </c>
      <c r="AJ15" s="25" t="s">
        <v>113</v>
      </c>
      <c r="AK15" s="25" t="s">
        <v>113</v>
      </c>
      <c r="AL15" s="25" t="s">
        <v>113</v>
      </c>
      <c r="AM15" s="365" t="s">
        <v>113</v>
      </c>
      <c r="AS15" t="s">
        <v>81</v>
      </c>
      <c r="AT15" s="376"/>
      <c r="AU15" s="377"/>
      <c r="AV15" s="378"/>
      <c r="AW15" s="387"/>
      <c r="AX15" s="392">
        <v>0.0148</v>
      </c>
      <c r="AY15" s="390">
        <v>0.0283</v>
      </c>
      <c r="AZ15" s="390">
        <v>0.0472</v>
      </c>
      <c r="BA15" s="390">
        <v>0.0912</v>
      </c>
      <c r="BB15" s="389" t="s">
        <v>113</v>
      </c>
      <c r="BC15" s="389" t="s">
        <v>113</v>
      </c>
      <c r="BD15" s="391" t="s">
        <v>113</v>
      </c>
      <c r="BE15" s="387"/>
      <c r="BF15" s="392">
        <v>0.0335</v>
      </c>
      <c r="BG15" s="392">
        <v>0.071</v>
      </c>
      <c r="BH15" s="392">
        <v>0.0358</v>
      </c>
      <c r="BI15" s="389" t="s">
        <v>113</v>
      </c>
      <c r="BJ15" s="389" t="s">
        <v>113</v>
      </c>
      <c r="BK15" s="389" t="s">
        <v>113</v>
      </c>
      <c r="BL15" s="389" t="s">
        <v>113</v>
      </c>
      <c r="BM15" s="389" t="s">
        <v>113</v>
      </c>
      <c r="BN15" s="389" t="s">
        <v>113</v>
      </c>
      <c r="BO15" s="389" t="s">
        <v>113</v>
      </c>
      <c r="BP15" s="389" t="s">
        <v>113</v>
      </c>
      <c r="BQ15" s="389" t="s">
        <v>113</v>
      </c>
      <c r="BR15" s="389" t="s">
        <v>113</v>
      </c>
      <c r="BS15" s="389" t="s">
        <v>113</v>
      </c>
      <c r="BT15" s="389" t="s">
        <v>113</v>
      </c>
      <c r="BU15" s="389" t="s">
        <v>113</v>
      </c>
    </row>
    <row r="16" spans="2:73">
      <c r="B16" s="339" t="s">
        <v>45</v>
      </c>
      <c r="C16" s="343">
        <v>1.73</v>
      </c>
      <c r="D16" s="344">
        <v>45838</v>
      </c>
      <c r="E16" s="345">
        <v>10515.7458</v>
      </c>
      <c r="F16" s="9">
        <v>-0.022727</v>
      </c>
      <c r="G16" s="10">
        <v>0.035144</v>
      </c>
      <c r="H16" s="10">
        <v>0.067235</v>
      </c>
      <c r="I16" s="10">
        <v>-0.00366</v>
      </c>
      <c r="J16" s="10">
        <v>0.159149</v>
      </c>
      <c r="K16" s="10">
        <v>0.193198</v>
      </c>
      <c r="L16" s="23">
        <v>0.121931</v>
      </c>
      <c r="M16" s="20"/>
      <c r="N16" s="24">
        <v>0.038292</v>
      </c>
      <c r="O16" s="25">
        <v>0.16245344709274</v>
      </c>
      <c r="P16" s="25">
        <v>0.229016423405311</v>
      </c>
      <c r="Q16" s="25">
        <v>0.0198842680741259</v>
      </c>
      <c r="R16" s="25">
        <v>0.277371666876431</v>
      </c>
      <c r="S16" s="25">
        <v>0.163714309465092</v>
      </c>
      <c r="T16" s="25">
        <v>0.141953711237682</v>
      </c>
      <c r="U16" s="25">
        <v>-0.0210508149059418</v>
      </c>
      <c r="V16" s="25">
        <v>0.291776945722697</v>
      </c>
      <c r="W16" s="25">
        <v>0.0293260998758466</v>
      </c>
      <c r="X16" s="25">
        <v>0.0376912650050678</v>
      </c>
      <c r="Y16" s="25">
        <v>0.424565310045491</v>
      </c>
      <c r="Z16" s="25">
        <v>0.0426049025564755</v>
      </c>
      <c r="AA16" s="25">
        <v>0.234110418462021</v>
      </c>
      <c r="AB16" s="25">
        <v>-0.184619736818091</v>
      </c>
      <c r="AC16" s="25">
        <v>0.162908172469782</v>
      </c>
      <c r="AD16" s="25">
        <v>0.667067669172932</v>
      </c>
      <c r="AE16" s="25">
        <v>-0.503452334937981</v>
      </c>
      <c r="AF16" s="25">
        <v>0.66563268172773</v>
      </c>
      <c r="AG16" s="25">
        <v>0.436130198155036</v>
      </c>
      <c r="AH16" s="25">
        <v>0.493691148775895</v>
      </c>
      <c r="AI16" s="25">
        <v>0.367616758241758</v>
      </c>
      <c r="AJ16" s="25">
        <v>0.936009307737056</v>
      </c>
      <c r="AK16" s="25" t="s">
        <v>113</v>
      </c>
      <c r="AL16" s="25" t="s">
        <v>113</v>
      </c>
      <c r="AM16" s="365" t="s">
        <v>113</v>
      </c>
      <c r="AN16" s="65">
        <v>0.65</v>
      </c>
      <c r="AO16" s="65">
        <v>0.93</v>
      </c>
      <c r="AP16" s="65">
        <v>23.66</v>
      </c>
      <c r="AQ16" s="65">
        <v>3.61</v>
      </c>
      <c r="AS16" s="379" t="s">
        <v>122</v>
      </c>
      <c r="AT16" s="380">
        <v>0.73</v>
      </c>
      <c r="AU16" s="381">
        <v>45716</v>
      </c>
      <c r="AV16" s="380">
        <v>9585.9669</v>
      </c>
      <c r="AW16" s="387"/>
      <c r="AX16" s="393">
        <v>0.013215</v>
      </c>
      <c r="AY16" s="393">
        <v>0.022823</v>
      </c>
      <c r="AZ16" s="393">
        <v>0.038488</v>
      </c>
      <c r="BA16" s="393">
        <v>0.081713</v>
      </c>
      <c r="BB16" s="393">
        <v>0.065641</v>
      </c>
      <c r="BC16" s="393">
        <v>0.06502</v>
      </c>
      <c r="BD16" s="393">
        <v>0.075168</v>
      </c>
      <c r="BE16" s="395"/>
      <c r="BF16" s="393">
        <v>0.022823</v>
      </c>
      <c r="BG16" s="393">
        <v>0.0787793614011505</v>
      </c>
      <c r="BH16" s="393">
        <v>0.0686159066551631</v>
      </c>
      <c r="BI16" s="393">
        <v>0.0365217995408042</v>
      </c>
      <c r="BJ16" s="393">
        <v>0.035853310338186</v>
      </c>
      <c r="BK16" s="393">
        <v>0.109128711391493</v>
      </c>
      <c r="BL16" s="393">
        <v>0.0990157846826358</v>
      </c>
      <c r="BM16" s="393">
        <v>0.0662981221561367</v>
      </c>
      <c r="BN16" s="393">
        <v>0.0561392294729502</v>
      </c>
      <c r="BO16" s="393">
        <v>0.123201451566058</v>
      </c>
      <c r="BP16" s="393">
        <v>0.0852029318610281</v>
      </c>
      <c r="BQ16" s="393">
        <v>0.124713214441246</v>
      </c>
      <c r="BR16" s="393">
        <v>0.0963388219950159</v>
      </c>
      <c r="BS16" s="393">
        <v>0.0985491626463351</v>
      </c>
      <c r="BT16" s="393">
        <v>0.0925470396058631</v>
      </c>
      <c r="BU16" s="393">
        <v>0.0581493155369869</v>
      </c>
    </row>
    <row r="17" spans="2:73">
      <c r="B17" s="339" t="s">
        <v>123</v>
      </c>
      <c r="C17" s="343">
        <v>1.51</v>
      </c>
      <c r="D17" s="344">
        <v>45838</v>
      </c>
      <c r="E17" s="345">
        <v>40724.5936</v>
      </c>
      <c r="F17" s="9">
        <v>-0.016011</v>
      </c>
      <c r="G17" s="10">
        <v>0.040576</v>
      </c>
      <c r="H17" s="10">
        <v>0.074604</v>
      </c>
      <c r="I17" s="10">
        <v>0.009309</v>
      </c>
      <c r="J17" s="10">
        <v>0.134872</v>
      </c>
      <c r="K17" s="10">
        <v>0.176536</v>
      </c>
      <c r="L17" s="23">
        <v>0.127192</v>
      </c>
      <c r="M17" s="20"/>
      <c r="N17" s="24">
        <v>0.049824</v>
      </c>
      <c r="O17" s="25">
        <v>0.126856624816841</v>
      </c>
      <c r="P17" s="25">
        <v>0.184499356949318</v>
      </c>
      <c r="Q17" s="25">
        <v>0.0159843708374035</v>
      </c>
      <c r="R17" s="25">
        <v>0.277357359303852</v>
      </c>
      <c r="S17" s="25">
        <v>0.137026937391753</v>
      </c>
      <c r="T17" s="25">
        <v>0.127256111491889</v>
      </c>
      <c r="U17" s="25">
        <v>-0.00637691926696394</v>
      </c>
      <c r="V17" s="25">
        <v>0.38580335182749</v>
      </c>
      <c r="W17" s="25">
        <v>0.0808989458715881</v>
      </c>
      <c r="X17" s="25">
        <v>0.0425408488833026</v>
      </c>
      <c r="Y17" s="25">
        <v>0.528597467855559</v>
      </c>
      <c r="Z17" s="25">
        <v>0.0894697294976384</v>
      </c>
      <c r="AA17" s="25">
        <v>0.332761087267525</v>
      </c>
      <c r="AB17" s="25">
        <v>-0.19641317468529</v>
      </c>
      <c r="AC17" s="25">
        <v>0.231210191082802</v>
      </c>
      <c r="AD17" s="25">
        <v>1.09333333333333</v>
      </c>
      <c r="AE17" s="25">
        <v>-0.325</v>
      </c>
      <c r="AF17" s="25" t="s">
        <v>113</v>
      </c>
      <c r="AG17" s="25" t="s">
        <v>113</v>
      </c>
      <c r="AH17" s="25" t="s">
        <v>113</v>
      </c>
      <c r="AI17" s="25" t="s">
        <v>113</v>
      </c>
      <c r="AJ17" s="25" t="s">
        <v>113</v>
      </c>
      <c r="AK17" s="25" t="s">
        <v>113</v>
      </c>
      <c r="AL17" s="25" t="s">
        <v>113</v>
      </c>
      <c r="AM17" s="365" t="s">
        <v>113</v>
      </c>
      <c r="AS17" s="379" t="s">
        <v>124</v>
      </c>
      <c r="AT17" s="382">
        <v>0.63</v>
      </c>
      <c r="AU17" s="383">
        <v>45716</v>
      </c>
      <c r="AV17" s="382">
        <v>12987.923803</v>
      </c>
      <c r="AW17" s="387"/>
      <c r="AX17" s="394">
        <v>0.012468</v>
      </c>
      <c r="AY17" s="394">
        <v>0.023066</v>
      </c>
      <c r="AZ17" s="394">
        <v>0.039291</v>
      </c>
      <c r="BA17" s="394">
        <v>0.080002</v>
      </c>
      <c r="BB17" s="394">
        <v>0.064007</v>
      </c>
      <c r="BC17" s="394">
        <v>0.061721</v>
      </c>
      <c r="BD17" s="394">
        <v>0.072638</v>
      </c>
      <c r="BE17" s="395"/>
      <c r="BF17" s="394">
        <v>0.023066</v>
      </c>
      <c r="BG17" s="394">
        <v>0.0755498409765805</v>
      </c>
      <c r="BH17" s="394">
        <v>0.065271972954755</v>
      </c>
      <c r="BI17" s="394">
        <v>0.0375386780470909</v>
      </c>
      <c r="BJ17" s="394">
        <v>0.0338964284761844</v>
      </c>
      <c r="BK17" s="394">
        <v>0.0959162045186364</v>
      </c>
      <c r="BL17" s="394">
        <v>0.105236627604949</v>
      </c>
      <c r="BM17" s="394">
        <v>0.0756194000556421</v>
      </c>
      <c r="BN17" s="394">
        <v>0.0718288141350095</v>
      </c>
      <c r="BO17" s="394">
        <v>0.0837107856544236</v>
      </c>
      <c r="BP17" s="394">
        <v>0.0849827039920706</v>
      </c>
      <c r="BQ17" s="394">
        <v>0.0927197901925771</v>
      </c>
      <c r="BR17" s="394">
        <v>0.0868913307181336</v>
      </c>
      <c r="BS17" s="394">
        <v>0.0518253</v>
      </c>
      <c r="BT17" s="394" t="s">
        <v>113</v>
      </c>
      <c r="BU17" s="394" t="s">
        <v>113</v>
      </c>
    </row>
    <row r="18" spans="2:73">
      <c r="B18" s="339" t="s">
        <v>125</v>
      </c>
      <c r="C18" s="343">
        <v>2.14</v>
      </c>
      <c r="D18" s="344">
        <v>45838</v>
      </c>
      <c r="E18" s="345">
        <v>1563.5841</v>
      </c>
      <c r="F18" s="9">
        <v>-0.015099</v>
      </c>
      <c r="G18" s="10">
        <v>0.118679</v>
      </c>
      <c r="H18" s="10">
        <v>0.064219</v>
      </c>
      <c r="I18" s="10">
        <v>-0.110031</v>
      </c>
      <c r="J18" s="10">
        <v>0.106595</v>
      </c>
      <c r="K18" s="10">
        <v>0.137627</v>
      </c>
      <c r="L18" s="23">
        <v>0.097715</v>
      </c>
      <c r="M18" s="20"/>
      <c r="N18" s="24">
        <v>-0.037661</v>
      </c>
      <c r="O18" s="25">
        <v>0.136196496132983</v>
      </c>
      <c r="P18" s="25">
        <v>0.188192636947658</v>
      </c>
      <c r="Q18" s="25">
        <v>0.0195357198734842</v>
      </c>
      <c r="R18" s="25">
        <v>0.145878812805613</v>
      </c>
      <c r="S18" s="25">
        <v>0.172782704414184</v>
      </c>
      <c r="T18" s="25">
        <v>0.170854974802572</v>
      </c>
      <c r="U18" s="25">
        <v>-0.0420339045751754</v>
      </c>
      <c r="V18" s="25">
        <v>0.321539006832154</v>
      </c>
      <c r="W18" s="25">
        <v>0.0283290391503803</v>
      </c>
      <c r="X18" s="25">
        <v>0.0589675847979291</v>
      </c>
      <c r="Y18" s="25">
        <v>0.442356238541797</v>
      </c>
      <c r="Z18" s="25">
        <v>0.04183</v>
      </c>
      <c r="AA18" s="25" t="s">
        <v>113</v>
      </c>
      <c r="AB18" s="25" t="s">
        <v>113</v>
      </c>
      <c r="AC18" s="25" t="s">
        <v>113</v>
      </c>
      <c r="AD18" s="25" t="s">
        <v>113</v>
      </c>
      <c r="AE18" s="25" t="s">
        <v>113</v>
      </c>
      <c r="AF18" s="25" t="s">
        <v>113</v>
      </c>
      <c r="AG18" s="25" t="s">
        <v>113</v>
      </c>
      <c r="AH18" s="25" t="s">
        <v>113</v>
      </c>
      <c r="AI18" s="25" t="s">
        <v>113</v>
      </c>
      <c r="AJ18" s="25" t="s">
        <v>113</v>
      </c>
      <c r="AK18" s="25" t="s">
        <v>113</v>
      </c>
      <c r="AL18" s="25" t="s">
        <v>113</v>
      </c>
      <c r="AM18" s="365" t="s">
        <v>113</v>
      </c>
      <c r="AS18" s="379" t="s">
        <v>126</v>
      </c>
      <c r="AT18" s="382">
        <v>0.89</v>
      </c>
      <c r="AU18" s="383">
        <v>45716</v>
      </c>
      <c r="AV18" s="382">
        <v>118.4179</v>
      </c>
      <c r="AW18" s="387"/>
      <c r="AX18" s="394">
        <v>0.013812</v>
      </c>
      <c r="AY18" s="394">
        <v>0.023175</v>
      </c>
      <c r="AZ18" s="394">
        <v>0.037051</v>
      </c>
      <c r="BA18" s="394">
        <v>0.080731</v>
      </c>
      <c r="BB18" s="394" t="s">
        <v>113</v>
      </c>
      <c r="BC18" s="394" t="s">
        <v>113</v>
      </c>
      <c r="BD18" s="394" t="s">
        <v>113</v>
      </c>
      <c r="BE18" s="395"/>
      <c r="BF18" s="394">
        <v>0.023175</v>
      </c>
      <c r="BG18" s="394">
        <v>0.0780890044591214</v>
      </c>
      <c r="BH18" s="394">
        <v>0.0114100000000001</v>
      </c>
      <c r="BI18" s="394" t="s">
        <v>113</v>
      </c>
      <c r="BJ18" s="394" t="s">
        <v>113</v>
      </c>
      <c r="BK18" s="394" t="s">
        <v>113</v>
      </c>
      <c r="BL18" s="394" t="s">
        <v>113</v>
      </c>
      <c r="BM18" s="394" t="s">
        <v>113</v>
      </c>
      <c r="BN18" s="394" t="s">
        <v>113</v>
      </c>
      <c r="BO18" s="394" t="s">
        <v>113</v>
      </c>
      <c r="BP18" s="394" t="s">
        <v>113</v>
      </c>
      <c r="BQ18" s="394" t="s">
        <v>113</v>
      </c>
      <c r="BR18" s="394" t="s">
        <v>113</v>
      </c>
      <c r="BS18" s="394" t="s">
        <v>113</v>
      </c>
      <c r="BT18" s="394" t="s">
        <v>113</v>
      </c>
      <c r="BU18" s="394" t="s">
        <v>113</v>
      </c>
    </row>
    <row r="19" spans="2:73">
      <c r="B19" s="339" t="s">
        <v>43</v>
      </c>
      <c r="C19" s="343">
        <v>1.51</v>
      </c>
      <c r="D19" s="344">
        <v>45838</v>
      </c>
      <c r="E19" s="345">
        <v>43828.5997</v>
      </c>
      <c r="F19" s="9">
        <v>-0.017875</v>
      </c>
      <c r="G19" s="10">
        <v>0.047609</v>
      </c>
      <c r="H19" s="10">
        <v>0.078495</v>
      </c>
      <c r="I19" s="10">
        <v>0.006832</v>
      </c>
      <c r="J19" s="10">
        <v>0.204123</v>
      </c>
      <c r="K19" s="10">
        <v>0.251486</v>
      </c>
      <c r="L19" s="23">
        <v>0.137065</v>
      </c>
      <c r="M19" s="20"/>
      <c r="N19" s="24">
        <v>0.045961</v>
      </c>
      <c r="O19" s="25">
        <v>0.182397253978206</v>
      </c>
      <c r="P19" s="25">
        <v>0.321478427661326</v>
      </c>
      <c r="Q19" s="25">
        <v>0.113278340777579</v>
      </c>
      <c r="R19" s="25">
        <v>0.323671949303782</v>
      </c>
      <c r="S19" s="25">
        <v>0.0490812677272166</v>
      </c>
      <c r="T19" s="25">
        <v>0.0725190954426446</v>
      </c>
      <c r="U19" s="25">
        <v>-0.00200396593257917</v>
      </c>
      <c r="V19" s="25">
        <v>0.384211946930216</v>
      </c>
      <c r="W19" s="25">
        <v>0.022273823269714</v>
      </c>
      <c r="X19" s="25">
        <v>0.0111429699706402</v>
      </c>
      <c r="Y19" s="25">
        <v>0.546455668474401</v>
      </c>
      <c r="Z19" s="25">
        <v>0.0415301226476404</v>
      </c>
      <c r="AA19" s="25">
        <v>0.409683644231331</v>
      </c>
      <c r="AB19" s="25">
        <v>-0.264452027298274</v>
      </c>
      <c r="AC19" s="25">
        <v>0.193640579809354</v>
      </c>
      <c r="AD19" s="25">
        <v>0.734251413477377</v>
      </c>
      <c r="AE19" s="25">
        <v>-0.49161838372865</v>
      </c>
      <c r="AF19" s="25">
        <v>0.32552</v>
      </c>
      <c r="AG19" s="25" t="s">
        <v>113</v>
      </c>
      <c r="AH19" s="25" t="s">
        <v>113</v>
      </c>
      <c r="AI19" s="25" t="s">
        <v>113</v>
      </c>
      <c r="AJ19" s="25" t="s">
        <v>113</v>
      </c>
      <c r="AK19" s="25" t="s">
        <v>113</v>
      </c>
      <c r="AL19" s="25" t="s">
        <v>113</v>
      </c>
      <c r="AM19" s="365" t="s">
        <v>113</v>
      </c>
      <c r="AN19" s="65">
        <v>0.97</v>
      </c>
      <c r="AO19" s="65">
        <v>0.93</v>
      </c>
      <c r="AP19" s="65">
        <v>23.34</v>
      </c>
      <c r="AQ19" s="65">
        <v>3.48</v>
      </c>
      <c r="AS19" s="379" t="s">
        <v>127</v>
      </c>
      <c r="AT19" s="382">
        <v>0.63</v>
      </c>
      <c r="AU19" s="383">
        <v>45716</v>
      </c>
      <c r="AV19" s="382">
        <v>13421.3705</v>
      </c>
      <c r="AW19" s="387"/>
      <c r="AX19" s="394">
        <v>0.011061</v>
      </c>
      <c r="AY19" s="394">
        <v>0.021775</v>
      </c>
      <c r="AZ19" s="394">
        <v>0.037649</v>
      </c>
      <c r="BA19" s="394">
        <v>0.079011</v>
      </c>
      <c r="BB19" s="394">
        <v>0.063857</v>
      </c>
      <c r="BC19" s="394">
        <v>0.063167</v>
      </c>
      <c r="BD19" s="394">
        <v>0.072341</v>
      </c>
      <c r="BE19" s="395"/>
      <c r="BF19" s="394">
        <v>0.021775</v>
      </c>
      <c r="BG19" s="394">
        <v>0.0757935729822657</v>
      </c>
      <c r="BH19" s="394">
        <v>0.0673789243124848</v>
      </c>
      <c r="BI19" s="394">
        <v>0.036192339893279</v>
      </c>
      <c r="BJ19" s="394">
        <v>0.034072003379559</v>
      </c>
      <c r="BK19" s="394">
        <v>0.109284875412928</v>
      </c>
      <c r="BL19" s="394">
        <v>0.112011065362841</v>
      </c>
      <c r="BM19" s="394">
        <v>0.0734954902692027</v>
      </c>
      <c r="BN19" s="394">
        <v>0.0550099090697131</v>
      </c>
      <c r="BO19" s="394">
        <v>0.0799276103548667</v>
      </c>
      <c r="BP19" s="394">
        <v>0.085404389785635</v>
      </c>
      <c r="BQ19" s="394">
        <v>0.0925530227393604</v>
      </c>
      <c r="BR19" s="394">
        <v>0.07171</v>
      </c>
      <c r="BS19" s="394" t="s">
        <v>113</v>
      </c>
      <c r="BT19" s="394" t="s">
        <v>113</v>
      </c>
      <c r="BU19" s="394" t="s">
        <v>113</v>
      </c>
    </row>
    <row r="20" spans="2:73">
      <c r="B20" s="339" t="s">
        <v>128</v>
      </c>
      <c r="C20" s="343">
        <v>1.9</v>
      </c>
      <c r="D20" s="344">
        <v>45838</v>
      </c>
      <c r="E20" s="345">
        <v>2753.2825</v>
      </c>
      <c r="F20" s="9">
        <v>-0.025314</v>
      </c>
      <c r="G20" s="10">
        <v>0.065384</v>
      </c>
      <c r="H20" s="10">
        <v>0.045383</v>
      </c>
      <c r="I20" s="10">
        <v>-0.070916</v>
      </c>
      <c r="J20" s="10" t="s">
        <v>113</v>
      </c>
      <c r="K20" s="10" t="s">
        <v>113</v>
      </c>
      <c r="L20" s="23" t="s">
        <v>113</v>
      </c>
      <c r="M20" s="20"/>
      <c r="N20" s="24">
        <v>0.015821</v>
      </c>
      <c r="O20" s="25">
        <v>0.141805519852305</v>
      </c>
      <c r="P20" s="25">
        <v>0.268470302263767</v>
      </c>
      <c r="Q20" s="25">
        <v>0.01203</v>
      </c>
      <c r="R20" s="25" t="s">
        <v>113</v>
      </c>
      <c r="S20" s="25" t="s">
        <v>113</v>
      </c>
      <c r="T20" s="25" t="s">
        <v>113</v>
      </c>
      <c r="U20" s="25" t="s">
        <v>113</v>
      </c>
      <c r="V20" s="25" t="s">
        <v>113</v>
      </c>
      <c r="W20" s="25" t="s">
        <v>113</v>
      </c>
      <c r="X20" s="25" t="s">
        <v>113</v>
      </c>
      <c r="Y20" s="25" t="s">
        <v>113</v>
      </c>
      <c r="Z20" s="25" t="s">
        <v>113</v>
      </c>
      <c r="AA20" s="25" t="s">
        <v>113</v>
      </c>
      <c r="AB20" s="25" t="s">
        <v>113</v>
      </c>
      <c r="AC20" s="25" t="s">
        <v>113</v>
      </c>
      <c r="AD20" s="25" t="s">
        <v>113</v>
      </c>
      <c r="AE20" s="25" t="s">
        <v>113</v>
      </c>
      <c r="AF20" s="25" t="s">
        <v>113</v>
      </c>
      <c r="AG20" s="25" t="s">
        <v>113</v>
      </c>
      <c r="AH20" s="25" t="s">
        <v>113</v>
      </c>
      <c r="AI20" s="25" t="s">
        <v>113</v>
      </c>
      <c r="AJ20" s="25" t="s">
        <v>113</v>
      </c>
      <c r="AK20" s="25" t="s">
        <v>113</v>
      </c>
      <c r="AL20" s="25" t="s">
        <v>113</v>
      </c>
      <c r="AM20" s="365" t="s">
        <v>113</v>
      </c>
      <c r="AS20" s="379" t="s">
        <v>129</v>
      </c>
      <c r="AT20" s="382">
        <v>0.79</v>
      </c>
      <c r="AU20" s="383">
        <v>45716</v>
      </c>
      <c r="AV20" s="382">
        <v>25.4039</v>
      </c>
      <c r="AW20" s="387"/>
      <c r="AX20" s="394">
        <v>0.014231</v>
      </c>
      <c r="AY20" s="394">
        <v>0.023712</v>
      </c>
      <c r="AZ20" s="394">
        <v>0.038273</v>
      </c>
      <c r="BA20" s="394">
        <v>0.079998</v>
      </c>
      <c r="BB20" s="394">
        <v>0.057487</v>
      </c>
      <c r="BC20" s="394" t="s">
        <v>113</v>
      </c>
      <c r="BD20" s="394" t="s">
        <v>113</v>
      </c>
      <c r="BE20" s="395"/>
      <c r="BF20" s="394">
        <v>0.023712</v>
      </c>
      <c r="BG20" s="394">
        <v>0.0781679580104974</v>
      </c>
      <c r="BH20" s="394">
        <v>0.0628741662792572</v>
      </c>
      <c r="BI20" s="394">
        <v>0.0169915090698572</v>
      </c>
      <c r="BJ20" s="394">
        <v>0.034176520480966</v>
      </c>
      <c r="BK20" s="394">
        <v>0.00214999999999996</v>
      </c>
      <c r="BL20" s="394" t="s">
        <v>113</v>
      </c>
      <c r="BM20" s="394" t="s">
        <v>113</v>
      </c>
      <c r="BN20" s="394" t="s">
        <v>113</v>
      </c>
      <c r="BO20" s="394" t="s">
        <v>113</v>
      </c>
      <c r="BP20" s="394" t="s">
        <v>113</v>
      </c>
      <c r="BQ20" s="394" t="s">
        <v>113</v>
      </c>
      <c r="BR20" s="394" t="s">
        <v>113</v>
      </c>
      <c r="BS20" s="394" t="s">
        <v>113</v>
      </c>
      <c r="BT20" s="394" t="s">
        <v>113</v>
      </c>
      <c r="BU20" s="394" t="s">
        <v>113</v>
      </c>
    </row>
    <row r="21" spans="2:73">
      <c r="B21" s="339" t="s">
        <v>130</v>
      </c>
      <c r="C21" s="343">
        <v>1.48</v>
      </c>
      <c r="D21" s="344">
        <v>45838</v>
      </c>
      <c r="E21" s="345">
        <v>53959.0806</v>
      </c>
      <c r="F21" s="9">
        <v>-0.019714</v>
      </c>
      <c r="G21" s="10">
        <v>0.034552</v>
      </c>
      <c r="H21" s="10">
        <v>0.066194</v>
      </c>
      <c r="I21" s="10">
        <v>0.010644</v>
      </c>
      <c r="J21" s="10">
        <v>0.151055</v>
      </c>
      <c r="K21" s="10">
        <v>0.195883</v>
      </c>
      <c r="L21" s="23">
        <v>0.121038</v>
      </c>
      <c r="M21" s="20"/>
      <c r="N21" s="24">
        <v>0.050959</v>
      </c>
      <c r="O21" s="25">
        <v>0.124520864117</v>
      </c>
      <c r="P21" s="25">
        <v>0.226217714612575</v>
      </c>
      <c r="Q21" s="25">
        <v>0.0435743745746452</v>
      </c>
      <c r="R21" s="25">
        <v>0.260831987627084</v>
      </c>
      <c r="S21" s="25">
        <v>0.163394369178662</v>
      </c>
      <c r="T21" s="25">
        <v>0.116370999360864</v>
      </c>
      <c r="U21" s="25">
        <v>-0.0410957493105215</v>
      </c>
      <c r="V21" s="25">
        <v>0.302292124281091</v>
      </c>
      <c r="W21" s="25">
        <v>0.0482807836575137</v>
      </c>
      <c r="X21" s="25">
        <v>0.0798967408841562</v>
      </c>
      <c r="Y21" s="25">
        <v>0.478580329377954</v>
      </c>
      <c r="Z21" s="25">
        <v>0.0758091787439615</v>
      </c>
      <c r="AA21" s="25">
        <v>0.382303839732888</v>
      </c>
      <c r="AB21" s="25">
        <v>-0.24225173940544</v>
      </c>
      <c r="AC21" s="25">
        <v>0.118895966029724</v>
      </c>
      <c r="AD21" s="25">
        <v>0.878989361702128</v>
      </c>
      <c r="AE21" s="25">
        <v>-0.550239234449761</v>
      </c>
      <c r="AF21" s="25">
        <v>0.427839453458582</v>
      </c>
      <c r="AG21" s="25">
        <v>0.171</v>
      </c>
      <c r="AH21" s="25" t="s">
        <v>113</v>
      </c>
      <c r="AI21" s="25" t="s">
        <v>113</v>
      </c>
      <c r="AJ21" s="25" t="s">
        <v>113</v>
      </c>
      <c r="AK21" s="25" t="s">
        <v>113</v>
      </c>
      <c r="AL21" s="25" t="s">
        <v>113</v>
      </c>
      <c r="AM21" s="365" t="s">
        <v>113</v>
      </c>
      <c r="AS21" s="379" t="s">
        <v>131</v>
      </c>
      <c r="AT21" s="382">
        <v>0.71</v>
      </c>
      <c r="AU21" s="383">
        <v>45716</v>
      </c>
      <c r="AV21" s="382">
        <v>230.0894</v>
      </c>
      <c r="AW21" s="387"/>
      <c r="AX21" s="394">
        <v>0.010766</v>
      </c>
      <c r="AY21" s="394">
        <v>0.020533</v>
      </c>
      <c r="AZ21" s="394">
        <v>0.035901</v>
      </c>
      <c r="BA21" s="394">
        <v>0.076772</v>
      </c>
      <c r="BB21" s="394" t="s">
        <v>113</v>
      </c>
      <c r="BC21" s="394" t="s">
        <v>113</v>
      </c>
      <c r="BD21" s="394" t="s">
        <v>113</v>
      </c>
      <c r="BE21" s="395"/>
      <c r="BF21" s="394">
        <v>0.020533</v>
      </c>
      <c r="BG21" s="394">
        <v>0.0766203875566115</v>
      </c>
      <c r="BH21" s="394">
        <v>0.0621716200897037</v>
      </c>
      <c r="BI21" s="394">
        <v>0.0144500000000001</v>
      </c>
      <c r="BJ21" s="394" t="s">
        <v>113</v>
      </c>
      <c r="BK21" s="394" t="s">
        <v>113</v>
      </c>
      <c r="BL21" s="394" t="s">
        <v>113</v>
      </c>
      <c r="BM21" s="394" t="s">
        <v>113</v>
      </c>
      <c r="BN21" s="394" t="s">
        <v>113</v>
      </c>
      <c r="BO21" s="394" t="s">
        <v>113</v>
      </c>
      <c r="BP21" s="394" t="s">
        <v>113</v>
      </c>
      <c r="BQ21" s="394" t="s">
        <v>113</v>
      </c>
      <c r="BR21" s="394" t="s">
        <v>113</v>
      </c>
      <c r="BS21" s="394" t="s">
        <v>113</v>
      </c>
      <c r="BT21" s="394" t="s">
        <v>113</v>
      </c>
      <c r="BU21" s="394" t="s">
        <v>113</v>
      </c>
    </row>
    <row r="22" spans="2:73">
      <c r="B22" s="339" t="s">
        <v>132</v>
      </c>
      <c r="C22" s="343">
        <v>2</v>
      </c>
      <c r="D22" s="344">
        <v>45838</v>
      </c>
      <c r="E22" s="345">
        <v>2701.7775813251</v>
      </c>
      <c r="F22" s="9">
        <v>-0.029866</v>
      </c>
      <c r="G22" s="10">
        <v>0.018921</v>
      </c>
      <c r="H22" s="10">
        <v>0.042854</v>
      </c>
      <c r="I22" s="10">
        <v>-0.041784</v>
      </c>
      <c r="J22" s="10">
        <v>0.149555</v>
      </c>
      <c r="K22" s="10">
        <v>0.193573</v>
      </c>
      <c r="L22" s="23">
        <v>0.111409</v>
      </c>
      <c r="M22" s="20"/>
      <c r="N22" s="24">
        <v>0.023155</v>
      </c>
      <c r="O22" s="25">
        <v>0.12893307155409</v>
      </c>
      <c r="P22" s="25">
        <v>0.24539160189438</v>
      </c>
      <c r="Q22" s="25">
        <v>0.0331172790114473</v>
      </c>
      <c r="R22" s="25">
        <v>0.326709011785516</v>
      </c>
      <c r="S22" s="25">
        <v>0.0833411301584662</v>
      </c>
      <c r="T22" s="25">
        <v>0.121051052130143</v>
      </c>
      <c r="U22" s="25">
        <v>-0.0364834889251655</v>
      </c>
      <c r="V22" s="25">
        <v>0.295384171549129</v>
      </c>
      <c r="W22" s="25">
        <v>0.0289633366801573</v>
      </c>
      <c r="X22" s="25">
        <v>0.0133840432981188</v>
      </c>
      <c r="Y22" s="25">
        <v>0.360478733008334</v>
      </c>
      <c r="Z22" s="25">
        <v>0.0796187123885072</v>
      </c>
      <c r="AA22" s="25">
        <v>0.284671193377359</v>
      </c>
      <c r="AB22" s="25">
        <v>-0.212238893460641</v>
      </c>
      <c r="AC22" s="25">
        <v>0.189545930990093</v>
      </c>
      <c r="AD22" s="25">
        <v>0.771760284943269</v>
      </c>
      <c r="AE22" s="25">
        <v>-0.492136957706486</v>
      </c>
      <c r="AF22" s="25">
        <v>0.613193943178773</v>
      </c>
      <c r="AG22" s="25">
        <v>0.426289281111985</v>
      </c>
      <c r="AH22" s="25">
        <v>0.443542354088461</v>
      </c>
      <c r="AI22" s="25">
        <v>0.292800027632421</v>
      </c>
      <c r="AJ22" s="25">
        <v>1.40645845022131</v>
      </c>
      <c r="AK22" s="25">
        <v>0.0638678869876625</v>
      </c>
      <c r="AL22" s="25">
        <v>-0.238478438370693</v>
      </c>
      <c r="AM22" s="365">
        <v>-0.0659648472389383</v>
      </c>
      <c r="AS22" s="379" t="s">
        <v>133</v>
      </c>
      <c r="AT22" s="382">
        <v>0.72</v>
      </c>
      <c r="AU22" s="383">
        <v>45716</v>
      </c>
      <c r="AV22" s="382">
        <v>3211.4465</v>
      </c>
      <c r="AW22" s="387"/>
      <c r="AX22" s="394">
        <v>0.016883</v>
      </c>
      <c r="AY22" s="394">
        <v>0.022519</v>
      </c>
      <c r="AZ22" s="394">
        <v>0.034762</v>
      </c>
      <c r="BA22" s="394">
        <v>0.083187</v>
      </c>
      <c r="BB22" s="394">
        <v>0.066645</v>
      </c>
      <c r="BC22" s="394">
        <v>0.06364</v>
      </c>
      <c r="BD22" s="394">
        <v>0.072591</v>
      </c>
      <c r="BE22" s="395"/>
      <c r="BF22" s="394">
        <v>0.022519</v>
      </c>
      <c r="BG22" s="394">
        <v>0.0863788625842148</v>
      </c>
      <c r="BH22" s="394">
        <v>0.067103109656301</v>
      </c>
      <c r="BI22" s="394">
        <v>0.0320678559770359</v>
      </c>
      <c r="BJ22" s="394">
        <v>0.0310109406384889</v>
      </c>
      <c r="BK22" s="394">
        <v>0.109009905682734</v>
      </c>
      <c r="BL22" s="394">
        <v>0.0992354481159723</v>
      </c>
      <c r="BM22" s="394">
        <v>0.063312351552167</v>
      </c>
      <c r="BN22" s="394">
        <v>0.0542026192457623</v>
      </c>
      <c r="BO22" s="394">
        <v>0.106108442004118</v>
      </c>
      <c r="BP22" s="394">
        <v>0.0859786039985969</v>
      </c>
      <c r="BQ22" s="394">
        <v>0.104214878433727</v>
      </c>
      <c r="BR22" s="394">
        <v>0.03277</v>
      </c>
      <c r="BS22" s="394" t="s">
        <v>113</v>
      </c>
      <c r="BT22" s="394" t="s">
        <v>113</v>
      </c>
      <c r="BU22" s="394" t="s">
        <v>113</v>
      </c>
    </row>
    <row r="23" spans="2:73">
      <c r="B23" s="339" t="s">
        <v>134</v>
      </c>
      <c r="C23" s="343">
        <v>1.74</v>
      </c>
      <c r="D23" s="344">
        <v>45838</v>
      </c>
      <c r="E23" s="345">
        <v>13074.2632</v>
      </c>
      <c r="F23" s="9">
        <v>-0.023264</v>
      </c>
      <c r="G23" s="10">
        <v>0.022039</v>
      </c>
      <c r="H23" s="10">
        <v>0.047724</v>
      </c>
      <c r="I23" s="10">
        <v>-0.009849</v>
      </c>
      <c r="J23" s="10">
        <v>0.13088</v>
      </c>
      <c r="K23" s="10">
        <v>0.178196</v>
      </c>
      <c r="L23" s="23">
        <v>0.112141</v>
      </c>
      <c r="M23" s="20"/>
      <c r="N23" s="24">
        <v>0.040083</v>
      </c>
      <c r="O23" s="25">
        <v>0.112149767430377</v>
      </c>
      <c r="P23" s="25">
        <v>0.207814843359172</v>
      </c>
      <c r="Q23" s="25">
        <v>-0.0179476576302285</v>
      </c>
      <c r="R23" s="25">
        <v>0.295623680195939</v>
      </c>
      <c r="S23" s="25">
        <v>0.186715864866942</v>
      </c>
      <c r="T23" s="25">
        <v>0.106917314813144</v>
      </c>
      <c r="U23" s="25">
        <v>-0.00388447246758161</v>
      </c>
      <c r="V23" s="25">
        <v>0.295721894291792</v>
      </c>
      <c r="W23" s="25">
        <v>0.0360092660259503</v>
      </c>
      <c r="X23" s="25">
        <v>-0.00485977546693863</v>
      </c>
      <c r="Y23" s="25">
        <v>0.432925670317283</v>
      </c>
      <c r="Z23" s="25">
        <v>0.0590109318063508</v>
      </c>
      <c r="AA23" s="25">
        <v>0.250651041666667</v>
      </c>
      <c r="AB23" s="25">
        <v>-0.197212543554007</v>
      </c>
      <c r="AC23" s="25">
        <v>0.184726522187822</v>
      </c>
      <c r="AD23" s="25">
        <v>0.741552839683681</v>
      </c>
      <c r="AE23" s="25">
        <v>-0.503036798856734</v>
      </c>
      <c r="AF23" s="25">
        <v>0.625435540069686</v>
      </c>
      <c r="AG23" s="25">
        <v>0.269911504424779</v>
      </c>
      <c r="AH23" s="25">
        <v>0.176062445793582</v>
      </c>
      <c r="AI23" s="25" t="s">
        <v>113</v>
      </c>
      <c r="AJ23" s="25" t="s">
        <v>113</v>
      </c>
      <c r="AK23" s="25" t="s">
        <v>113</v>
      </c>
      <c r="AL23" s="25" t="s">
        <v>113</v>
      </c>
      <c r="AM23" s="365" t="s">
        <v>113</v>
      </c>
      <c r="AS23" s="379" t="s">
        <v>135</v>
      </c>
      <c r="AT23" s="382">
        <v>0.7</v>
      </c>
      <c r="AU23" s="383">
        <v>45716</v>
      </c>
      <c r="AV23" s="382">
        <v>263.6194</v>
      </c>
      <c r="AW23" s="387"/>
      <c r="AX23" s="394">
        <v>0.016354</v>
      </c>
      <c r="AY23" s="394">
        <v>0.025413</v>
      </c>
      <c r="AZ23" s="394">
        <v>0.03911</v>
      </c>
      <c r="BA23" s="394">
        <v>0.084519</v>
      </c>
      <c r="BB23" s="394">
        <v>0.06375</v>
      </c>
      <c r="BC23" s="394">
        <v>0.065044</v>
      </c>
      <c r="BD23" s="394">
        <v>0.07529</v>
      </c>
      <c r="BE23" s="395"/>
      <c r="BF23" s="394">
        <v>0.025413</v>
      </c>
      <c r="BG23" s="394">
        <v>0.0818630131949648</v>
      </c>
      <c r="BH23" s="394">
        <v>0.0639651445951629</v>
      </c>
      <c r="BI23" s="394">
        <v>0.0258182639010809</v>
      </c>
      <c r="BJ23" s="394">
        <v>0.0453032011116064</v>
      </c>
      <c r="BK23" s="394">
        <v>0.129192693685426</v>
      </c>
      <c r="BL23" s="394">
        <v>0.129218816859221</v>
      </c>
      <c r="BM23" s="394">
        <v>0.0585812259804234</v>
      </c>
      <c r="BN23" s="394">
        <v>0.0600588208814129</v>
      </c>
      <c r="BO23" s="394">
        <v>0.0803585902798042</v>
      </c>
      <c r="BP23" s="394">
        <v>0.0833604088550127</v>
      </c>
      <c r="BQ23" s="394">
        <v>0.107524581076218</v>
      </c>
      <c r="BR23" s="394">
        <v>0.0282299999999999</v>
      </c>
      <c r="BS23" s="394" t="s">
        <v>113</v>
      </c>
      <c r="BT23" s="394" t="s">
        <v>113</v>
      </c>
      <c r="BU23" s="394" t="s">
        <v>113</v>
      </c>
    </row>
    <row r="24" ht="14.55" spans="2:73">
      <c r="B24" s="339" t="s">
        <v>136</v>
      </c>
      <c r="C24" s="346">
        <v>0.05</v>
      </c>
      <c r="D24" s="347">
        <v>45838</v>
      </c>
      <c r="E24" s="348">
        <v>64150.2101</v>
      </c>
      <c r="F24" s="9">
        <v>-0.027639</v>
      </c>
      <c r="G24" s="10">
        <v>0.024295</v>
      </c>
      <c r="H24" s="10">
        <v>0.061562</v>
      </c>
      <c r="I24" s="10">
        <v>0.004964</v>
      </c>
      <c r="J24" s="10">
        <v>0.142216</v>
      </c>
      <c r="K24" s="10">
        <v>0.187925</v>
      </c>
      <c r="L24" s="23" t="s">
        <v>113</v>
      </c>
      <c r="M24" s="20"/>
      <c r="N24" s="24">
        <v>0.056746</v>
      </c>
      <c r="O24" s="25">
        <v>0.099910956235848</v>
      </c>
      <c r="P24" s="25">
        <v>0.21254110292327</v>
      </c>
      <c r="Q24" s="25">
        <v>0.0561577319894555</v>
      </c>
      <c r="R24" s="25">
        <v>0.254947463963311</v>
      </c>
      <c r="S24" s="25">
        <v>0.156937059600491</v>
      </c>
      <c r="T24" s="25">
        <v>0.134539623144386</v>
      </c>
      <c r="U24" s="25">
        <v>0.0452801364919924</v>
      </c>
      <c r="V24" s="25">
        <v>0.303093591353214</v>
      </c>
      <c r="W24" s="25">
        <v>0.0467803825376297</v>
      </c>
      <c r="X24" s="25">
        <v>0.0219399982403575</v>
      </c>
      <c r="Y24" s="25" t="s">
        <v>113</v>
      </c>
      <c r="Z24" s="25" t="s">
        <v>113</v>
      </c>
      <c r="AA24" s="25" t="s">
        <v>113</v>
      </c>
      <c r="AB24" s="25" t="s">
        <v>113</v>
      </c>
      <c r="AC24" s="25" t="s">
        <v>113</v>
      </c>
      <c r="AD24" s="25" t="s">
        <v>113</v>
      </c>
      <c r="AE24" s="25" t="s">
        <v>113</v>
      </c>
      <c r="AF24" s="25" t="s">
        <v>113</v>
      </c>
      <c r="AG24" s="25" t="s">
        <v>113</v>
      </c>
      <c r="AH24" s="25" t="s">
        <v>113</v>
      </c>
      <c r="AI24" s="25" t="s">
        <v>113</v>
      </c>
      <c r="AJ24" s="25" t="s">
        <v>113</v>
      </c>
      <c r="AK24" s="25" t="s">
        <v>113</v>
      </c>
      <c r="AL24" s="25" t="s">
        <v>113</v>
      </c>
      <c r="AM24" s="365" t="s">
        <v>113</v>
      </c>
      <c r="AS24" s="379" t="s">
        <v>137</v>
      </c>
      <c r="AT24" s="382">
        <v>0.51</v>
      </c>
      <c r="AU24" s="383">
        <v>45716</v>
      </c>
      <c r="AV24" s="382">
        <v>587.342954206</v>
      </c>
      <c r="AW24" s="387"/>
      <c r="AX24" s="394">
        <v>0.010765</v>
      </c>
      <c r="AY24" s="394">
        <v>0.020875</v>
      </c>
      <c r="AZ24" s="394">
        <v>0.037637</v>
      </c>
      <c r="BA24" s="394">
        <v>0.078652</v>
      </c>
      <c r="BB24" s="394">
        <v>0.063335</v>
      </c>
      <c r="BC24" s="394">
        <v>0.058892</v>
      </c>
      <c r="BD24" s="394">
        <v>0.071208</v>
      </c>
      <c r="BE24" s="395"/>
      <c r="BF24" s="394">
        <v>0.020875</v>
      </c>
      <c r="BG24" s="394">
        <v>0.0770259910106278</v>
      </c>
      <c r="BH24" s="394">
        <v>0.0683622503332459</v>
      </c>
      <c r="BI24" s="394">
        <v>0.0327005152473408</v>
      </c>
      <c r="BJ24" s="394">
        <v>0.0369232356701044</v>
      </c>
      <c r="BK24" s="394">
        <v>0.0913259720354091</v>
      </c>
      <c r="BL24" s="394">
        <v>0.111957482034908</v>
      </c>
      <c r="BM24" s="394">
        <v>0.0685979349256261</v>
      </c>
      <c r="BN24" s="394">
        <v>0.0633892999430848</v>
      </c>
      <c r="BO24" s="394">
        <v>0.0965544142504225</v>
      </c>
      <c r="BP24" s="394">
        <v>0.0726339572117933</v>
      </c>
      <c r="BQ24" s="394">
        <v>0.07553</v>
      </c>
      <c r="BR24" s="394" t="s">
        <v>113</v>
      </c>
      <c r="BS24" s="394" t="s">
        <v>113</v>
      </c>
      <c r="BT24" s="394" t="s">
        <v>113</v>
      </c>
      <c r="BU24" s="394" t="s">
        <v>113</v>
      </c>
    </row>
    <row r="25" spans="2:73">
      <c r="B25" s="4" t="s">
        <v>138</v>
      </c>
      <c r="F25" s="6">
        <v>-0.029931</v>
      </c>
      <c r="G25" s="7">
        <v>0.023115</v>
      </c>
      <c r="H25" s="7">
        <v>0.054214</v>
      </c>
      <c r="I25" s="7">
        <v>-0.018044</v>
      </c>
      <c r="J25" s="7">
        <v>0.139445</v>
      </c>
      <c r="K25" s="7">
        <v>0.183864</v>
      </c>
      <c r="L25" s="19">
        <v>0.11603</v>
      </c>
      <c r="M25" s="20"/>
      <c r="N25" s="21">
        <v>0.035912</v>
      </c>
      <c r="O25" s="22">
        <v>0.119583343943169</v>
      </c>
      <c r="P25" s="22">
        <v>0.21490819352006</v>
      </c>
      <c r="Q25" s="22">
        <v>0.045369467323215</v>
      </c>
      <c r="R25" s="22">
        <v>0.249994503729308</v>
      </c>
      <c r="S25" s="22">
        <v>0.152357882641574</v>
      </c>
      <c r="T25" s="22">
        <v>0.0963325932576055</v>
      </c>
      <c r="U25" s="22">
        <v>0.0118986960755337</v>
      </c>
      <c r="V25" s="22">
        <v>0.315152938763684</v>
      </c>
      <c r="W25" s="22">
        <v>0.0357045385220505</v>
      </c>
      <c r="X25" s="22">
        <v>-0.0324640022367543</v>
      </c>
      <c r="Y25" s="22">
        <v>0.322845012897678</v>
      </c>
      <c r="Z25" s="22">
        <v>0.0587341484067246</v>
      </c>
      <c r="AA25" s="22">
        <v>0.299579619025664</v>
      </c>
      <c r="AB25" s="22">
        <v>-0.257336255614543</v>
      </c>
      <c r="AC25" s="22">
        <v>0.15659330908629</v>
      </c>
      <c r="AD25" s="22">
        <v>0.850369504953233</v>
      </c>
      <c r="AE25" s="22">
        <v>-0.552814136530293</v>
      </c>
      <c r="AF25" s="22">
        <v>0.597449800981757</v>
      </c>
      <c r="AG25" s="22">
        <v>0.40968359497372</v>
      </c>
      <c r="AH25" s="22">
        <v>0.383463353558702</v>
      </c>
      <c r="AI25" s="22">
        <v>0.164392010855547</v>
      </c>
      <c r="AJ25" s="22">
        <v>0.847127424884258</v>
      </c>
      <c r="AK25" s="22">
        <v>0.0689998782094575</v>
      </c>
      <c r="AL25" s="22">
        <v>-0.23372755964299</v>
      </c>
      <c r="AM25" s="366">
        <v>-0.225673367494416</v>
      </c>
      <c r="AS25" s="379" t="s">
        <v>139</v>
      </c>
      <c r="AT25" s="382">
        <v>0.74</v>
      </c>
      <c r="AU25" s="383">
        <v>45716</v>
      </c>
      <c r="AV25" s="382">
        <v>5836.8354</v>
      </c>
      <c r="AW25" s="387"/>
      <c r="AX25" s="394">
        <v>0.013555</v>
      </c>
      <c r="AY25" s="394">
        <v>0.022796</v>
      </c>
      <c r="AZ25" s="394">
        <v>0.038329</v>
      </c>
      <c r="BA25" s="394">
        <v>0.080927</v>
      </c>
      <c r="BB25" s="394">
        <v>0.064865</v>
      </c>
      <c r="BC25" s="394">
        <v>0.063823</v>
      </c>
      <c r="BD25" s="394">
        <v>0.073895</v>
      </c>
      <c r="BE25" s="395"/>
      <c r="BF25" s="394">
        <v>0.022796</v>
      </c>
      <c r="BG25" s="394">
        <v>0.0785207178869078</v>
      </c>
      <c r="BH25" s="394">
        <v>0.0683126753486035</v>
      </c>
      <c r="BI25" s="394">
        <v>0.0327867966245547</v>
      </c>
      <c r="BJ25" s="394">
        <v>0.0365864592556064</v>
      </c>
      <c r="BK25" s="394">
        <v>0.105656098785014</v>
      </c>
      <c r="BL25" s="394">
        <v>0.10229267259925</v>
      </c>
      <c r="BM25" s="394">
        <v>0.0586810501276147</v>
      </c>
      <c r="BN25" s="394">
        <v>0.0632293476422564</v>
      </c>
      <c r="BO25" s="394">
        <v>0.108297620366189</v>
      </c>
      <c r="BP25" s="394">
        <v>0.0975509402556598</v>
      </c>
      <c r="BQ25" s="394">
        <v>0.0693899999999999</v>
      </c>
      <c r="BR25" s="394" t="s">
        <v>113</v>
      </c>
      <c r="BS25" s="394" t="s">
        <v>113</v>
      </c>
      <c r="BT25" s="394" t="s">
        <v>113</v>
      </c>
      <c r="BU25" s="394" t="s">
        <v>113</v>
      </c>
    </row>
    <row r="26" spans="2:73">
      <c r="B26" s="8" t="s">
        <v>140</v>
      </c>
      <c r="F26" s="9">
        <v>-0.028956</v>
      </c>
      <c r="G26" s="10">
        <v>0.011756</v>
      </c>
      <c r="H26" s="10">
        <v>0.047548</v>
      </c>
      <c r="I26" s="10">
        <v>-0.006799</v>
      </c>
      <c r="J26" s="10">
        <v>0.121048</v>
      </c>
      <c r="K26" s="10">
        <v>0.166288</v>
      </c>
      <c r="L26" s="23">
        <v>0.111775</v>
      </c>
      <c r="M26" s="20"/>
      <c r="N26" s="24">
        <v>0.038989</v>
      </c>
      <c r="O26" s="25">
        <v>0.0816546064479834</v>
      </c>
      <c r="P26" s="25">
        <v>0.187366557342991</v>
      </c>
      <c r="Q26" s="25">
        <v>0.0444077315444721</v>
      </c>
      <c r="R26" s="25">
        <v>0.219941308441042</v>
      </c>
      <c r="S26" s="25">
        <v>0.157503053056523</v>
      </c>
      <c r="T26" s="25">
        <v>0.143766290260736</v>
      </c>
      <c r="U26" s="25">
        <v>0.0590630425673793</v>
      </c>
      <c r="V26" s="25">
        <v>0.27905962715284</v>
      </c>
      <c r="W26" s="25">
        <v>0.0194857555497186</v>
      </c>
      <c r="X26" s="25">
        <v>-0.0502512416625513</v>
      </c>
      <c r="Y26" s="25">
        <v>0.298938909850794</v>
      </c>
      <c r="Z26" s="25">
        <v>0.0897717626916756</v>
      </c>
      <c r="AA26" s="25">
        <v>0.256991948195138</v>
      </c>
      <c r="AB26" s="25">
        <v>-0.246435604895195</v>
      </c>
      <c r="AC26" s="25">
        <v>0.174309368381334</v>
      </c>
      <c r="AD26" s="25">
        <v>0.810329511542596</v>
      </c>
      <c r="AE26" s="25">
        <v>-0.524458285827518</v>
      </c>
      <c r="AF26" s="25">
        <v>0.4714675006945</v>
      </c>
      <c r="AG26" s="25">
        <v>0.467015608756396</v>
      </c>
      <c r="AH26" s="25">
        <v>0.423348665468165</v>
      </c>
      <c r="AI26" s="25">
        <v>0.130798977900174</v>
      </c>
      <c r="AJ26" s="25">
        <v>0.728894258101194</v>
      </c>
      <c r="AK26" s="25">
        <v>0.0352355525038853</v>
      </c>
      <c r="AL26" s="25">
        <v>-0.178692990141285</v>
      </c>
      <c r="AM26" s="365">
        <v>-0.206499634425529</v>
      </c>
      <c r="AS26" s="379" t="s">
        <v>141</v>
      </c>
      <c r="AT26" s="382">
        <v>0.61</v>
      </c>
      <c r="AU26" s="383">
        <v>45716</v>
      </c>
      <c r="AV26" s="382">
        <v>4246.1157</v>
      </c>
      <c r="AW26" s="387"/>
      <c r="AX26" s="394">
        <v>0.012191</v>
      </c>
      <c r="AY26" s="394">
        <v>0.021556</v>
      </c>
      <c r="AZ26" s="394">
        <v>0.038828</v>
      </c>
      <c r="BA26" s="394">
        <v>0.075843</v>
      </c>
      <c r="BB26" s="394">
        <v>0.054725</v>
      </c>
      <c r="BC26" s="394">
        <v>0.056754</v>
      </c>
      <c r="BD26" s="394">
        <v>0.067779</v>
      </c>
      <c r="BE26" s="395"/>
      <c r="BF26" s="394">
        <v>0.021556</v>
      </c>
      <c r="BG26" s="394">
        <v>0.0726433104825476</v>
      </c>
      <c r="BH26" s="394">
        <v>0.0649407548525885</v>
      </c>
      <c r="BI26" s="394">
        <v>0.0156035956763892</v>
      </c>
      <c r="BJ26" s="394">
        <v>0.0303248837125446</v>
      </c>
      <c r="BK26" s="394">
        <v>0.103995586997566</v>
      </c>
      <c r="BL26" s="394">
        <v>0.095724131055196</v>
      </c>
      <c r="BM26" s="394">
        <v>0.0624569673216463</v>
      </c>
      <c r="BN26" s="394">
        <v>0.0547823718776841</v>
      </c>
      <c r="BO26" s="394">
        <v>0.102655712206728</v>
      </c>
      <c r="BP26" s="394">
        <v>0.077445742350833</v>
      </c>
      <c r="BQ26" s="394">
        <v>0.0870949413324435</v>
      </c>
      <c r="BR26" s="394">
        <v>0.0820947231791698</v>
      </c>
      <c r="BS26" s="394">
        <v>0.0246700000000001</v>
      </c>
      <c r="BT26" s="394">
        <v>-0.19711604081862</v>
      </c>
      <c r="BU26" s="394">
        <v>0.0569321634052375</v>
      </c>
    </row>
    <row r="27" spans="2:73">
      <c r="B27" s="8" t="s">
        <v>142</v>
      </c>
      <c r="F27" s="9">
        <v>-0.029341</v>
      </c>
      <c r="G27" s="10">
        <v>0.017841</v>
      </c>
      <c r="H27" s="10">
        <v>0.053596</v>
      </c>
      <c r="I27" s="10">
        <v>-0.007326</v>
      </c>
      <c r="J27" s="10">
        <v>0.129786</v>
      </c>
      <c r="K27" s="10">
        <v>0.174585</v>
      </c>
      <c r="L27" s="23">
        <v>0.112352</v>
      </c>
      <c r="M27" s="20"/>
      <c r="N27" s="24">
        <v>0.047518</v>
      </c>
      <c r="O27" s="25">
        <v>0.0880476902077809</v>
      </c>
      <c r="P27" s="25">
        <v>0.200278393101744</v>
      </c>
      <c r="Q27" s="25">
        <v>0.0432896067488569</v>
      </c>
      <c r="R27" s="25">
        <v>0.241192983710909</v>
      </c>
      <c r="S27" s="25">
        <v>0.149016514017808</v>
      </c>
      <c r="T27" s="25">
        <v>0.120220390239861</v>
      </c>
      <c r="U27" s="25">
        <v>0.0315126249916908</v>
      </c>
      <c r="V27" s="25">
        <v>0.286459478609299</v>
      </c>
      <c r="W27" s="25">
        <v>0.0301333316554141</v>
      </c>
      <c r="X27" s="25">
        <v>-0.0406087386963189</v>
      </c>
      <c r="Y27" s="25">
        <v>0.313880076142132</v>
      </c>
      <c r="Z27" s="25">
        <v>0.0675517772772687</v>
      </c>
      <c r="AA27" s="25">
        <v>0.276971649763207</v>
      </c>
      <c r="AB27" s="25">
        <v>-0.246181432879615</v>
      </c>
      <c r="AC27" s="25">
        <v>0.179473375568395</v>
      </c>
      <c r="AD27" s="25">
        <v>0.757616207356842</v>
      </c>
      <c r="AE27" s="25">
        <v>-0.517943830840908</v>
      </c>
      <c r="AF27" s="25">
        <v>0.547650262202501</v>
      </c>
      <c r="AG27" s="25">
        <v>0.398318379721845</v>
      </c>
      <c r="AH27" s="25">
        <v>0.363398221581351</v>
      </c>
      <c r="AI27" s="25">
        <v>0.106796116504854</v>
      </c>
      <c r="AJ27" s="25">
        <v>0.719021490626429</v>
      </c>
      <c r="AK27" s="25">
        <v>0.0325291534866154</v>
      </c>
      <c r="AL27" s="25">
        <v>-0.161845593763603</v>
      </c>
      <c r="AM27" s="365">
        <v>-0.146509507244419</v>
      </c>
      <c r="AS27" s="379" t="s">
        <v>143</v>
      </c>
      <c r="AT27" s="382">
        <v>0.74</v>
      </c>
      <c r="AU27" s="383">
        <v>45716</v>
      </c>
      <c r="AV27" s="382">
        <v>10092.2475197444</v>
      </c>
      <c r="AW27" s="387"/>
      <c r="AX27" s="394">
        <v>0.011755</v>
      </c>
      <c r="AY27" s="394">
        <v>0.022022</v>
      </c>
      <c r="AZ27" s="394">
        <v>0.041196</v>
      </c>
      <c r="BA27" s="394">
        <v>0.080557</v>
      </c>
      <c r="BB27" s="394">
        <v>0.070255</v>
      </c>
      <c r="BC27" s="394">
        <v>0.06704</v>
      </c>
      <c r="BD27" s="394">
        <v>0.074984</v>
      </c>
      <c r="BE27" s="395"/>
      <c r="BF27" s="394">
        <v>0.022022</v>
      </c>
      <c r="BG27" s="394">
        <v>0.078957057959195</v>
      </c>
      <c r="BH27" s="394">
        <v>0.0731560502380064</v>
      </c>
      <c r="BI27" s="394">
        <v>0.0426949245869319</v>
      </c>
      <c r="BJ27" s="394">
        <v>0.0422012384273658</v>
      </c>
      <c r="BK27" s="394">
        <v>0.0928775053725715</v>
      </c>
      <c r="BL27" s="394">
        <v>0.10104014757154</v>
      </c>
      <c r="BM27" s="394">
        <v>0.0571761126369419</v>
      </c>
      <c r="BN27" s="394">
        <v>0.0562283643736048</v>
      </c>
      <c r="BO27" s="394">
        <v>0.126219841746977</v>
      </c>
      <c r="BP27" s="394">
        <v>0.0864270021705714</v>
      </c>
      <c r="BQ27" s="394">
        <v>0.104968871652062</v>
      </c>
      <c r="BR27" s="394">
        <v>0.0892703998983579</v>
      </c>
      <c r="BS27" s="394">
        <v>0.0887084921890534</v>
      </c>
      <c r="BT27" s="394">
        <v>0.0911946718991736</v>
      </c>
      <c r="BU27" s="394">
        <v>0.06004</v>
      </c>
    </row>
    <row r="28" ht="14.55" spans="2:73">
      <c r="B28" s="11" t="s">
        <v>144</v>
      </c>
      <c r="F28" s="9">
        <v>-0.027567</v>
      </c>
      <c r="G28" s="10">
        <v>0.040108</v>
      </c>
      <c r="H28" s="10">
        <v>0.06287</v>
      </c>
      <c r="I28" s="10">
        <v>-0.10285</v>
      </c>
      <c r="J28" s="10">
        <v>0.178801</v>
      </c>
      <c r="K28" s="10">
        <v>0.200799</v>
      </c>
      <c r="L28" s="23">
        <v>0.124071</v>
      </c>
      <c r="M28" s="20"/>
      <c r="N28" s="26">
        <v>-0.013123</v>
      </c>
      <c r="O28" s="27">
        <v>0.274507524712643</v>
      </c>
      <c r="P28" s="27">
        <v>0.264464855976808</v>
      </c>
      <c r="Q28" s="27">
        <v>-0.000716520717515556</v>
      </c>
      <c r="R28" s="27">
        <v>0.298670657411666</v>
      </c>
      <c r="S28" s="27">
        <v>0.148405637365297</v>
      </c>
      <c r="T28" s="27">
        <v>0.00456903771629736</v>
      </c>
      <c r="U28" s="27">
        <v>-0.0899687223979603</v>
      </c>
      <c r="V28" s="27">
        <v>0.447643024446346</v>
      </c>
      <c r="W28" s="27">
        <v>0.0707136439063827</v>
      </c>
      <c r="X28" s="27">
        <v>0.069566916697452</v>
      </c>
      <c r="Y28" s="27">
        <v>0.444161367019117</v>
      </c>
      <c r="Z28" s="27">
        <v>0.0480711180262641</v>
      </c>
      <c r="AA28" s="27">
        <v>0.480847463728984</v>
      </c>
      <c r="AB28" s="27">
        <v>-0.318748697070401</v>
      </c>
      <c r="AC28" s="27">
        <v>0.178118408506458</v>
      </c>
      <c r="AD28" s="27">
        <v>1.27905700550958</v>
      </c>
      <c r="AE28" s="27">
        <v>-0.635201089023682</v>
      </c>
      <c r="AF28" s="27">
        <v>0.757336748119639</v>
      </c>
      <c r="AG28" s="27">
        <v>0.282399011089156</v>
      </c>
      <c r="AH28" s="27">
        <v>0.244346888824018</v>
      </c>
      <c r="AI28" s="27">
        <v>0.307601961417624</v>
      </c>
      <c r="AJ28" s="27">
        <v>1.41017656841584</v>
      </c>
      <c r="AK28" s="27">
        <v>0.0883848109065701</v>
      </c>
      <c r="AL28" s="27">
        <v>-0.464850271016673</v>
      </c>
      <c r="AM28" s="367">
        <v>-0.391021135599177</v>
      </c>
      <c r="AS28" s="379" t="s">
        <v>145</v>
      </c>
      <c r="AT28" s="382">
        <v>0.63</v>
      </c>
      <c r="AU28" s="383">
        <v>45716</v>
      </c>
      <c r="AV28" s="382">
        <v>100.2439</v>
      </c>
      <c r="AW28" s="387"/>
      <c r="AX28" s="394">
        <v>0.014095</v>
      </c>
      <c r="AY28" s="394">
        <v>0.02258</v>
      </c>
      <c r="AZ28" s="394">
        <v>0.036818</v>
      </c>
      <c r="BA28" s="394">
        <v>0.080816</v>
      </c>
      <c r="BB28" s="394">
        <v>0.057694</v>
      </c>
      <c r="BC28" s="394">
        <v>0.05639</v>
      </c>
      <c r="BD28" s="394">
        <v>0.064037</v>
      </c>
      <c r="BE28" s="395"/>
      <c r="BF28" s="394">
        <v>0.02258</v>
      </c>
      <c r="BG28" s="394">
        <v>0.0822403089461926</v>
      </c>
      <c r="BH28" s="394">
        <v>0.0645975324068338</v>
      </c>
      <c r="BI28" s="394">
        <v>0.00706597004071925</v>
      </c>
      <c r="BJ28" s="394">
        <v>0.0342085735698762</v>
      </c>
      <c r="BK28" s="394">
        <v>0.0949195629931435</v>
      </c>
      <c r="BL28" s="394">
        <v>0.0967504378695584</v>
      </c>
      <c r="BM28" s="394">
        <v>0.071727899925162</v>
      </c>
      <c r="BN28" s="394">
        <v>0.0488739865154247</v>
      </c>
      <c r="BO28" s="394">
        <v>0.0740995907843376</v>
      </c>
      <c r="BP28" s="394">
        <v>0.0685125373133305</v>
      </c>
      <c r="BQ28" s="394">
        <v>0.0870207301797148</v>
      </c>
      <c r="BR28" s="394">
        <v>0.0710803413164027</v>
      </c>
      <c r="BS28" s="394">
        <v>0.00210829999999999</v>
      </c>
      <c r="BT28" s="394" t="s">
        <v>113</v>
      </c>
      <c r="BU28" s="394" t="s">
        <v>113</v>
      </c>
    </row>
    <row r="29" ht="14.55" spans="2:73">
      <c r="B29" s="12" t="s">
        <v>146</v>
      </c>
      <c r="F29" s="29">
        <f>AVERAGE(F5:F24)</f>
        <v>-0.022027</v>
      </c>
      <c r="G29" s="30">
        <f t="shared" ref="G29:L29" si="0">AVERAGE(G5:G24)</f>
        <v>0.0360513</v>
      </c>
      <c r="H29" s="30">
        <f t="shared" si="0"/>
        <v>0.061447</v>
      </c>
      <c r="I29" s="30">
        <f t="shared" si="0"/>
        <v>-0.010452</v>
      </c>
      <c r="J29" s="30">
        <f t="shared" si="0"/>
        <v>0.155387315789474</v>
      </c>
      <c r="K29" s="30">
        <f t="shared" si="0"/>
        <v>0.189947684210526</v>
      </c>
      <c r="L29" s="362">
        <f t="shared" si="0"/>
        <v>0.119757722222222</v>
      </c>
      <c r="M29" s="20"/>
      <c r="N29" s="13">
        <f t="shared" ref="N29:AM29" si="1">AVERAGE(N5:N24)</f>
        <v>0.0321049</v>
      </c>
      <c r="O29" s="14">
        <f t="shared" si="1"/>
        <v>0.152741356688261</v>
      </c>
      <c r="P29" s="14">
        <f t="shared" si="1"/>
        <v>0.240291437843635</v>
      </c>
      <c r="Q29" s="14">
        <f t="shared" si="1"/>
        <v>0.0217610148693298</v>
      </c>
      <c r="R29" s="14">
        <f t="shared" si="1"/>
        <v>0.265627619438745</v>
      </c>
      <c r="S29" s="14">
        <f t="shared" si="1"/>
        <v>0.143926384164849</v>
      </c>
      <c r="T29" s="14">
        <f t="shared" si="1"/>
        <v>0.119119392934303</v>
      </c>
      <c r="U29" s="14">
        <f t="shared" si="1"/>
        <v>-0.00887785628539677</v>
      </c>
      <c r="V29" s="14">
        <f t="shared" si="1"/>
        <v>0.317000546696383</v>
      </c>
      <c r="W29" s="14">
        <f t="shared" si="1"/>
        <v>0.0430777750155998</v>
      </c>
      <c r="X29" s="14">
        <f t="shared" si="1"/>
        <v>0.00817452664009404</v>
      </c>
      <c r="Y29" s="14">
        <f t="shared" si="1"/>
        <v>0.415335122098516</v>
      </c>
      <c r="Z29" s="14">
        <f t="shared" si="1"/>
        <v>0.0682371092382941</v>
      </c>
      <c r="AA29" s="14">
        <f t="shared" si="1"/>
        <v>0.298048268164969</v>
      </c>
      <c r="AB29" s="14">
        <f t="shared" si="1"/>
        <v>-0.207806221095929</v>
      </c>
      <c r="AC29" s="14">
        <f t="shared" si="1"/>
        <v>0.184601437289071</v>
      </c>
      <c r="AD29" s="14">
        <f t="shared" si="1"/>
        <v>0.735402573537371</v>
      </c>
      <c r="AE29" s="14">
        <f t="shared" si="1"/>
        <v>-0.462999559796271</v>
      </c>
      <c r="AF29" s="14">
        <f t="shared" si="1"/>
        <v>0.547759929979421</v>
      </c>
      <c r="AG29" s="14">
        <f t="shared" si="1"/>
        <v>0.36219396878857</v>
      </c>
      <c r="AH29" s="14">
        <f t="shared" si="1"/>
        <v>0.41804285629965</v>
      </c>
      <c r="AI29" s="14">
        <f t="shared" si="1"/>
        <v>0.290530469646011</v>
      </c>
      <c r="AJ29" s="14">
        <f t="shared" si="1"/>
        <v>1.22724420138603</v>
      </c>
      <c r="AK29" s="14">
        <f t="shared" si="1"/>
        <v>0.124289867056861</v>
      </c>
      <c r="AL29" s="14">
        <f t="shared" si="1"/>
        <v>-0.167061740682857</v>
      </c>
      <c r="AM29" s="28">
        <f t="shared" si="1"/>
        <v>-0.136251245072458</v>
      </c>
      <c r="AS29" s="379" t="s">
        <v>147</v>
      </c>
      <c r="AT29" s="382">
        <v>0.7</v>
      </c>
      <c r="AU29" s="383">
        <v>45716</v>
      </c>
      <c r="AV29" s="382">
        <v>30.5653</v>
      </c>
      <c r="AW29" s="387"/>
      <c r="AX29" s="394">
        <v>0.010283</v>
      </c>
      <c r="AY29" s="394">
        <v>0.02064</v>
      </c>
      <c r="AZ29" s="394">
        <v>0.036304</v>
      </c>
      <c r="BA29" s="394">
        <v>0.073687</v>
      </c>
      <c r="BB29" s="394">
        <v>0.064727</v>
      </c>
      <c r="BC29" s="394" t="s">
        <v>113</v>
      </c>
      <c r="BD29" s="394" t="s">
        <v>113</v>
      </c>
      <c r="BE29" s="395"/>
      <c r="BF29" s="394">
        <v>0.02064</v>
      </c>
      <c r="BG29" s="394">
        <v>0.0760718035213328</v>
      </c>
      <c r="BH29" s="394">
        <v>0.0629991126885536</v>
      </c>
      <c r="BI29" s="394">
        <v>0.0424338937150159</v>
      </c>
      <c r="BJ29" s="394">
        <v>0.0363471059679221</v>
      </c>
      <c r="BK29" s="394">
        <v>0.01191</v>
      </c>
      <c r="BL29" s="394" t="s">
        <v>113</v>
      </c>
      <c r="BM29" s="394" t="s">
        <v>113</v>
      </c>
      <c r="BN29" s="394" t="s">
        <v>113</v>
      </c>
      <c r="BO29" s="394" t="s">
        <v>113</v>
      </c>
      <c r="BP29" s="394" t="s">
        <v>113</v>
      </c>
      <c r="BQ29" s="394" t="s">
        <v>113</v>
      </c>
      <c r="BR29" s="394" t="s">
        <v>113</v>
      </c>
      <c r="BS29" s="394" t="s">
        <v>113</v>
      </c>
      <c r="BT29" s="394" t="s">
        <v>113</v>
      </c>
      <c r="BU29" s="394" t="s">
        <v>113</v>
      </c>
    </row>
    <row r="30" s="324" customFormat="1" spans="2:73">
      <c r="B30" s="5"/>
      <c r="C30" s="5"/>
      <c r="D30" s="5"/>
      <c r="E30" s="5"/>
      <c r="F30" s="5"/>
      <c r="G30" s="20"/>
      <c r="H30" s="5"/>
      <c r="I30" s="5"/>
      <c r="J30" s="5"/>
      <c r="K30" s="5"/>
      <c r="L30" s="5"/>
      <c r="M30" s="20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S30" s="379" t="s">
        <v>148</v>
      </c>
      <c r="AT30" s="382">
        <v>0.75</v>
      </c>
      <c r="AU30" s="383">
        <v>45716</v>
      </c>
      <c r="AV30" s="382">
        <v>5761.9869</v>
      </c>
      <c r="AW30" s="387"/>
      <c r="AX30" s="394">
        <v>0.013049</v>
      </c>
      <c r="AY30" s="394">
        <v>0.022182</v>
      </c>
      <c r="AZ30" s="394">
        <v>0.037352</v>
      </c>
      <c r="BA30" s="394">
        <v>0.08135</v>
      </c>
      <c r="BB30" s="394">
        <v>0.066035</v>
      </c>
      <c r="BC30" s="394">
        <v>0.064847</v>
      </c>
      <c r="BD30" s="394">
        <v>0.074685</v>
      </c>
      <c r="BE30" s="395"/>
      <c r="BF30" s="394">
        <v>0.022182</v>
      </c>
      <c r="BG30" s="394">
        <v>0.0803123074187684</v>
      </c>
      <c r="BH30" s="394">
        <v>0.0677080165510123</v>
      </c>
      <c r="BI30" s="394">
        <v>0.0359809898781985</v>
      </c>
      <c r="BJ30" s="394">
        <v>0.0391269064942332</v>
      </c>
      <c r="BK30" s="394">
        <v>0.105066632754636</v>
      </c>
      <c r="BL30" s="394">
        <v>0.108439884023594</v>
      </c>
      <c r="BM30" s="394">
        <v>0.0671440501693578</v>
      </c>
      <c r="BN30" s="394">
        <v>0.0617018112929074</v>
      </c>
      <c r="BO30" s="394">
        <v>0.0996233316377201</v>
      </c>
      <c r="BP30" s="394">
        <v>0.085634078754031</v>
      </c>
      <c r="BQ30" s="394">
        <v>0.095126499344824</v>
      </c>
      <c r="BR30" s="394">
        <v>0.098275814352531</v>
      </c>
      <c r="BS30" s="394">
        <v>0.0763296084155339</v>
      </c>
      <c r="BT30" s="394">
        <v>0.0785181241566692</v>
      </c>
      <c r="BU30" s="394">
        <v>0.0365207959697253</v>
      </c>
    </row>
    <row r="31" s="324" customFormat="1" ht="15" customHeight="1" spans="2:73"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20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S31" s="379" t="s">
        <v>149</v>
      </c>
      <c r="AT31" s="382">
        <v>0.78</v>
      </c>
      <c r="AU31" s="383">
        <v>45716</v>
      </c>
      <c r="AV31" s="382">
        <v>1881.9096</v>
      </c>
      <c r="AW31" s="387"/>
      <c r="AX31" s="394">
        <v>0.014643</v>
      </c>
      <c r="AY31" s="394">
        <v>0.023844</v>
      </c>
      <c r="AZ31" s="394">
        <v>0.038255</v>
      </c>
      <c r="BA31" s="394">
        <v>0.080928</v>
      </c>
      <c r="BB31" s="394">
        <v>0.06325</v>
      </c>
      <c r="BC31" s="394">
        <v>0.057687</v>
      </c>
      <c r="BD31" s="394">
        <v>0.066254</v>
      </c>
      <c r="BE31" s="395"/>
      <c r="BF31" s="394">
        <v>0.023844</v>
      </c>
      <c r="BG31" s="394">
        <v>0.0777916050919084</v>
      </c>
      <c r="BH31" s="394">
        <v>0.065089002488687</v>
      </c>
      <c r="BI31" s="394">
        <v>0.0306112285045498</v>
      </c>
      <c r="BJ31" s="394">
        <v>0.0257433835308027</v>
      </c>
      <c r="BK31" s="394">
        <v>0.0855826592617828</v>
      </c>
      <c r="BL31" s="394">
        <v>0.0985752456548039</v>
      </c>
      <c r="BM31" s="394">
        <v>0.072010375166777</v>
      </c>
      <c r="BN31" s="394">
        <v>0.0613043133837683</v>
      </c>
      <c r="BO31" s="394">
        <v>0.0814214350347221</v>
      </c>
      <c r="BP31" s="394">
        <v>0.0599288345090206</v>
      </c>
      <c r="BQ31" s="394">
        <v>0.0752187549578354</v>
      </c>
      <c r="BR31" s="394">
        <v>0.0808518496534168</v>
      </c>
      <c r="BS31" s="394">
        <v>0.0873241254679231</v>
      </c>
      <c r="BT31" s="394">
        <v>0.0824955945939652</v>
      </c>
      <c r="BU31" s="394">
        <v>0.0547090562237488</v>
      </c>
    </row>
    <row r="32" ht="15.75" customHeight="1" spans="2:73">
      <c r="B32" s="349" t="s">
        <v>150</v>
      </c>
      <c r="C32" s="350" t="s">
        <v>16</v>
      </c>
      <c r="D32" s="332" t="s">
        <v>99</v>
      </c>
      <c r="E32" s="333"/>
      <c r="F32" s="334" t="s">
        <v>10</v>
      </c>
      <c r="G32" s="335"/>
      <c r="H32" s="335"/>
      <c r="I32" s="335"/>
      <c r="J32" s="335"/>
      <c r="K32" s="335"/>
      <c r="L32" s="359"/>
      <c r="M32" s="20"/>
      <c r="N32" s="360" t="s">
        <v>100</v>
      </c>
      <c r="O32" s="361"/>
      <c r="P32" s="361"/>
      <c r="Q32" s="361"/>
      <c r="R32" s="361"/>
      <c r="S32" s="361"/>
      <c r="T32" s="361"/>
      <c r="U32" s="361"/>
      <c r="V32" s="361"/>
      <c r="W32" s="361"/>
      <c r="X32" s="361"/>
      <c r="Y32" s="361"/>
      <c r="Z32" s="361"/>
      <c r="AA32" s="361"/>
      <c r="AB32" s="361"/>
      <c r="AC32" s="361"/>
      <c r="AD32" s="361"/>
      <c r="AE32" s="361"/>
      <c r="AF32" s="361"/>
      <c r="AG32" s="361"/>
      <c r="AH32" s="361"/>
      <c r="AI32" s="361"/>
      <c r="AJ32" s="361"/>
      <c r="AK32" s="361"/>
      <c r="AL32" s="361"/>
      <c r="AM32" s="361"/>
      <c r="AN32" s="364"/>
      <c r="AS32" s="379" t="s">
        <v>151</v>
      </c>
      <c r="AT32" s="382">
        <v>0.81</v>
      </c>
      <c r="AU32" s="383">
        <v>45716</v>
      </c>
      <c r="AV32" s="382">
        <v>47.918026177</v>
      </c>
      <c r="AW32" s="387"/>
      <c r="AX32" s="394">
        <v>0.013688</v>
      </c>
      <c r="AY32" s="394">
        <v>0.022021</v>
      </c>
      <c r="AZ32" s="394">
        <v>0.03885</v>
      </c>
      <c r="BA32" s="394">
        <v>0.079619</v>
      </c>
      <c r="BB32" s="394">
        <v>0.061269</v>
      </c>
      <c r="BC32" s="394" t="s">
        <v>113</v>
      </c>
      <c r="BD32" s="394" t="s">
        <v>113</v>
      </c>
      <c r="BE32" s="395"/>
      <c r="BF32" s="394">
        <v>0.022021</v>
      </c>
      <c r="BG32" s="394">
        <v>0.0794844160133503</v>
      </c>
      <c r="BH32" s="394">
        <v>0.0631786133417116</v>
      </c>
      <c r="BI32" s="394">
        <v>0.0267267552182164</v>
      </c>
      <c r="BJ32" s="394">
        <v>0.0339111071873497</v>
      </c>
      <c r="BK32" s="394">
        <v>0.01943</v>
      </c>
      <c r="BL32" s="394" t="s">
        <v>113</v>
      </c>
      <c r="BM32" s="394" t="s">
        <v>113</v>
      </c>
      <c r="BN32" s="394" t="s">
        <v>113</v>
      </c>
      <c r="BO32" s="394" t="s">
        <v>113</v>
      </c>
      <c r="BP32" s="394" t="s">
        <v>113</v>
      </c>
      <c r="BQ32" s="394" t="s">
        <v>113</v>
      </c>
      <c r="BR32" s="394" t="s">
        <v>113</v>
      </c>
      <c r="BS32" s="394" t="s">
        <v>113</v>
      </c>
      <c r="BT32" s="394" t="s">
        <v>113</v>
      </c>
      <c r="BU32" s="394" t="s">
        <v>113</v>
      </c>
    </row>
    <row r="33" ht="14.55" spans="2:73">
      <c r="B33" s="351"/>
      <c r="C33" s="352"/>
      <c r="D33" s="337" t="s">
        <v>104</v>
      </c>
      <c r="E33" s="338" t="s">
        <v>105</v>
      </c>
      <c r="F33" s="2" t="s">
        <v>17</v>
      </c>
      <c r="G33" s="3" t="s">
        <v>18</v>
      </c>
      <c r="H33" s="3" t="s">
        <v>19</v>
      </c>
      <c r="I33" s="3" t="s">
        <v>20</v>
      </c>
      <c r="J33" s="3" t="s">
        <v>22</v>
      </c>
      <c r="K33" s="3" t="s">
        <v>23</v>
      </c>
      <c r="L33" s="15" t="s">
        <v>24</v>
      </c>
      <c r="M33" s="20"/>
      <c r="N33" s="16" t="s">
        <v>25</v>
      </c>
      <c r="O33" s="17">
        <v>2024</v>
      </c>
      <c r="P33" s="17">
        <v>2023</v>
      </c>
      <c r="Q33" s="18">
        <v>2022</v>
      </c>
      <c r="R33" s="18">
        <v>2021</v>
      </c>
      <c r="S33" s="18">
        <v>2020</v>
      </c>
      <c r="T33" s="18">
        <v>2019</v>
      </c>
      <c r="U33" s="18">
        <v>2018</v>
      </c>
      <c r="V33" s="18">
        <v>2017</v>
      </c>
      <c r="W33" s="18">
        <v>2016</v>
      </c>
      <c r="X33" s="18">
        <v>2015</v>
      </c>
      <c r="Y33" s="18">
        <v>2014</v>
      </c>
      <c r="Z33" s="18">
        <v>2013</v>
      </c>
      <c r="AA33" s="18">
        <v>2012</v>
      </c>
      <c r="AB33" s="18">
        <v>2011</v>
      </c>
      <c r="AC33" s="18">
        <v>2010</v>
      </c>
      <c r="AD33" s="18">
        <v>2009</v>
      </c>
      <c r="AE33" s="18">
        <v>2008</v>
      </c>
      <c r="AF33" s="18">
        <v>2007</v>
      </c>
      <c r="AG33" s="18">
        <v>2006</v>
      </c>
      <c r="AH33" s="18">
        <v>2005</v>
      </c>
      <c r="AI33" s="18">
        <v>2004</v>
      </c>
      <c r="AJ33" s="18">
        <v>2003</v>
      </c>
      <c r="AK33" s="18">
        <v>2002</v>
      </c>
      <c r="AL33" s="18">
        <v>2001</v>
      </c>
      <c r="AM33" s="273">
        <v>2000</v>
      </c>
      <c r="AS33" s="379" t="s">
        <v>152</v>
      </c>
      <c r="AT33" s="382">
        <v>0.76</v>
      </c>
      <c r="AU33" s="383">
        <v>45716</v>
      </c>
      <c r="AV33" s="382">
        <v>5708.448</v>
      </c>
      <c r="AW33" s="387"/>
      <c r="AX33" s="394">
        <v>0.014032</v>
      </c>
      <c r="AY33" s="394">
        <v>0.023173</v>
      </c>
      <c r="AZ33" s="394">
        <v>0.037979</v>
      </c>
      <c r="BA33" s="394">
        <v>0.080922</v>
      </c>
      <c r="BB33" s="394">
        <v>0.064005</v>
      </c>
      <c r="BC33" s="394">
        <v>0.064171</v>
      </c>
      <c r="BD33" s="394" t="s">
        <v>113</v>
      </c>
      <c r="BE33" s="395"/>
      <c r="BF33" s="394">
        <v>0.023173</v>
      </c>
      <c r="BG33" s="394">
        <v>0.0785211994739531</v>
      </c>
      <c r="BH33" s="394">
        <v>0.0679798724325453</v>
      </c>
      <c r="BI33" s="394">
        <v>0.0316992700904752</v>
      </c>
      <c r="BJ33" s="394">
        <v>0.0385878285095956</v>
      </c>
      <c r="BK33" s="394">
        <v>0.109308277627159</v>
      </c>
      <c r="BL33" s="394">
        <v>0.104939400868969</v>
      </c>
      <c r="BM33" s="394">
        <v>0.0640938290831225</v>
      </c>
      <c r="BN33" s="394">
        <v>0.0595848910661337</v>
      </c>
      <c r="BO33" s="394">
        <v>0.101763124005757</v>
      </c>
      <c r="BP33" s="394">
        <v>0.05608</v>
      </c>
      <c r="BQ33" s="394" t="s">
        <v>113</v>
      </c>
      <c r="BR33" s="394" t="s">
        <v>113</v>
      </c>
      <c r="BS33" s="394" t="s">
        <v>113</v>
      </c>
      <c r="BT33" s="394" t="s">
        <v>113</v>
      </c>
      <c r="BU33" s="394" t="s">
        <v>113</v>
      </c>
    </row>
    <row r="34" spans="2:73">
      <c r="B34" s="339" t="s">
        <v>153</v>
      </c>
      <c r="C34" s="340">
        <v>1.89</v>
      </c>
      <c r="D34" s="341">
        <v>45838</v>
      </c>
      <c r="E34" s="342">
        <v>5938.6697</v>
      </c>
      <c r="F34" s="10">
        <v>-0.029179</v>
      </c>
      <c r="G34" s="10">
        <v>0.059811</v>
      </c>
      <c r="H34" s="10">
        <v>0.070842</v>
      </c>
      <c r="I34" s="10">
        <v>-0.034068</v>
      </c>
      <c r="J34" s="10">
        <v>0.145022</v>
      </c>
      <c r="K34" s="10">
        <v>0.186091</v>
      </c>
      <c r="L34" s="23">
        <v>0.112275</v>
      </c>
      <c r="M34" s="20"/>
      <c r="N34" s="24">
        <v>0.009438</v>
      </c>
      <c r="O34" s="25">
        <v>0.155762791671027</v>
      </c>
      <c r="P34" s="25">
        <v>0.269274188193107</v>
      </c>
      <c r="Q34" s="25">
        <v>-0.129814220912427</v>
      </c>
      <c r="R34" s="25">
        <v>0.382697800771027</v>
      </c>
      <c r="S34" s="25">
        <v>0.183019046268727</v>
      </c>
      <c r="T34" s="25">
        <v>0.0891262385793334</v>
      </c>
      <c r="U34" s="25">
        <v>-0.13718828414718</v>
      </c>
      <c r="V34" s="25">
        <v>0.418451556003528</v>
      </c>
      <c r="W34" s="25">
        <v>0.0847712440632797</v>
      </c>
      <c r="X34" s="25">
        <v>0.0523533853511202</v>
      </c>
      <c r="Y34" s="25">
        <v>0.601462628123922</v>
      </c>
      <c r="Z34" s="25">
        <v>0.072240059273891</v>
      </c>
      <c r="AA34" s="25">
        <v>0.297132788723374</v>
      </c>
      <c r="AB34" s="25">
        <v>-0.280304340307799</v>
      </c>
      <c r="AC34" s="25">
        <v>0.143940392984307</v>
      </c>
      <c r="AD34" s="25">
        <v>0.87280810076562</v>
      </c>
      <c r="AE34" s="25">
        <v>-0.583757388846055</v>
      </c>
      <c r="AF34" s="25">
        <v>0.565416800772445</v>
      </c>
      <c r="AG34" s="25">
        <v>0.343858131487892</v>
      </c>
      <c r="AH34" s="25">
        <v>0.432465923172243</v>
      </c>
      <c r="AI34" s="25">
        <v>0.269366889500589</v>
      </c>
      <c r="AJ34" s="25">
        <v>1.10339123242349</v>
      </c>
      <c r="AK34" s="25">
        <v>0.0333333333333364</v>
      </c>
      <c r="AL34" s="25">
        <v>-0.239024390243903</v>
      </c>
      <c r="AM34" s="365">
        <v>-0.46091291748088</v>
      </c>
      <c r="AS34" s="379" t="s">
        <v>154</v>
      </c>
      <c r="AT34" s="382">
        <v>0.81</v>
      </c>
      <c r="AU34" s="383">
        <v>45716</v>
      </c>
      <c r="AV34" s="382">
        <v>3873.701</v>
      </c>
      <c r="AW34" s="387"/>
      <c r="AX34" s="394">
        <v>0.013412</v>
      </c>
      <c r="AY34" s="394">
        <v>0.022945</v>
      </c>
      <c r="AZ34" s="394">
        <v>0.037474</v>
      </c>
      <c r="BA34" s="394">
        <v>0.079409</v>
      </c>
      <c r="BB34" s="394">
        <v>0.06153</v>
      </c>
      <c r="BC34" s="394">
        <v>0.059747</v>
      </c>
      <c r="BD34" s="394">
        <v>0.070359</v>
      </c>
      <c r="BE34" s="395"/>
      <c r="BF34" s="394">
        <v>0.022945</v>
      </c>
      <c r="BG34" s="394">
        <v>0.0768532664439363</v>
      </c>
      <c r="BH34" s="394">
        <v>0.0655705244971291</v>
      </c>
      <c r="BI34" s="394">
        <v>0.0286685788953539</v>
      </c>
      <c r="BJ34" s="394">
        <v>0.0258490404984215</v>
      </c>
      <c r="BK34" s="394">
        <v>0.104700413656652</v>
      </c>
      <c r="BL34" s="394">
        <v>0.0966945651178794</v>
      </c>
      <c r="BM34" s="394">
        <v>0.0736319338141156</v>
      </c>
      <c r="BN34" s="394">
        <v>0.0638655325177656</v>
      </c>
      <c r="BO34" s="394">
        <v>0.0833496206491779</v>
      </c>
      <c r="BP34" s="394">
        <v>0.0873264048012486</v>
      </c>
      <c r="BQ34" s="394">
        <v>0.100154130130127</v>
      </c>
      <c r="BR34" s="394">
        <v>0.0833647019432173</v>
      </c>
      <c r="BS34" s="394">
        <v>0.0908312636873236</v>
      </c>
      <c r="BT34" s="394">
        <v>0.0883689456967448</v>
      </c>
      <c r="BU34" s="394">
        <v>0.0556589267990793</v>
      </c>
    </row>
    <row r="35" spans="2:73">
      <c r="B35" s="339" t="s">
        <v>155</v>
      </c>
      <c r="C35" s="343">
        <v>1.68</v>
      </c>
      <c r="D35" s="344">
        <v>45838</v>
      </c>
      <c r="E35" s="345">
        <v>14954.275998</v>
      </c>
      <c r="F35" s="10">
        <v>-0.016359</v>
      </c>
      <c r="G35" s="10">
        <v>0.06459</v>
      </c>
      <c r="H35" s="10">
        <v>0.065289</v>
      </c>
      <c r="I35" s="10">
        <v>0.009012</v>
      </c>
      <c r="J35" s="10">
        <v>0.178521</v>
      </c>
      <c r="K35" s="10">
        <v>0.227601</v>
      </c>
      <c r="L35" s="23" t="s">
        <v>113</v>
      </c>
      <c r="M35" s="20"/>
      <c r="N35" s="24">
        <v>0.014054</v>
      </c>
      <c r="O35" s="25">
        <v>0.255194041552332</v>
      </c>
      <c r="P35" s="25">
        <v>0.309548254620123</v>
      </c>
      <c r="Q35" s="25">
        <v>-0.088868101028999</v>
      </c>
      <c r="R35" s="25">
        <v>0.445571331981068</v>
      </c>
      <c r="S35" s="25">
        <v>0.247048903878583</v>
      </c>
      <c r="T35" s="25">
        <v>0.163886162904809</v>
      </c>
      <c r="U35" s="25">
        <v>0.019</v>
      </c>
      <c r="V35" s="25" t="s">
        <v>113</v>
      </c>
      <c r="W35" s="25" t="s">
        <v>113</v>
      </c>
      <c r="X35" s="25" t="s">
        <v>113</v>
      </c>
      <c r="Y35" s="25" t="s">
        <v>113</v>
      </c>
      <c r="Z35" s="25" t="s">
        <v>113</v>
      </c>
      <c r="AA35" s="25" t="s">
        <v>113</v>
      </c>
      <c r="AB35" s="25" t="s">
        <v>113</v>
      </c>
      <c r="AC35" s="25" t="s">
        <v>113</v>
      </c>
      <c r="AD35" s="25" t="s">
        <v>113</v>
      </c>
      <c r="AE35" s="25" t="s">
        <v>113</v>
      </c>
      <c r="AF35" s="25" t="s">
        <v>113</v>
      </c>
      <c r="AG35" s="25" t="s">
        <v>113</v>
      </c>
      <c r="AH35" s="25" t="s">
        <v>113</v>
      </c>
      <c r="AI35" s="25" t="s">
        <v>113</v>
      </c>
      <c r="AJ35" s="25" t="s">
        <v>113</v>
      </c>
      <c r="AK35" s="25" t="s">
        <v>113</v>
      </c>
      <c r="AL35" s="25" t="s">
        <v>113</v>
      </c>
      <c r="AM35" s="365" t="s">
        <v>113</v>
      </c>
      <c r="AS35" s="379" t="s">
        <v>156</v>
      </c>
      <c r="AT35" s="382">
        <v>0.42</v>
      </c>
      <c r="AU35" s="383">
        <v>45716</v>
      </c>
      <c r="AV35" s="382">
        <v>337.324346</v>
      </c>
      <c r="AW35" s="387"/>
      <c r="AX35" s="394">
        <v>0.013264</v>
      </c>
      <c r="AY35" s="394">
        <v>0.022941</v>
      </c>
      <c r="AZ35" s="394">
        <v>0.038371</v>
      </c>
      <c r="BA35" s="394">
        <v>0.083365</v>
      </c>
      <c r="BB35" s="394">
        <v>0.063686</v>
      </c>
      <c r="BC35" s="394">
        <v>0.057521</v>
      </c>
      <c r="BD35" s="394">
        <v>0.066899</v>
      </c>
      <c r="BE35" s="395"/>
      <c r="BF35" s="394">
        <v>0.022941</v>
      </c>
      <c r="BG35" s="394">
        <v>0.0799355899576982</v>
      </c>
      <c r="BH35" s="394">
        <v>0.0684399885676497</v>
      </c>
      <c r="BI35" s="394">
        <v>0.0299624819624821</v>
      </c>
      <c r="BJ35" s="394">
        <v>0.0293200249532128</v>
      </c>
      <c r="BK35" s="394">
        <v>0.0764134261494629</v>
      </c>
      <c r="BL35" s="394">
        <v>0.100606730342852</v>
      </c>
      <c r="BM35" s="394">
        <v>0.0606182765596888</v>
      </c>
      <c r="BN35" s="394">
        <v>0.0623265183117357</v>
      </c>
      <c r="BO35" s="394">
        <v>0.0788468366722709</v>
      </c>
      <c r="BP35" s="394">
        <v>0.0846689248758758</v>
      </c>
      <c r="BQ35" s="394">
        <v>0.0935319697377167</v>
      </c>
      <c r="BR35" s="394">
        <v>0.0851480896191351</v>
      </c>
      <c r="BS35" s="394">
        <v>0.0992857575207312</v>
      </c>
      <c r="BT35" s="394">
        <v>0.0932516311756376</v>
      </c>
      <c r="BU35" s="394">
        <v>0.0491391280199945</v>
      </c>
    </row>
    <row r="36" spans="2:73">
      <c r="B36" s="339" t="s">
        <v>157</v>
      </c>
      <c r="C36" s="343">
        <v>1.73</v>
      </c>
      <c r="D36" s="344">
        <v>45838</v>
      </c>
      <c r="E36" s="345">
        <v>9735.3598</v>
      </c>
      <c r="F36" s="10">
        <v>-0.012477</v>
      </c>
      <c r="G36" s="10">
        <v>0.059945</v>
      </c>
      <c r="H36" s="10">
        <v>0.079903</v>
      </c>
      <c r="I36" s="10">
        <v>0.000762</v>
      </c>
      <c r="J36" s="10">
        <v>0.24794</v>
      </c>
      <c r="K36" s="10">
        <v>0.266451</v>
      </c>
      <c r="L36" s="23">
        <v>0.150467</v>
      </c>
      <c r="M36" s="20"/>
      <c r="N36" s="24">
        <v>0.0204</v>
      </c>
      <c r="O36" s="25">
        <v>0.28787113264184</v>
      </c>
      <c r="P36" s="25">
        <v>0.362355418190652</v>
      </c>
      <c r="Q36" s="25">
        <v>0.0693173618126713</v>
      </c>
      <c r="R36" s="25">
        <v>0.340750773993808</v>
      </c>
      <c r="S36" s="25">
        <v>0.129370629370629</v>
      </c>
      <c r="T36" s="25">
        <v>0.0369363244958077</v>
      </c>
      <c r="U36" s="25">
        <v>-0.0510983434538041</v>
      </c>
      <c r="V36" s="25">
        <v>0.372878604048401</v>
      </c>
      <c r="W36" s="25">
        <v>0.0798634355335387</v>
      </c>
      <c r="X36" s="25">
        <v>0.052144718615735</v>
      </c>
      <c r="Y36" s="25">
        <v>0.286236901480149</v>
      </c>
      <c r="Z36" s="25">
        <v>0.0251464962519072</v>
      </c>
      <c r="AA36" s="25">
        <v>0.372556756100522</v>
      </c>
      <c r="AB36" s="25">
        <v>-0.267851508161896</v>
      </c>
      <c r="AC36" s="25">
        <v>0.14380918975798</v>
      </c>
      <c r="AD36" s="25">
        <v>0.670550370678601</v>
      </c>
      <c r="AE36" s="25">
        <v>-0.548150308313924</v>
      </c>
      <c r="AF36" s="25">
        <v>0.672062465514365</v>
      </c>
      <c r="AG36" s="25">
        <v>0.289181141439206</v>
      </c>
      <c r="AH36" s="25">
        <v>0.209</v>
      </c>
      <c r="AI36" s="25" t="s">
        <v>113</v>
      </c>
      <c r="AJ36" s="25" t="s">
        <v>113</v>
      </c>
      <c r="AK36" s="25" t="s">
        <v>113</v>
      </c>
      <c r="AL36" s="25" t="s">
        <v>113</v>
      </c>
      <c r="AM36" s="365" t="s">
        <v>113</v>
      </c>
      <c r="AS36" s="379" t="s">
        <v>158</v>
      </c>
      <c r="AT36" s="382">
        <v>0.71</v>
      </c>
      <c r="AU36" s="383">
        <v>45716</v>
      </c>
      <c r="AV36" s="382">
        <v>219.214594395</v>
      </c>
      <c r="AW36" s="387"/>
      <c r="AX36" s="394">
        <v>0.01061</v>
      </c>
      <c r="AY36" s="394">
        <v>0.021104</v>
      </c>
      <c r="AZ36" s="394">
        <v>0.035627</v>
      </c>
      <c r="BA36" s="394">
        <v>0.078579</v>
      </c>
      <c r="BB36" s="394">
        <v>0.057286</v>
      </c>
      <c r="BC36" s="394" t="s">
        <v>113</v>
      </c>
      <c r="BD36" s="394" t="s">
        <v>113</v>
      </c>
      <c r="BE36" s="395"/>
      <c r="BF36" s="394">
        <v>0.021104</v>
      </c>
      <c r="BG36" s="394">
        <v>0.0744034051556983</v>
      </c>
      <c r="BH36" s="394">
        <v>0.0649012655882814</v>
      </c>
      <c r="BI36" s="394">
        <v>0.0207318298860355</v>
      </c>
      <c r="BJ36" s="394">
        <v>0.0407282</v>
      </c>
      <c r="BK36" s="394" t="s">
        <v>113</v>
      </c>
      <c r="BL36" s="394" t="s">
        <v>113</v>
      </c>
      <c r="BM36" s="394" t="s">
        <v>113</v>
      </c>
      <c r="BN36" s="394" t="s">
        <v>113</v>
      </c>
      <c r="BO36" s="394" t="s">
        <v>113</v>
      </c>
      <c r="BP36" s="394" t="s">
        <v>113</v>
      </c>
      <c r="BQ36" s="394" t="s">
        <v>113</v>
      </c>
      <c r="BR36" s="394" t="s">
        <v>113</v>
      </c>
      <c r="BS36" s="394" t="s">
        <v>113</v>
      </c>
      <c r="BT36" s="394" t="s">
        <v>113</v>
      </c>
      <c r="BU36" s="394" t="s">
        <v>113</v>
      </c>
    </row>
    <row r="37" ht="14.55" spans="2:73">
      <c r="B37" s="339" t="s">
        <v>50</v>
      </c>
      <c r="C37" s="343">
        <v>1.6</v>
      </c>
      <c r="D37" s="344">
        <v>45838</v>
      </c>
      <c r="E37" s="345">
        <v>26117.6137</v>
      </c>
      <c r="F37" s="10">
        <v>-0.025189</v>
      </c>
      <c r="G37" s="10">
        <v>0.055282</v>
      </c>
      <c r="H37" s="10">
        <v>0.073313</v>
      </c>
      <c r="I37" s="10">
        <v>0.005758</v>
      </c>
      <c r="J37" s="10">
        <v>0.173117</v>
      </c>
      <c r="K37" s="10">
        <v>0.221895</v>
      </c>
      <c r="L37" s="23">
        <v>0.147989</v>
      </c>
      <c r="M37" s="20"/>
      <c r="N37" s="24">
        <v>0.002476</v>
      </c>
      <c r="O37" s="25">
        <v>0.263157894736842</v>
      </c>
      <c r="P37" s="25">
        <v>0.24037691691815</v>
      </c>
      <c r="Q37" s="25">
        <v>-0.0164758616512205</v>
      </c>
      <c r="R37" s="25">
        <v>0.369927806821011</v>
      </c>
      <c r="S37" s="25">
        <v>0.245452666391071</v>
      </c>
      <c r="T37" s="25">
        <v>0.0868246658429743</v>
      </c>
      <c r="U37" s="25">
        <v>-0.0929190015282731</v>
      </c>
      <c r="V37" s="25">
        <v>0.520526723470178</v>
      </c>
      <c r="W37" s="25">
        <v>0.0255799173816333</v>
      </c>
      <c r="X37" s="25">
        <v>0.130590982575894</v>
      </c>
      <c r="Y37" s="25">
        <v>0.960211267605634</v>
      </c>
      <c r="Z37" s="25">
        <v>0.0316018888485288</v>
      </c>
      <c r="AA37" s="25">
        <v>0.488912925905895</v>
      </c>
      <c r="AB37" s="25">
        <v>-0.222782681799075</v>
      </c>
      <c r="AC37" s="25">
        <v>0.283171521035599</v>
      </c>
      <c r="AD37" s="25">
        <v>1.12371134020619</v>
      </c>
      <c r="AE37" s="25">
        <v>-0.660575427682737</v>
      </c>
      <c r="AF37" s="25">
        <v>0.586674892041949</v>
      </c>
      <c r="AG37" s="25">
        <v>0.250771604938272</v>
      </c>
      <c r="AH37" s="25">
        <v>0.296</v>
      </c>
      <c r="AI37" s="25" t="s">
        <v>113</v>
      </c>
      <c r="AJ37" s="25" t="s">
        <v>113</v>
      </c>
      <c r="AK37" s="25" t="s">
        <v>113</v>
      </c>
      <c r="AL37" s="25" t="s">
        <v>113</v>
      </c>
      <c r="AM37" s="365" t="s">
        <v>113</v>
      </c>
      <c r="AN37" s="65">
        <v>0.71</v>
      </c>
      <c r="AO37" s="65">
        <v>0.97</v>
      </c>
      <c r="AP37" s="65">
        <v>37.16</v>
      </c>
      <c r="AQ37" s="65">
        <v>5.99</v>
      </c>
      <c r="AS37" s="379" t="s">
        <v>159</v>
      </c>
      <c r="AT37" s="382">
        <v>0.54</v>
      </c>
      <c r="AU37" s="383">
        <v>45716</v>
      </c>
      <c r="AV37" s="382">
        <v>825.4587</v>
      </c>
      <c r="AW37" s="387"/>
      <c r="AX37" s="394">
        <v>0.010101</v>
      </c>
      <c r="AY37" s="394">
        <v>0.021094</v>
      </c>
      <c r="AZ37" s="394">
        <v>0.036605</v>
      </c>
      <c r="BA37" s="394">
        <v>0.077871</v>
      </c>
      <c r="BB37" s="394">
        <v>0.086104</v>
      </c>
      <c r="BC37" s="394">
        <v>0.072117</v>
      </c>
      <c r="BD37" s="394">
        <v>0.068095</v>
      </c>
      <c r="BE37" s="395"/>
      <c r="BF37" s="394">
        <v>0.021094</v>
      </c>
      <c r="BG37" s="394">
        <v>0.0763598487375123</v>
      </c>
      <c r="BH37" s="394">
        <v>0.0665860359226382</v>
      </c>
      <c r="BI37" s="394">
        <v>0.103151412702246</v>
      </c>
      <c r="BJ37" s="394">
        <v>0.0281557254940909</v>
      </c>
      <c r="BK37" s="394">
        <v>0.088871616369842</v>
      </c>
      <c r="BL37" s="394">
        <v>-0.010354307271426</v>
      </c>
      <c r="BM37" s="394">
        <v>0.0681074515967708</v>
      </c>
      <c r="BN37" s="394">
        <v>0.0638443414152162</v>
      </c>
      <c r="BO37" s="394">
        <v>0.116807714181429</v>
      </c>
      <c r="BP37" s="394">
        <v>0.0859373559721993</v>
      </c>
      <c r="BQ37" s="394">
        <v>0.0848599999999999</v>
      </c>
      <c r="BR37" s="394" t="s">
        <v>113</v>
      </c>
      <c r="BS37" s="394" t="s">
        <v>113</v>
      </c>
      <c r="BT37" s="394" t="s">
        <v>113</v>
      </c>
      <c r="BU37" s="394" t="s">
        <v>113</v>
      </c>
    </row>
    <row r="38" ht="14.55" spans="2:73">
      <c r="B38" s="339" t="s">
        <v>160</v>
      </c>
      <c r="C38" s="343">
        <v>1.68</v>
      </c>
      <c r="D38" s="344">
        <v>45838</v>
      </c>
      <c r="E38" s="345">
        <v>15663.3785</v>
      </c>
      <c r="F38" s="10">
        <v>-0.026616</v>
      </c>
      <c r="G38" s="10">
        <v>0.028275</v>
      </c>
      <c r="H38" s="10">
        <v>0.063456</v>
      </c>
      <c r="I38" s="10">
        <v>-0.023299</v>
      </c>
      <c r="J38" s="10">
        <v>0.207303</v>
      </c>
      <c r="K38" s="10">
        <v>0.233106</v>
      </c>
      <c r="L38" s="23">
        <v>0.147141</v>
      </c>
      <c r="M38" s="20"/>
      <c r="N38" s="24">
        <v>0.015901</v>
      </c>
      <c r="O38" s="25">
        <v>0.23850696603671</v>
      </c>
      <c r="P38" s="25">
        <v>0.324704585874677</v>
      </c>
      <c r="Q38" s="25">
        <v>0.0437124555160142</v>
      </c>
      <c r="R38" s="25">
        <v>0.31197077620113</v>
      </c>
      <c r="S38" s="25">
        <v>0.14239935141132</v>
      </c>
      <c r="T38" s="25">
        <v>0.114479603579954</v>
      </c>
      <c r="U38" s="25">
        <v>-0.0924345810728575</v>
      </c>
      <c r="V38" s="25">
        <v>0.401111460500218</v>
      </c>
      <c r="W38" s="25">
        <v>0.111642914762033</v>
      </c>
      <c r="X38" s="25">
        <v>0.0609118593058002</v>
      </c>
      <c r="Y38" s="25">
        <v>0.454041105834042</v>
      </c>
      <c r="Z38" s="25">
        <v>0.0646161998653138</v>
      </c>
      <c r="AA38" s="25">
        <v>0.293552302749018</v>
      </c>
      <c r="AB38" s="25">
        <v>-0.250612672966407</v>
      </c>
      <c r="AC38" s="25">
        <v>0.241965496158856</v>
      </c>
      <c r="AD38" s="25">
        <v>0.864449620855429</v>
      </c>
      <c r="AE38" s="25">
        <v>-0.55104856205151</v>
      </c>
      <c r="AF38" s="25">
        <v>0.598467065016361</v>
      </c>
      <c r="AG38" s="25">
        <v>0.43963133640553</v>
      </c>
      <c r="AH38" s="25">
        <v>0.498848810437452</v>
      </c>
      <c r="AI38" s="25">
        <v>0.303651825912957</v>
      </c>
      <c r="AJ38" s="25">
        <v>1.3797619047619</v>
      </c>
      <c r="AK38" s="25">
        <v>0.25748502994012</v>
      </c>
      <c r="AL38" s="25">
        <v>-0.214117647058824</v>
      </c>
      <c r="AM38" s="365">
        <v>-0.15</v>
      </c>
      <c r="AS38" s="4" t="s">
        <v>146</v>
      </c>
      <c r="AT38"/>
      <c r="AU38"/>
      <c r="AV38"/>
      <c r="AW38" s="395"/>
      <c r="AX38" s="396">
        <f>AVERAGE(AX16:AX37)</f>
        <v>0.0129196818181818</v>
      </c>
      <c r="AY38" s="396">
        <f t="shared" ref="AY38:BU38" si="2">AVERAGE(AY16:AY37)</f>
        <v>0.0223995</v>
      </c>
      <c r="AZ38" s="396">
        <f t="shared" si="2"/>
        <v>0.0377340909090909</v>
      </c>
      <c r="BA38" s="396">
        <f t="shared" si="2"/>
        <v>0.0799299090909091</v>
      </c>
      <c r="BB38" s="396">
        <f t="shared" si="2"/>
        <v>0.06400765</v>
      </c>
      <c r="BC38" s="396">
        <f t="shared" si="2"/>
        <v>0.0623488125</v>
      </c>
      <c r="BD38" s="396">
        <f t="shared" si="2"/>
        <v>0.0710815333333333</v>
      </c>
      <c r="BE38" s="395"/>
      <c r="BF38" s="396">
        <f t="shared" si="2"/>
        <v>0.0223995</v>
      </c>
      <c r="BG38" s="396">
        <f t="shared" si="2"/>
        <v>0.078198310421138</v>
      </c>
      <c r="BH38" s="396">
        <f t="shared" si="2"/>
        <v>0.0636642063545597</v>
      </c>
      <c r="BI38" s="396">
        <f t="shared" si="2"/>
        <v>0.0323999375932218</v>
      </c>
      <c r="BJ38" s="396">
        <f t="shared" si="2"/>
        <v>0.0346163058848058</v>
      </c>
      <c r="BK38" s="396">
        <f t="shared" si="2"/>
        <v>0.0865652706681293</v>
      </c>
      <c r="BL38" s="396">
        <f t="shared" si="2"/>
        <v>0.0969615082807965</v>
      </c>
      <c r="BM38" s="396">
        <f t="shared" si="2"/>
        <v>0.0663470294587747</v>
      </c>
      <c r="BN38" s="396">
        <f t="shared" si="2"/>
        <v>0.0597731356965269</v>
      </c>
      <c r="BO38" s="396">
        <f t="shared" si="2"/>
        <v>0.0964341325871876</v>
      </c>
      <c r="BP38" s="396">
        <f t="shared" si="2"/>
        <v>0.0804421760441816</v>
      </c>
      <c r="BQ38" s="396">
        <f t="shared" si="2"/>
        <v>0.0929747589478568</v>
      </c>
      <c r="BR38" s="396">
        <f t="shared" si="2"/>
        <v>0.0755021727229483</v>
      </c>
      <c r="BS38" s="396">
        <f t="shared" si="2"/>
        <v>0.0688480011029889</v>
      </c>
      <c r="BT38" s="396">
        <f t="shared" si="2"/>
        <v>0.0470371380442048</v>
      </c>
      <c r="BU38" s="396">
        <f t="shared" si="2"/>
        <v>0.0530213408506818</v>
      </c>
    </row>
    <row r="39" spans="2:73">
      <c r="B39" s="339" t="s">
        <v>161</v>
      </c>
      <c r="C39" s="343">
        <v>1.84</v>
      </c>
      <c r="D39" s="344">
        <v>45838</v>
      </c>
      <c r="E39" s="345">
        <v>4139.4816</v>
      </c>
      <c r="F39" s="10">
        <v>-0.033928</v>
      </c>
      <c r="G39" s="10">
        <v>0.054652</v>
      </c>
      <c r="H39" s="10">
        <v>0.052899</v>
      </c>
      <c r="I39" s="10">
        <v>-0.00812</v>
      </c>
      <c r="J39" s="10">
        <v>0.18257</v>
      </c>
      <c r="K39" s="10">
        <v>0.226557</v>
      </c>
      <c r="L39" s="23">
        <v>0.138024</v>
      </c>
      <c r="M39" s="20"/>
      <c r="N39" s="24">
        <v>-0.013214</v>
      </c>
      <c r="O39" s="25">
        <v>0.24476398425604</v>
      </c>
      <c r="P39" s="25">
        <v>0.296978052688453</v>
      </c>
      <c r="Q39" s="25">
        <v>0.0134053319235707</v>
      </c>
      <c r="R39" s="25">
        <v>0.369534300416311</v>
      </c>
      <c r="S39" s="25">
        <v>0.169746831614289</v>
      </c>
      <c r="T39" s="25">
        <v>0.111032698188661</v>
      </c>
      <c r="U39" s="25">
        <v>-0.0334556793451781</v>
      </c>
      <c r="V39" s="25">
        <v>0.381078413780728</v>
      </c>
      <c r="W39" s="25">
        <v>0.00486837360259649</v>
      </c>
      <c r="X39" s="25">
        <v>0.0267518281958715</v>
      </c>
      <c r="Y39" s="25">
        <v>0.44715338245144</v>
      </c>
      <c r="Z39" s="25">
        <v>0.0529656534311305</v>
      </c>
      <c r="AA39" s="25">
        <v>0.267453294001967</v>
      </c>
      <c r="AB39" s="25">
        <v>-0.226027397260274</v>
      </c>
      <c r="AC39" s="25">
        <v>0.264013992129427</v>
      </c>
      <c r="AD39" s="25">
        <v>0.716193906648657</v>
      </c>
      <c r="AE39" s="25">
        <v>-0.553896625602571</v>
      </c>
      <c r="AF39" s="25">
        <v>0.4936</v>
      </c>
      <c r="AG39" s="25" t="s">
        <v>113</v>
      </c>
      <c r="AH39" s="25" t="s">
        <v>113</v>
      </c>
      <c r="AI39" s="25" t="s">
        <v>113</v>
      </c>
      <c r="AJ39" s="25" t="s">
        <v>113</v>
      </c>
      <c r="AK39" s="25" t="s">
        <v>113</v>
      </c>
      <c r="AL39" s="25" t="s">
        <v>113</v>
      </c>
      <c r="AM39" s="365" t="s">
        <v>113</v>
      </c>
      <c r="AS39" s="4" t="s">
        <v>162</v>
      </c>
      <c r="AT39"/>
      <c r="AU39"/>
      <c r="AV39"/>
      <c r="AW39"/>
      <c r="AX39" s="397">
        <v>0.0087263867959253</v>
      </c>
      <c r="AY39" s="397">
        <v>0.0207643930788102</v>
      </c>
      <c r="AZ39" s="397">
        <v>0.0377184412193585</v>
      </c>
      <c r="BA39" s="397">
        <v>0.080280059411505</v>
      </c>
      <c r="BB39" s="397">
        <v>0.0659301709109001</v>
      </c>
      <c r="BC39" s="397">
        <v>0.0655149768088614</v>
      </c>
      <c r="BD39" s="397">
        <v>0.0738047315298365</v>
      </c>
      <c r="BE39" s="400"/>
      <c r="BF39" s="397">
        <v>0.0207643930788102</v>
      </c>
      <c r="BG39" s="397">
        <v>0.0797029257152309</v>
      </c>
      <c r="BH39" s="397">
        <v>0.0725988870220093</v>
      </c>
      <c r="BI39" s="397">
        <v>0.0358682288812193</v>
      </c>
      <c r="BJ39" s="397">
        <v>0.0437965988907254</v>
      </c>
      <c r="BK39" s="397">
        <v>0.104161972570555</v>
      </c>
      <c r="BL39" s="397">
        <v>0.0953364838894115</v>
      </c>
      <c r="BM39" s="397">
        <v>0.0665068187794211</v>
      </c>
      <c r="BN39" s="397">
        <v>0.0602957159773323</v>
      </c>
      <c r="BO39" s="397">
        <v>0.0986738756953636</v>
      </c>
      <c r="BP39" s="397">
        <v>0.0865549936165921</v>
      </c>
      <c r="BQ39" s="397">
        <v>0.104681934209951</v>
      </c>
      <c r="BR39" s="397">
        <v>0.0827206164504672</v>
      </c>
      <c r="BS39" s="397">
        <v>0.0912371315059957</v>
      </c>
      <c r="BT39" s="397">
        <v>0.0786771029274067</v>
      </c>
      <c r="BU39" s="397">
        <v>0.0470040326565153</v>
      </c>
    </row>
    <row r="40" ht="14.55" spans="2:73">
      <c r="B40" s="339" t="s">
        <v>163</v>
      </c>
      <c r="C40" s="343">
        <v>2.01</v>
      </c>
      <c r="D40" s="344">
        <v>45838</v>
      </c>
      <c r="E40" s="345">
        <v>3684.319058744</v>
      </c>
      <c r="F40" s="10">
        <v>-0.02752</v>
      </c>
      <c r="G40" s="10">
        <v>0.066995</v>
      </c>
      <c r="H40" s="10">
        <v>0.082437</v>
      </c>
      <c r="I40" s="10">
        <v>0.022043</v>
      </c>
      <c r="J40" s="10">
        <v>0.166943</v>
      </c>
      <c r="K40" s="10">
        <v>0.23272</v>
      </c>
      <c r="L40" s="23">
        <v>0.114271</v>
      </c>
      <c r="M40" s="20"/>
      <c r="N40" s="24">
        <v>0.046536</v>
      </c>
      <c r="O40" s="25">
        <v>0.188016241957434</v>
      </c>
      <c r="P40" s="25">
        <v>0.269633861119735</v>
      </c>
      <c r="Q40" s="25">
        <v>-0.0282043009628049</v>
      </c>
      <c r="R40" s="25">
        <v>0.390531776477788</v>
      </c>
      <c r="S40" s="25">
        <v>0.12022042144259</v>
      </c>
      <c r="T40" s="25">
        <v>0.0210904158322083</v>
      </c>
      <c r="U40" s="25">
        <v>-0.049931065003149</v>
      </c>
      <c r="V40" s="25">
        <v>0.311303804390282</v>
      </c>
      <c r="W40" s="25">
        <v>0.0399931689458953</v>
      </c>
      <c r="X40" s="25">
        <v>0.0195723100329643</v>
      </c>
      <c r="Y40" s="25">
        <v>0.558975142839071</v>
      </c>
      <c r="Z40" s="25">
        <v>0.0707346048461967</v>
      </c>
      <c r="AA40" s="25">
        <v>0.314450082342992</v>
      </c>
      <c r="AB40" s="25">
        <v>-0.222514447866561</v>
      </c>
      <c r="AC40" s="25">
        <v>0.210079458967138</v>
      </c>
      <c r="AD40" s="25">
        <v>0.8873440731325</v>
      </c>
      <c r="AE40" s="25">
        <v>-0.516307429612687</v>
      </c>
      <c r="AF40" s="25">
        <v>0.490531813865147</v>
      </c>
      <c r="AG40" s="25">
        <v>0.419137466307278</v>
      </c>
      <c r="AH40" s="25">
        <v>0.484</v>
      </c>
      <c r="AI40" s="25" t="s">
        <v>113</v>
      </c>
      <c r="AJ40" s="25" t="s">
        <v>113</v>
      </c>
      <c r="AK40" s="25" t="s">
        <v>113</v>
      </c>
      <c r="AL40" s="25" t="s">
        <v>113</v>
      </c>
      <c r="AM40" s="365" t="s">
        <v>113</v>
      </c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</row>
    <row r="41" ht="14.55" spans="2:73">
      <c r="B41" s="339" t="s">
        <v>164</v>
      </c>
      <c r="C41" s="343">
        <v>1.64</v>
      </c>
      <c r="D41" s="344">
        <v>45838</v>
      </c>
      <c r="E41" s="345">
        <v>26848.8468</v>
      </c>
      <c r="F41" s="10">
        <v>-0.025748</v>
      </c>
      <c r="G41" s="10">
        <v>0.056588</v>
      </c>
      <c r="H41" s="10">
        <v>0.075193</v>
      </c>
      <c r="I41" s="10">
        <v>-0.020426</v>
      </c>
      <c r="J41" s="10">
        <v>0.213638</v>
      </c>
      <c r="K41" s="10">
        <v>0.271973</v>
      </c>
      <c r="L41" s="23">
        <v>0.137948</v>
      </c>
      <c r="M41" s="20"/>
      <c r="N41" s="24">
        <v>0.024092</v>
      </c>
      <c r="O41" s="25">
        <v>0.194046470464487</v>
      </c>
      <c r="P41" s="25">
        <v>0.377181020315394</v>
      </c>
      <c r="Q41" s="25">
        <v>0.0816565809379726</v>
      </c>
      <c r="R41" s="25">
        <v>0.430802294478718</v>
      </c>
      <c r="S41" s="25">
        <v>0.114332971520134</v>
      </c>
      <c r="T41" s="25">
        <v>0.0658133940540235</v>
      </c>
      <c r="U41" s="25">
        <v>-0.0383124508843038</v>
      </c>
      <c r="V41" s="25">
        <v>0.294127729594463</v>
      </c>
      <c r="W41" s="25">
        <v>0.0391740090721236</v>
      </c>
      <c r="X41" s="25">
        <v>-0.0483971208063538</v>
      </c>
      <c r="Y41" s="25">
        <v>0.274621921359641</v>
      </c>
      <c r="Z41" s="25">
        <v>0.0454121119041163</v>
      </c>
      <c r="AA41" s="25">
        <v>0.355138852047584</v>
      </c>
      <c r="AB41" s="25">
        <v>-0.291562468379132</v>
      </c>
      <c r="AC41" s="25">
        <v>0.206343947267463</v>
      </c>
      <c r="AD41" s="25">
        <v>0.817622820919176</v>
      </c>
      <c r="AE41" s="25">
        <v>-0.567630533095792</v>
      </c>
      <c r="AF41" s="25">
        <v>0.464672822159775</v>
      </c>
      <c r="AG41" s="25">
        <v>0.361967137418993</v>
      </c>
      <c r="AH41" s="25">
        <v>0.478294573643409</v>
      </c>
      <c r="AI41" s="25">
        <v>0.194179393668979</v>
      </c>
      <c r="AJ41" s="25">
        <v>0.85909822866345</v>
      </c>
      <c r="AK41" s="25">
        <v>0.133211678832117</v>
      </c>
      <c r="AL41" s="25">
        <v>-0.163824978387896</v>
      </c>
      <c r="AM41" s="365">
        <v>-0.300446531572342</v>
      </c>
      <c r="AS41" s="384" t="s">
        <v>165</v>
      </c>
      <c r="AT41" s="369" t="s">
        <v>16</v>
      </c>
      <c r="AU41" s="370" t="s">
        <v>99</v>
      </c>
      <c r="AV41" s="371"/>
      <c r="AW41" s="386"/>
      <c r="AX41" s="360" t="s">
        <v>102</v>
      </c>
      <c r="AY41" s="361"/>
      <c r="AZ41" s="361"/>
      <c r="BA41" s="361"/>
      <c r="BB41" s="361"/>
      <c r="BC41" s="361"/>
      <c r="BD41" s="364"/>
      <c r="BE41" s="386"/>
      <c r="BF41" s="398" t="s">
        <v>103</v>
      </c>
      <c r="BG41" s="399"/>
      <c r="BH41" s="399"/>
      <c r="BI41" s="399"/>
      <c r="BJ41" s="399"/>
      <c r="BK41" s="399"/>
      <c r="BL41" s="399"/>
      <c r="BM41" s="399"/>
      <c r="BN41" s="399"/>
      <c r="BO41" s="399"/>
      <c r="BP41" s="399"/>
      <c r="BQ41" s="399"/>
      <c r="BR41" s="399"/>
      <c r="BS41" s="399"/>
      <c r="BT41" s="399"/>
      <c r="BU41" s="401"/>
    </row>
    <row r="42" ht="14.55" spans="2:73">
      <c r="B42" s="339" t="s">
        <v>166</v>
      </c>
      <c r="C42" s="343">
        <v>1.9</v>
      </c>
      <c r="D42" s="344">
        <v>45838</v>
      </c>
      <c r="E42" s="345">
        <v>4365.0351</v>
      </c>
      <c r="F42" s="10">
        <v>-0.020548</v>
      </c>
      <c r="G42" s="10">
        <v>0.08281</v>
      </c>
      <c r="H42" s="10">
        <v>0.064959</v>
      </c>
      <c r="I42" s="10">
        <v>-0.033972</v>
      </c>
      <c r="J42" s="10">
        <v>0.198359</v>
      </c>
      <c r="K42" s="10">
        <v>0.228155</v>
      </c>
      <c r="L42" s="23" t="s">
        <v>113</v>
      </c>
      <c r="M42" s="20"/>
      <c r="N42" s="24">
        <v>-0.067565</v>
      </c>
      <c r="O42" s="25">
        <v>0.385703575576125</v>
      </c>
      <c r="P42" s="25">
        <v>0.303194784130167</v>
      </c>
      <c r="Q42" s="25">
        <v>-0.0379714952696891</v>
      </c>
      <c r="R42" s="25">
        <v>0.35079289999751</v>
      </c>
      <c r="S42" s="25">
        <v>0.152559394008952</v>
      </c>
      <c r="T42" s="25">
        <v>0.04556</v>
      </c>
      <c r="U42" s="25" t="s">
        <v>113</v>
      </c>
      <c r="V42" s="25" t="s">
        <v>113</v>
      </c>
      <c r="W42" s="25" t="s">
        <v>113</v>
      </c>
      <c r="X42" s="25" t="s">
        <v>113</v>
      </c>
      <c r="Y42" s="25" t="s">
        <v>113</v>
      </c>
      <c r="Z42" s="25" t="s">
        <v>113</v>
      </c>
      <c r="AA42" s="25" t="s">
        <v>113</v>
      </c>
      <c r="AB42" s="25" t="s">
        <v>113</v>
      </c>
      <c r="AC42" s="25" t="s">
        <v>113</v>
      </c>
      <c r="AD42" s="25" t="s">
        <v>113</v>
      </c>
      <c r="AE42" s="25" t="s">
        <v>113</v>
      </c>
      <c r="AF42" s="25" t="s">
        <v>113</v>
      </c>
      <c r="AG42" s="25" t="s">
        <v>113</v>
      </c>
      <c r="AH42" s="25" t="s">
        <v>113</v>
      </c>
      <c r="AI42" s="25" t="s">
        <v>113</v>
      </c>
      <c r="AJ42" s="25" t="s">
        <v>113</v>
      </c>
      <c r="AK42" s="25" t="s">
        <v>113</v>
      </c>
      <c r="AL42" s="25" t="s">
        <v>113</v>
      </c>
      <c r="AM42" s="365" t="s">
        <v>113</v>
      </c>
      <c r="AS42" s="385"/>
      <c r="AT42" s="373" t="s">
        <v>110</v>
      </c>
      <c r="AU42" s="374" t="s">
        <v>104</v>
      </c>
      <c r="AV42" s="375" t="s">
        <v>105</v>
      </c>
      <c r="AW42" s="387"/>
      <c r="AX42" s="16" t="s">
        <v>89</v>
      </c>
      <c r="AY42" s="18" t="s">
        <v>90</v>
      </c>
      <c r="AZ42" s="18" t="s">
        <v>91</v>
      </c>
      <c r="BA42" s="18" t="s">
        <v>20</v>
      </c>
      <c r="BB42" s="18" t="s">
        <v>92</v>
      </c>
      <c r="BC42" s="18" t="s">
        <v>93</v>
      </c>
      <c r="BD42" s="273" t="s">
        <v>111</v>
      </c>
      <c r="BE42" s="387"/>
      <c r="BF42" s="16">
        <v>2025</v>
      </c>
      <c r="BG42" s="16">
        <v>2024</v>
      </c>
      <c r="BH42" s="16">
        <v>2023</v>
      </c>
      <c r="BI42" s="18">
        <v>2022</v>
      </c>
      <c r="BJ42" s="18">
        <v>2021</v>
      </c>
      <c r="BK42" s="18">
        <v>2020</v>
      </c>
      <c r="BL42" s="18">
        <v>2019</v>
      </c>
      <c r="BM42" s="18">
        <v>2018</v>
      </c>
      <c r="BN42" s="18">
        <v>2017</v>
      </c>
      <c r="BO42" s="18">
        <v>2016</v>
      </c>
      <c r="BP42" s="18">
        <v>2015</v>
      </c>
      <c r="BQ42" s="18">
        <v>2014</v>
      </c>
      <c r="BR42" s="18">
        <v>2013</v>
      </c>
      <c r="BS42" s="18">
        <v>2012</v>
      </c>
      <c r="BT42" s="18">
        <v>2011</v>
      </c>
      <c r="BU42" s="273">
        <v>2010</v>
      </c>
    </row>
    <row r="43" spans="2:73">
      <c r="B43" s="339" t="s">
        <v>49</v>
      </c>
      <c r="C43" s="343">
        <v>1.65</v>
      </c>
      <c r="D43" s="344">
        <v>45838</v>
      </c>
      <c r="E43" s="345">
        <v>22856.5892974126</v>
      </c>
      <c r="F43" s="10">
        <v>-0.027323</v>
      </c>
      <c r="G43" s="10">
        <v>0.027621</v>
      </c>
      <c r="H43" s="10">
        <v>0.059936</v>
      </c>
      <c r="I43" s="10">
        <v>0.008509</v>
      </c>
      <c r="J43" s="10">
        <v>0.217245</v>
      </c>
      <c r="K43" s="10">
        <v>0.274919</v>
      </c>
      <c r="L43" s="23">
        <v>0.152887</v>
      </c>
      <c r="M43" s="20"/>
      <c r="N43" s="24">
        <v>0.067757</v>
      </c>
      <c r="O43" s="25">
        <v>0.203788493236702</v>
      </c>
      <c r="P43" s="25">
        <v>0.29937106918239</v>
      </c>
      <c r="Q43" s="25">
        <v>0.117018246719957</v>
      </c>
      <c r="R43" s="25">
        <v>0.417952238645236</v>
      </c>
      <c r="S43" s="25">
        <v>0.117250714393142</v>
      </c>
      <c r="T43" s="25">
        <v>0.057410941475827</v>
      </c>
      <c r="U43" s="25">
        <v>-0.0621364436357129</v>
      </c>
      <c r="V43" s="25">
        <v>0.298234063976454</v>
      </c>
      <c r="W43" s="25">
        <v>0.102656076522333</v>
      </c>
      <c r="X43" s="25">
        <v>-0.00640672069243494</v>
      </c>
      <c r="Y43" s="25">
        <v>0.382913806254767</v>
      </c>
      <c r="Z43" s="25">
        <v>0.113775976996471</v>
      </c>
      <c r="AA43" s="25">
        <v>0.328298611111111</v>
      </c>
      <c r="AB43" s="25">
        <v>-0.203264402794107</v>
      </c>
      <c r="AC43" s="25">
        <v>0.175432891634826</v>
      </c>
      <c r="AD43" s="25">
        <v>0.746061036195884</v>
      </c>
      <c r="AE43" s="25">
        <v>-0.477412654847563</v>
      </c>
      <c r="AF43" s="25">
        <v>0.44398029134533</v>
      </c>
      <c r="AG43" s="25">
        <v>0.42774124483866</v>
      </c>
      <c r="AH43" s="25">
        <v>0.495312142693803</v>
      </c>
      <c r="AI43" s="25">
        <v>0.133488854328668</v>
      </c>
      <c r="AJ43" s="25">
        <v>0.946518668012109</v>
      </c>
      <c r="AK43" s="25">
        <v>0.123582766439909</v>
      </c>
      <c r="AL43" s="25">
        <v>-0.135294117647059</v>
      </c>
      <c r="AM43" s="365">
        <v>-0.333986287952987</v>
      </c>
      <c r="AN43" s="67">
        <v>1.17</v>
      </c>
      <c r="AO43" s="67">
        <v>0.84</v>
      </c>
      <c r="AP43" s="67">
        <v>24.56</v>
      </c>
      <c r="AQ43" s="67">
        <v>3.65</v>
      </c>
      <c r="AS43" s="379" t="s">
        <v>167</v>
      </c>
      <c r="AT43" s="382">
        <v>0.51</v>
      </c>
      <c r="AU43" s="383">
        <v>45716</v>
      </c>
      <c r="AV43" s="382">
        <v>25293.2913</v>
      </c>
      <c r="AW43" s="387"/>
      <c r="AX43" s="394">
        <v>0.01307</v>
      </c>
      <c r="AY43" s="394">
        <v>0.023926</v>
      </c>
      <c r="AZ43" s="394">
        <v>0.040279</v>
      </c>
      <c r="BA43" s="394">
        <v>0.087219</v>
      </c>
      <c r="BB43" s="394">
        <v>0.070382</v>
      </c>
      <c r="BC43" s="394">
        <v>0.071649</v>
      </c>
      <c r="BD43" s="394">
        <v>0.077675</v>
      </c>
      <c r="BE43" s="395"/>
      <c r="BF43" s="394">
        <v>0.023926</v>
      </c>
      <c r="BG43" s="394">
        <v>0.0853808125487864</v>
      </c>
      <c r="BH43" s="394">
        <v>0.0729105475836066</v>
      </c>
      <c r="BI43" s="394">
        <v>0.0407906161726531</v>
      </c>
      <c r="BJ43" s="394">
        <v>0.0403849655230368</v>
      </c>
      <c r="BK43" s="394">
        <v>0.11889364814041</v>
      </c>
      <c r="BL43" s="394">
        <v>0.0959986374442345</v>
      </c>
      <c r="BM43" s="394">
        <v>0.0700139363217301</v>
      </c>
      <c r="BN43" s="394">
        <v>0.0651483119967636</v>
      </c>
      <c r="BO43" s="394">
        <v>0.102438726129311</v>
      </c>
      <c r="BP43" s="394">
        <v>0.0888944588807319</v>
      </c>
      <c r="BQ43" s="394">
        <v>0.109066506244937</v>
      </c>
      <c r="BR43" s="394">
        <v>0.084171366006993</v>
      </c>
      <c r="BS43" s="394">
        <v>0.105533328300747</v>
      </c>
      <c r="BT43" s="394">
        <v>0.0952584597050329</v>
      </c>
      <c r="BU43" s="394">
        <v>0.0382992957642245</v>
      </c>
    </row>
    <row r="44" spans="2:73">
      <c r="B44" s="339" t="s">
        <v>168</v>
      </c>
      <c r="C44" s="343">
        <v>1.78</v>
      </c>
      <c r="D44" s="344">
        <v>45838</v>
      </c>
      <c r="E44" s="345">
        <v>7886.657</v>
      </c>
      <c r="F44" s="10">
        <v>-0.011946</v>
      </c>
      <c r="G44" s="10">
        <v>0.115891</v>
      </c>
      <c r="H44" s="10">
        <v>0.147617</v>
      </c>
      <c r="I44" s="10">
        <v>0.105015</v>
      </c>
      <c r="J44" s="10">
        <v>0.26175</v>
      </c>
      <c r="K44" s="10">
        <v>0.248538</v>
      </c>
      <c r="L44" s="23">
        <v>0.152354</v>
      </c>
      <c r="M44" s="20"/>
      <c r="N44" s="24">
        <v>0.050052</v>
      </c>
      <c r="O44" s="25">
        <v>0.374821173104435</v>
      </c>
      <c r="P44" s="25">
        <v>0.315640880858272</v>
      </c>
      <c r="Q44" s="25">
        <v>-0.00375023438964927</v>
      </c>
      <c r="R44" s="25">
        <v>0.296620471675176</v>
      </c>
      <c r="S44" s="25">
        <v>0.132745800055081</v>
      </c>
      <c r="T44" s="25">
        <v>0.107012195121951</v>
      </c>
      <c r="U44" s="25">
        <v>-0.00243309002433106</v>
      </c>
      <c r="V44" s="25">
        <v>0.396178343949045</v>
      </c>
      <c r="W44" s="25">
        <v>0.0333479596314174</v>
      </c>
      <c r="X44" s="25">
        <v>0.0382687927107061</v>
      </c>
      <c r="Y44" s="25">
        <v>0.437459070072037</v>
      </c>
      <c r="Z44" s="25">
        <v>0.115412710007305</v>
      </c>
      <c r="AA44" s="25">
        <v>0.265249537892791</v>
      </c>
      <c r="AB44" s="25">
        <v>-0.218208092485549</v>
      </c>
      <c r="AC44" s="25">
        <v>0.222614840989399</v>
      </c>
      <c r="AD44" s="25">
        <v>0.621776504297994</v>
      </c>
      <c r="AE44" s="25">
        <v>-0.489019033674963</v>
      </c>
      <c r="AF44" s="25">
        <v>0.366</v>
      </c>
      <c r="AG44" s="25" t="s">
        <v>113</v>
      </c>
      <c r="AH44" s="25" t="s">
        <v>113</v>
      </c>
      <c r="AI44" s="25" t="s">
        <v>113</v>
      </c>
      <c r="AJ44" s="25" t="s">
        <v>113</v>
      </c>
      <c r="AK44" s="25" t="s">
        <v>113</v>
      </c>
      <c r="AL44" s="25" t="s">
        <v>113</v>
      </c>
      <c r="AM44" s="365" t="s">
        <v>113</v>
      </c>
      <c r="AS44" s="379" t="s">
        <v>169</v>
      </c>
      <c r="AT44" s="382">
        <v>0.35</v>
      </c>
      <c r="AU44" s="383">
        <v>45716</v>
      </c>
      <c r="AV44" s="382">
        <v>164.4394</v>
      </c>
      <c r="AW44" s="387"/>
      <c r="AX44" s="394">
        <v>0.005473</v>
      </c>
      <c r="AY44" s="394">
        <v>0.016243</v>
      </c>
      <c r="AZ44" s="394">
        <v>0.032896</v>
      </c>
      <c r="BA44" s="394">
        <v>0.070343</v>
      </c>
      <c r="BB44" s="394">
        <v>0.056867</v>
      </c>
      <c r="BC44" s="394" t="s">
        <v>113</v>
      </c>
      <c r="BD44" s="394" t="s">
        <v>113</v>
      </c>
      <c r="BE44" s="395"/>
      <c r="BF44" s="394">
        <v>0.016243</v>
      </c>
      <c r="BG44" s="394">
        <v>0.0730513935432649</v>
      </c>
      <c r="BH44" s="394">
        <v>0.0693406517468435</v>
      </c>
      <c r="BI44" s="394">
        <v>0.01297</v>
      </c>
      <c r="BJ44" s="394" t="s">
        <v>113</v>
      </c>
      <c r="BK44" s="394" t="s">
        <v>113</v>
      </c>
      <c r="BL44" s="394" t="s">
        <v>113</v>
      </c>
      <c r="BM44" s="394" t="s">
        <v>113</v>
      </c>
      <c r="BN44" s="394" t="s">
        <v>113</v>
      </c>
      <c r="BO44" s="394" t="s">
        <v>113</v>
      </c>
      <c r="BP44" s="394" t="s">
        <v>113</v>
      </c>
      <c r="BQ44" s="394" t="s">
        <v>113</v>
      </c>
      <c r="BR44" s="394" t="s">
        <v>113</v>
      </c>
      <c r="BS44" s="394" t="s">
        <v>113</v>
      </c>
      <c r="BT44" s="394" t="s">
        <v>113</v>
      </c>
      <c r="BU44" s="394" t="s">
        <v>113</v>
      </c>
    </row>
    <row r="45" spans="2:73">
      <c r="B45" s="339" t="s">
        <v>170</v>
      </c>
      <c r="C45" s="343">
        <v>1.58</v>
      </c>
      <c r="D45" s="344">
        <v>45838</v>
      </c>
      <c r="E45" s="345">
        <v>28294.1486</v>
      </c>
      <c r="F45" s="10">
        <v>-0.015459</v>
      </c>
      <c r="G45" s="10">
        <v>0.069466</v>
      </c>
      <c r="H45" s="10">
        <v>0.085821</v>
      </c>
      <c r="I45" s="10">
        <v>-0.014114</v>
      </c>
      <c r="J45" s="10">
        <v>0.199487</v>
      </c>
      <c r="K45" s="10">
        <v>0.230121</v>
      </c>
      <c r="L45" s="23">
        <v>0.146777</v>
      </c>
      <c r="M45" s="20"/>
      <c r="N45" s="24">
        <v>0.018433</v>
      </c>
      <c r="O45" s="25">
        <v>0.241587893262502</v>
      </c>
      <c r="P45" s="25">
        <v>0.29334584295612</v>
      </c>
      <c r="Q45" s="25">
        <v>0.0698622521465193</v>
      </c>
      <c r="R45" s="25">
        <v>0.304188457071504</v>
      </c>
      <c r="S45" s="25">
        <v>0.164627328949735</v>
      </c>
      <c r="T45" s="25">
        <v>0.131596875082945</v>
      </c>
      <c r="U45" s="25">
        <v>-0.056165607542191</v>
      </c>
      <c r="V45" s="25">
        <v>0.348706513047494</v>
      </c>
      <c r="W45" s="25">
        <v>0.0959281156271984</v>
      </c>
      <c r="X45" s="25">
        <v>0.0327074809121385</v>
      </c>
      <c r="Y45" s="25">
        <v>0.499455285640565</v>
      </c>
      <c r="Z45" s="25">
        <v>0.0423340505219539</v>
      </c>
      <c r="AA45" s="25">
        <v>0.301425978739953</v>
      </c>
      <c r="AB45" s="25">
        <v>-0.228476556249</v>
      </c>
      <c r="AC45" s="25">
        <v>0.184981511330236</v>
      </c>
      <c r="AD45" s="25">
        <v>0.801289441099868</v>
      </c>
      <c r="AE45" s="25">
        <v>-0.567726693859471</v>
      </c>
      <c r="AF45" s="25">
        <v>0.910135730653975</v>
      </c>
      <c r="AG45" s="25">
        <v>0.387041564792176</v>
      </c>
      <c r="AH45" s="25">
        <v>0.587363191803151</v>
      </c>
      <c r="AI45" s="25">
        <v>0.2883</v>
      </c>
      <c r="AJ45" s="25" t="s">
        <v>113</v>
      </c>
      <c r="AK45" s="25" t="s">
        <v>113</v>
      </c>
      <c r="AL45" s="25" t="s">
        <v>113</v>
      </c>
      <c r="AM45" s="365" t="s">
        <v>113</v>
      </c>
      <c r="AS45" s="379" t="s">
        <v>171</v>
      </c>
      <c r="AT45" s="382">
        <v>0.32</v>
      </c>
      <c r="AU45" s="383">
        <v>45716</v>
      </c>
      <c r="AV45" s="382">
        <v>1684.6227</v>
      </c>
      <c r="AW45" s="387"/>
      <c r="AX45" s="394">
        <v>0.008097</v>
      </c>
      <c r="AY45" s="394">
        <v>0.02071</v>
      </c>
      <c r="AZ45" s="394">
        <v>0.036912</v>
      </c>
      <c r="BA45" s="394">
        <v>0.079396</v>
      </c>
      <c r="BB45" s="394">
        <v>0.059463</v>
      </c>
      <c r="BC45" s="394" t="s">
        <v>113</v>
      </c>
      <c r="BD45" s="394" t="s">
        <v>113</v>
      </c>
      <c r="BE45" s="395"/>
      <c r="BF45" s="394">
        <v>0.02071</v>
      </c>
      <c r="BG45" s="394">
        <v>0.0775073460109773</v>
      </c>
      <c r="BH45" s="394">
        <v>0.0686798265970159</v>
      </c>
      <c r="BI45" s="394">
        <v>0.01267</v>
      </c>
      <c r="BJ45" s="394" t="s">
        <v>113</v>
      </c>
      <c r="BK45" s="394" t="s">
        <v>113</v>
      </c>
      <c r="BL45" s="394" t="s">
        <v>113</v>
      </c>
      <c r="BM45" s="394" t="s">
        <v>113</v>
      </c>
      <c r="BN45" s="394" t="s">
        <v>113</v>
      </c>
      <c r="BO45" s="394" t="s">
        <v>113</v>
      </c>
      <c r="BP45" s="394" t="s">
        <v>113</v>
      </c>
      <c r="BQ45" s="394" t="s">
        <v>113</v>
      </c>
      <c r="BR45" s="394" t="s">
        <v>113</v>
      </c>
      <c r="BS45" s="394" t="s">
        <v>113</v>
      </c>
      <c r="BT45" s="394" t="s">
        <v>113</v>
      </c>
      <c r="BU45" s="394" t="s">
        <v>113</v>
      </c>
    </row>
    <row r="46" spans="2:73">
      <c r="B46" s="339" t="s">
        <v>172</v>
      </c>
      <c r="C46" s="343">
        <v>1.52</v>
      </c>
      <c r="D46" s="344">
        <v>45838</v>
      </c>
      <c r="E46" s="345">
        <v>41201.8704</v>
      </c>
      <c r="F46" s="10">
        <v>-0.019514</v>
      </c>
      <c r="G46" s="10">
        <v>0.064122</v>
      </c>
      <c r="H46" s="10">
        <v>0.085592</v>
      </c>
      <c r="I46" s="10">
        <v>-0.026001</v>
      </c>
      <c r="J46" s="10">
        <v>0.163582</v>
      </c>
      <c r="K46" s="10">
        <v>0.220446</v>
      </c>
      <c r="L46" s="23">
        <v>0.166869</v>
      </c>
      <c r="M46" s="20"/>
      <c r="N46" s="24">
        <v>0.028941</v>
      </c>
      <c r="O46" s="25">
        <v>0.155613080542972</v>
      </c>
      <c r="P46" s="25">
        <v>0.293407047638731</v>
      </c>
      <c r="Q46" s="25">
        <v>-0.0144818315137689</v>
      </c>
      <c r="R46" s="25">
        <v>0.391314204746723</v>
      </c>
      <c r="S46" s="25">
        <v>0.223964204575016</v>
      </c>
      <c r="T46" s="25">
        <v>0.147162979468407</v>
      </c>
      <c r="U46" s="25">
        <v>-0.0541923829595062</v>
      </c>
      <c r="V46" s="25">
        <v>0.490130103185285</v>
      </c>
      <c r="W46" s="25">
        <v>0.121650522078249</v>
      </c>
      <c r="X46" s="25">
        <v>0.140786452353617</v>
      </c>
      <c r="Y46" s="25">
        <v>0.846194608200305</v>
      </c>
      <c r="Z46" s="25">
        <v>0.086115107913669</v>
      </c>
      <c r="AA46" s="25">
        <v>0.455649806262436</v>
      </c>
      <c r="AB46" s="25">
        <v>-0.151501688288608</v>
      </c>
      <c r="AC46" s="25">
        <v>0.1254</v>
      </c>
      <c r="AD46" s="25" t="s">
        <v>113</v>
      </c>
      <c r="AE46" s="25" t="s">
        <v>113</v>
      </c>
      <c r="AF46" s="25" t="s">
        <v>113</v>
      </c>
      <c r="AG46" s="25" t="s">
        <v>113</v>
      </c>
      <c r="AH46" s="25" t="s">
        <v>113</v>
      </c>
      <c r="AI46" s="25" t="s">
        <v>113</v>
      </c>
      <c r="AJ46" s="25" t="s">
        <v>113</v>
      </c>
      <c r="AK46" s="25" t="s">
        <v>113</v>
      </c>
      <c r="AL46" s="25" t="s">
        <v>113</v>
      </c>
      <c r="AM46" s="365" t="s">
        <v>113</v>
      </c>
      <c r="AS46" s="379" t="s">
        <v>173</v>
      </c>
      <c r="AT46" s="382">
        <v>0.45</v>
      </c>
      <c r="AU46" s="383">
        <v>45716</v>
      </c>
      <c r="AV46" s="382">
        <v>52.8246</v>
      </c>
      <c r="AW46" s="387"/>
      <c r="AX46" s="394">
        <v>0.007072</v>
      </c>
      <c r="AY46" s="394">
        <v>0.01891</v>
      </c>
      <c r="AZ46" s="394">
        <v>0.035319</v>
      </c>
      <c r="BA46" s="394">
        <v>0.074483</v>
      </c>
      <c r="BB46" s="394" t="s">
        <v>113</v>
      </c>
      <c r="BC46" s="394" t="s">
        <v>113</v>
      </c>
      <c r="BD46" s="394" t="s">
        <v>113</v>
      </c>
      <c r="BE46" s="395"/>
      <c r="BF46" s="394">
        <v>0.01891</v>
      </c>
      <c r="BG46" s="394">
        <v>0.0740391439136445</v>
      </c>
      <c r="BH46" s="394">
        <v>0.0678020181071272</v>
      </c>
      <c r="BI46" s="394">
        <v>0.00291999999999994</v>
      </c>
      <c r="BJ46" s="394" t="s">
        <v>113</v>
      </c>
      <c r="BK46" s="394" t="s">
        <v>113</v>
      </c>
      <c r="BL46" s="394" t="s">
        <v>113</v>
      </c>
      <c r="BM46" s="394" t="s">
        <v>113</v>
      </c>
      <c r="BN46" s="394" t="s">
        <v>113</v>
      </c>
      <c r="BO46" s="394" t="s">
        <v>113</v>
      </c>
      <c r="BP46" s="394" t="s">
        <v>113</v>
      </c>
      <c r="BQ46" s="394" t="s">
        <v>113</v>
      </c>
      <c r="BR46" s="394" t="s">
        <v>113</v>
      </c>
      <c r="BS46" s="394" t="s">
        <v>113</v>
      </c>
      <c r="BT46" s="394" t="s">
        <v>113</v>
      </c>
      <c r="BU46" s="394" t="s">
        <v>113</v>
      </c>
    </row>
    <row r="47" spans="2:73">
      <c r="B47" s="339" t="s">
        <v>174</v>
      </c>
      <c r="C47" s="343">
        <v>1.71</v>
      </c>
      <c r="D47" s="344">
        <v>45838</v>
      </c>
      <c r="E47" s="345">
        <v>11816.3015</v>
      </c>
      <c r="F47" s="10">
        <v>-0.029309</v>
      </c>
      <c r="G47" s="10">
        <v>0.125195</v>
      </c>
      <c r="H47" s="10">
        <v>0.106496</v>
      </c>
      <c r="I47" s="10">
        <v>0.084857</v>
      </c>
      <c r="J47" s="10">
        <v>0.287255</v>
      </c>
      <c r="K47" s="10">
        <v>0.288825</v>
      </c>
      <c r="L47" s="23" t="s">
        <v>113</v>
      </c>
      <c r="M47" s="20"/>
      <c r="N47" s="24">
        <v>-0.037926</v>
      </c>
      <c r="O47" s="25">
        <v>0.461074045442323</v>
      </c>
      <c r="P47" s="25">
        <v>0.380475129918337</v>
      </c>
      <c r="Q47" s="25">
        <v>0.0165797976462818</v>
      </c>
      <c r="R47" s="25">
        <v>0.408156487662316</v>
      </c>
      <c r="S47" s="25">
        <v>0.125623820115512</v>
      </c>
      <c r="T47" s="25">
        <v>0.0700200000000001</v>
      </c>
      <c r="U47" s="25" t="s">
        <v>113</v>
      </c>
      <c r="V47" s="25" t="s">
        <v>113</v>
      </c>
      <c r="W47" s="25" t="s">
        <v>113</v>
      </c>
      <c r="X47" s="25" t="s">
        <v>113</v>
      </c>
      <c r="Y47" s="25" t="s">
        <v>113</v>
      </c>
      <c r="Z47" s="25" t="s">
        <v>113</v>
      </c>
      <c r="AA47" s="25" t="s">
        <v>113</v>
      </c>
      <c r="AB47" s="25" t="s">
        <v>113</v>
      </c>
      <c r="AC47" s="25" t="s">
        <v>113</v>
      </c>
      <c r="AD47" s="25" t="s">
        <v>113</v>
      </c>
      <c r="AE47" s="25" t="s">
        <v>113</v>
      </c>
      <c r="AF47" s="25" t="s">
        <v>113</v>
      </c>
      <c r="AG47" s="25" t="s">
        <v>113</v>
      </c>
      <c r="AH47" s="25" t="s">
        <v>113</v>
      </c>
      <c r="AI47" s="25" t="s">
        <v>113</v>
      </c>
      <c r="AJ47" s="25" t="s">
        <v>113</v>
      </c>
      <c r="AK47" s="25" t="s">
        <v>113</v>
      </c>
      <c r="AL47" s="25" t="s">
        <v>113</v>
      </c>
      <c r="AM47" s="365" t="s">
        <v>113</v>
      </c>
      <c r="AS47" s="379" t="s">
        <v>175</v>
      </c>
      <c r="AT47" s="382">
        <v>0.34</v>
      </c>
      <c r="AU47" s="383">
        <v>45716</v>
      </c>
      <c r="AV47" s="382">
        <v>9553.9426</v>
      </c>
      <c r="AW47" s="387"/>
      <c r="AX47" s="394">
        <v>0.007877</v>
      </c>
      <c r="AY47" s="394">
        <v>0.020445</v>
      </c>
      <c r="AZ47" s="394">
        <v>0.036915</v>
      </c>
      <c r="BA47" s="394">
        <v>0.078188</v>
      </c>
      <c r="BB47" s="394">
        <v>0.059025</v>
      </c>
      <c r="BC47" s="394" t="s">
        <v>113</v>
      </c>
      <c r="BD47" s="394" t="s">
        <v>113</v>
      </c>
      <c r="BE47" s="395"/>
      <c r="BF47" s="394">
        <v>0.020445</v>
      </c>
      <c r="BG47" s="394">
        <v>0.0770448692866958</v>
      </c>
      <c r="BH47" s="394">
        <v>0.0682368265015504</v>
      </c>
      <c r="BI47" s="394">
        <v>0.0207469291369833</v>
      </c>
      <c r="BJ47" s="394">
        <v>0.00785999999999998</v>
      </c>
      <c r="BK47" s="394" t="s">
        <v>113</v>
      </c>
      <c r="BL47" s="394" t="s">
        <v>113</v>
      </c>
      <c r="BM47" s="394" t="s">
        <v>113</v>
      </c>
      <c r="BN47" s="394" t="s">
        <v>113</v>
      </c>
      <c r="BO47" s="394" t="s">
        <v>113</v>
      </c>
      <c r="BP47" s="394" t="s">
        <v>113</v>
      </c>
      <c r="BQ47" s="394" t="s">
        <v>113</v>
      </c>
      <c r="BR47" s="394" t="s">
        <v>113</v>
      </c>
      <c r="BS47" s="394" t="s">
        <v>113</v>
      </c>
      <c r="BT47" s="394" t="s">
        <v>113</v>
      </c>
      <c r="BU47" s="394" t="s">
        <v>113</v>
      </c>
    </row>
    <row r="48" spans="2:73">
      <c r="B48" s="339" t="s">
        <v>176</v>
      </c>
      <c r="C48" s="343">
        <v>1.92</v>
      </c>
      <c r="D48" s="344">
        <v>45838</v>
      </c>
      <c r="E48" s="345">
        <v>6197.9854</v>
      </c>
      <c r="F48" s="10">
        <v>-0.019363</v>
      </c>
      <c r="G48" s="10">
        <v>0.041949</v>
      </c>
      <c r="H48" s="10">
        <v>0.070586</v>
      </c>
      <c r="I48" s="10">
        <v>0.010001</v>
      </c>
      <c r="J48" s="10">
        <v>0.21768</v>
      </c>
      <c r="K48" s="10">
        <v>0.249048</v>
      </c>
      <c r="L48" s="23">
        <v>0.123305</v>
      </c>
      <c r="M48" s="20"/>
      <c r="N48" s="24">
        <v>0.0201</v>
      </c>
      <c r="O48" s="25">
        <v>0.256417082491217</v>
      </c>
      <c r="P48" s="25">
        <v>0.342463086432363</v>
      </c>
      <c r="Q48" s="25">
        <v>0.0243338582631291</v>
      </c>
      <c r="R48" s="25">
        <v>0.337782018435386</v>
      </c>
      <c r="S48" s="25">
        <v>0.133262718804136</v>
      </c>
      <c r="T48" s="25">
        <v>0.055708241936822</v>
      </c>
      <c r="U48" s="25">
        <v>-0.169459288210257</v>
      </c>
      <c r="V48" s="25">
        <v>0.413906548998172</v>
      </c>
      <c r="W48" s="25">
        <v>0.0395420253931258</v>
      </c>
      <c r="X48" s="25">
        <v>-0.0223185685955494</v>
      </c>
      <c r="Y48" s="25">
        <v>0.604310413130545</v>
      </c>
      <c r="Z48" s="25">
        <v>-0.00307754950074652</v>
      </c>
      <c r="AA48" s="25">
        <v>0.299762327885335</v>
      </c>
      <c r="AB48" s="25">
        <v>-0.285450615425839</v>
      </c>
      <c r="AC48" s="25">
        <v>0.152611391945783</v>
      </c>
      <c r="AD48" s="25">
        <v>0.821258979490324</v>
      </c>
      <c r="AE48" s="25">
        <v>-0.519171243829521</v>
      </c>
      <c r="AF48" s="25">
        <v>0.566178472260032</v>
      </c>
      <c r="AG48" s="25">
        <v>0.458045566404699</v>
      </c>
      <c r="AH48" s="25">
        <v>0.534722222222222</v>
      </c>
      <c r="AI48" s="25">
        <v>0.198073273974602</v>
      </c>
      <c r="AJ48" s="25">
        <v>1.55158286778399</v>
      </c>
      <c r="AK48" s="25">
        <v>0.745773732119636</v>
      </c>
      <c r="AL48" s="25">
        <v>-0.161395856052345</v>
      </c>
      <c r="AM48" s="365">
        <v>-0.202261852979556</v>
      </c>
      <c r="AS48" s="379" t="s">
        <v>177</v>
      </c>
      <c r="AT48" s="382">
        <v>0.91</v>
      </c>
      <c r="AU48" s="383">
        <v>45716</v>
      </c>
      <c r="AV48" s="382">
        <v>6298.575897</v>
      </c>
      <c r="AW48" s="387"/>
      <c r="AX48" s="394">
        <v>0.012837</v>
      </c>
      <c r="AY48" s="394">
        <v>0.023696</v>
      </c>
      <c r="AZ48" s="394">
        <v>0.039576</v>
      </c>
      <c r="BA48" s="394">
        <v>0.083363</v>
      </c>
      <c r="BB48" s="394">
        <v>0.066278</v>
      </c>
      <c r="BC48" s="394">
        <v>0.066906</v>
      </c>
      <c r="BD48" s="394" t="s">
        <v>113</v>
      </c>
      <c r="BE48" s="395"/>
      <c r="BF48" s="394">
        <v>0.023696</v>
      </c>
      <c r="BG48" s="394">
        <v>0.0805475055208134</v>
      </c>
      <c r="BH48" s="394">
        <v>0.0678105327262298</v>
      </c>
      <c r="BI48" s="394">
        <v>0.036896440319549</v>
      </c>
      <c r="BJ48" s="394">
        <v>0.0367686241074282</v>
      </c>
      <c r="BK48" s="394">
        <v>0.115544006250212</v>
      </c>
      <c r="BL48" s="394">
        <v>0.0605495663451406</v>
      </c>
      <c r="BM48" s="394">
        <v>0.0786395694495718</v>
      </c>
      <c r="BN48" s="394">
        <v>0.0293799999999999</v>
      </c>
      <c r="BO48" s="394" t="s">
        <v>113</v>
      </c>
      <c r="BP48" s="394" t="s">
        <v>113</v>
      </c>
      <c r="BQ48" s="394" t="s">
        <v>113</v>
      </c>
      <c r="BR48" s="394" t="s">
        <v>113</v>
      </c>
      <c r="BS48" s="394" t="s">
        <v>113</v>
      </c>
      <c r="BT48" s="394" t="s">
        <v>113</v>
      </c>
      <c r="BU48" s="394" t="s">
        <v>113</v>
      </c>
    </row>
    <row r="49" spans="2:73">
      <c r="B49" s="339" t="s">
        <v>178</v>
      </c>
      <c r="C49" s="343">
        <v>1.88</v>
      </c>
      <c r="D49" s="344">
        <v>45838</v>
      </c>
      <c r="E49" s="345">
        <v>3840.481</v>
      </c>
      <c r="F49" s="10">
        <v>-0.037538</v>
      </c>
      <c r="G49" s="10">
        <v>0.022908</v>
      </c>
      <c r="H49" s="10">
        <v>0.008133</v>
      </c>
      <c r="I49" s="10">
        <v>-0.12968</v>
      </c>
      <c r="J49" s="10">
        <v>0.189612</v>
      </c>
      <c r="K49" s="10">
        <v>0.233129</v>
      </c>
      <c r="L49" s="23">
        <v>0.158011</v>
      </c>
      <c r="M49" s="20"/>
      <c r="N49" s="24">
        <v>-0.021805</v>
      </c>
      <c r="O49" s="25">
        <v>0.178497552387192</v>
      </c>
      <c r="P49" s="25">
        <v>0.322483054366213</v>
      </c>
      <c r="Q49" s="25">
        <v>0.129910272501267</v>
      </c>
      <c r="R49" s="25">
        <v>0.36843235209116</v>
      </c>
      <c r="S49" s="25">
        <v>0.288289390401523</v>
      </c>
      <c r="T49" s="25">
        <v>0.0326136507186756</v>
      </c>
      <c r="U49" s="25">
        <v>-0.0844906825427154</v>
      </c>
      <c r="V49" s="25">
        <v>0.331333951445814</v>
      </c>
      <c r="W49" s="25">
        <v>0.135093958252597</v>
      </c>
      <c r="X49" s="25">
        <v>0.187204272459506</v>
      </c>
      <c r="Y49" s="25">
        <v>0.646740301123829</v>
      </c>
      <c r="Z49" s="25">
        <v>-0.0283353181047237</v>
      </c>
      <c r="AA49" s="25">
        <v>0.244163284364786</v>
      </c>
      <c r="AB49" s="25">
        <v>-0.268727673881067</v>
      </c>
      <c r="AC49" s="25">
        <v>0.285553895374849</v>
      </c>
      <c r="AD49" s="25">
        <v>0.44469919631206</v>
      </c>
      <c r="AE49" s="25">
        <v>-0.442826468070071</v>
      </c>
      <c r="AF49" s="25">
        <v>0.47166</v>
      </c>
      <c r="AG49" s="25">
        <v>0</v>
      </c>
      <c r="AH49" s="25" t="s">
        <v>113</v>
      </c>
      <c r="AI49" s="25" t="s">
        <v>113</v>
      </c>
      <c r="AJ49" s="25" t="s">
        <v>113</v>
      </c>
      <c r="AK49" s="25" t="s">
        <v>113</v>
      </c>
      <c r="AL49" s="25" t="s">
        <v>113</v>
      </c>
      <c r="AM49" s="365" t="s">
        <v>113</v>
      </c>
      <c r="AS49" s="379" t="s">
        <v>179</v>
      </c>
      <c r="AT49" s="382">
        <v>0.29</v>
      </c>
      <c r="AU49" s="383">
        <v>45716</v>
      </c>
      <c r="AV49" s="382">
        <v>463.515</v>
      </c>
      <c r="AW49" s="387"/>
      <c r="AX49" s="394">
        <v>0.00586</v>
      </c>
      <c r="AY49" s="394">
        <v>0.017259</v>
      </c>
      <c r="AZ49" s="394">
        <v>0.034818</v>
      </c>
      <c r="BA49" s="394">
        <v>0.072467</v>
      </c>
      <c r="BB49" s="394">
        <v>0.056648</v>
      </c>
      <c r="BC49" s="394" t="s">
        <v>113</v>
      </c>
      <c r="BD49" s="394" t="s">
        <v>113</v>
      </c>
      <c r="BE49" s="395"/>
      <c r="BF49" s="394">
        <v>0.017259</v>
      </c>
      <c r="BG49" s="394">
        <v>0.0743228343562793</v>
      </c>
      <c r="BH49" s="394">
        <v>0.069031903190319</v>
      </c>
      <c r="BI49" s="394">
        <v>0.01808</v>
      </c>
      <c r="BJ49" s="394" t="s">
        <v>113</v>
      </c>
      <c r="BK49" s="394" t="s">
        <v>113</v>
      </c>
      <c r="BL49" s="394" t="s">
        <v>113</v>
      </c>
      <c r="BM49" s="394" t="s">
        <v>113</v>
      </c>
      <c r="BN49" s="394" t="s">
        <v>113</v>
      </c>
      <c r="BO49" s="394" t="s">
        <v>113</v>
      </c>
      <c r="BP49" s="394" t="s">
        <v>113</v>
      </c>
      <c r="BQ49" s="394" t="s">
        <v>113</v>
      </c>
      <c r="BR49" s="394" t="s">
        <v>113</v>
      </c>
      <c r="BS49" s="394" t="s">
        <v>113</v>
      </c>
      <c r="BT49" s="394" t="s">
        <v>113</v>
      </c>
      <c r="BU49" s="394" t="s">
        <v>113</v>
      </c>
    </row>
    <row r="50" spans="2:73">
      <c r="B50" s="339" t="s">
        <v>48</v>
      </c>
      <c r="C50" s="343">
        <v>1.58</v>
      </c>
      <c r="D50" s="344">
        <v>45838</v>
      </c>
      <c r="E50" s="345">
        <v>33031.1355</v>
      </c>
      <c r="F50" s="10">
        <v>-0.009427</v>
      </c>
      <c r="G50" s="10">
        <v>0.065682</v>
      </c>
      <c r="H50" s="10">
        <v>0.085126</v>
      </c>
      <c r="I50" s="10">
        <v>0.02127</v>
      </c>
      <c r="J50" s="10">
        <v>0.192237</v>
      </c>
      <c r="K50" s="10">
        <v>0.246868</v>
      </c>
      <c r="L50" s="23">
        <v>0.141788</v>
      </c>
      <c r="M50" s="20"/>
      <c r="N50" s="24">
        <v>0.049623</v>
      </c>
      <c r="O50" s="25">
        <v>0.180429945474413</v>
      </c>
      <c r="P50" s="25">
        <v>0.267927654028178</v>
      </c>
      <c r="Q50" s="25">
        <v>0.0727005482251813</v>
      </c>
      <c r="R50" s="25">
        <v>0.393453444860057</v>
      </c>
      <c r="S50" s="25">
        <v>0.157561874583203</v>
      </c>
      <c r="T50" s="25">
        <v>0.0682271555012597</v>
      </c>
      <c r="U50" s="25">
        <v>-0.0525042773477515</v>
      </c>
      <c r="V50" s="25">
        <v>0.404572440156693</v>
      </c>
      <c r="W50" s="25">
        <v>0.00423864258347235</v>
      </c>
      <c r="X50" s="25">
        <v>0.110530282768848</v>
      </c>
      <c r="Y50" s="25">
        <v>0.482552002068031</v>
      </c>
      <c r="Z50" s="25">
        <v>0.105385928961748</v>
      </c>
      <c r="AA50" s="25">
        <v>0.324687075855833</v>
      </c>
      <c r="AB50" s="25">
        <v>-0.257529951853097</v>
      </c>
      <c r="AC50" s="25">
        <v>0.19302698370291</v>
      </c>
      <c r="AD50" s="25">
        <v>0.875250501002009</v>
      </c>
      <c r="AE50" s="25">
        <v>-0.551913795038724</v>
      </c>
      <c r="AF50" s="25">
        <v>0.648898759948174</v>
      </c>
      <c r="AG50" s="25">
        <v>0.498336106489185</v>
      </c>
      <c r="AH50" s="25">
        <v>0.701746106654083</v>
      </c>
      <c r="AI50" s="25">
        <v>0.294292388350063</v>
      </c>
      <c r="AJ50" s="25">
        <v>1.17604790419161</v>
      </c>
      <c r="AK50" s="25">
        <v>-0.0222482435597142</v>
      </c>
      <c r="AL50" s="25">
        <v>-0.415868673050615</v>
      </c>
      <c r="AM50" s="365">
        <v>-0.512050487251184</v>
      </c>
      <c r="AN50" s="65">
        <v>0.82</v>
      </c>
      <c r="AO50" s="65">
        <v>0.86</v>
      </c>
      <c r="AP50" s="65">
        <v>24.05</v>
      </c>
      <c r="AQ50" s="65">
        <v>3.61</v>
      </c>
      <c r="AS50" s="379" t="s">
        <v>180</v>
      </c>
      <c r="AT50" s="382">
        <v>0.65</v>
      </c>
      <c r="AU50" s="383">
        <v>45716</v>
      </c>
      <c r="AV50" s="382">
        <v>13995.734</v>
      </c>
      <c r="AW50" s="387"/>
      <c r="AX50" s="394">
        <v>0.01226</v>
      </c>
      <c r="AY50" s="394">
        <v>0.022817</v>
      </c>
      <c r="AZ50" s="394">
        <v>0.038924</v>
      </c>
      <c r="BA50" s="394">
        <v>0.082463</v>
      </c>
      <c r="BB50" s="394">
        <v>0.061241</v>
      </c>
      <c r="BC50" s="394">
        <v>0.064145</v>
      </c>
      <c r="BD50" s="394" t="s">
        <v>113</v>
      </c>
      <c r="BE50" s="395"/>
      <c r="BF50" s="394">
        <v>0.022817</v>
      </c>
      <c r="BG50" s="394">
        <v>0.0767316587622227</v>
      </c>
      <c r="BH50" s="394">
        <v>0.0680115562114637</v>
      </c>
      <c r="BI50" s="394">
        <v>0.0262673195525635</v>
      </c>
      <c r="BJ50" s="394">
        <v>0.0366711241509158</v>
      </c>
      <c r="BK50" s="394">
        <v>0.11563126252505</v>
      </c>
      <c r="BL50" s="394">
        <v>0.0848088118070485</v>
      </c>
      <c r="BM50" s="394">
        <v>0.0633942102694512</v>
      </c>
      <c r="BN50" s="394">
        <v>0.0617062860779054</v>
      </c>
      <c r="BO50" s="394">
        <v>0.10005</v>
      </c>
      <c r="BP50" s="394" t="s">
        <v>113</v>
      </c>
      <c r="BQ50" s="394" t="s">
        <v>113</v>
      </c>
      <c r="BR50" s="394" t="s">
        <v>113</v>
      </c>
      <c r="BS50" s="394" t="s">
        <v>113</v>
      </c>
      <c r="BT50" s="394" t="s">
        <v>113</v>
      </c>
      <c r="BU50" s="394" t="s">
        <v>113</v>
      </c>
    </row>
    <row r="51" spans="2:73">
      <c r="B51" s="339" t="s">
        <v>181</v>
      </c>
      <c r="C51" s="343">
        <v>1.74</v>
      </c>
      <c r="D51" s="344">
        <v>45838</v>
      </c>
      <c r="E51" s="345">
        <v>8886.8832155222</v>
      </c>
      <c r="F51" s="10">
        <v>-0.013422</v>
      </c>
      <c r="G51" s="10">
        <v>0.048437</v>
      </c>
      <c r="H51" s="10">
        <v>0.075309</v>
      </c>
      <c r="I51" s="10">
        <v>-0.02183</v>
      </c>
      <c r="J51" s="10">
        <v>0.171726</v>
      </c>
      <c r="K51" s="10">
        <v>0.209077</v>
      </c>
      <c r="L51" s="23">
        <v>0.129751</v>
      </c>
      <c r="M51" s="20"/>
      <c r="N51" s="24">
        <v>0.02572</v>
      </c>
      <c r="O51" s="25">
        <v>0.15527193121227</v>
      </c>
      <c r="P51" s="25">
        <v>0.228834744621893</v>
      </c>
      <c r="Q51" s="25">
        <v>0.112055038417142</v>
      </c>
      <c r="R51" s="25">
        <v>0.285262549260671</v>
      </c>
      <c r="S51" s="25">
        <v>0.154870304051298</v>
      </c>
      <c r="T51" s="25">
        <v>0.138734288118166</v>
      </c>
      <c r="U51" s="25">
        <v>-0.0531525917509418</v>
      </c>
      <c r="V51" s="25">
        <v>0.319385178004649</v>
      </c>
      <c r="W51" s="25">
        <v>0.0152728541475344</v>
      </c>
      <c r="X51" s="25">
        <v>0.0657172483660316</v>
      </c>
      <c r="Y51" s="25">
        <v>0.485408674864028</v>
      </c>
      <c r="Z51" s="25">
        <v>0.0869366251825102</v>
      </c>
      <c r="AA51" s="25">
        <v>0.337189171340677</v>
      </c>
      <c r="AB51" s="25">
        <v>-0.230338519504683</v>
      </c>
      <c r="AC51" s="25">
        <v>0.0981492126120335</v>
      </c>
      <c r="AD51" s="25">
        <v>0.951212627613788</v>
      </c>
      <c r="AE51" s="25">
        <v>-0.609144554293045</v>
      </c>
      <c r="AF51" s="25">
        <v>0.763552871047779</v>
      </c>
      <c r="AG51" s="25">
        <v>0.379524039135299</v>
      </c>
      <c r="AH51" s="25">
        <v>0.511711245884098</v>
      </c>
      <c r="AI51" s="25">
        <v>0.298577823370325</v>
      </c>
      <c r="AJ51" s="25">
        <v>1.65086153617958</v>
      </c>
      <c r="AK51" s="25">
        <v>0.179535778853444</v>
      </c>
      <c r="AL51" s="25">
        <v>-0.297973387922211</v>
      </c>
      <c r="AM51" s="365">
        <v>-0.0111336032388665</v>
      </c>
      <c r="AS51" s="379" t="s">
        <v>182</v>
      </c>
      <c r="AT51" s="382">
        <v>0.58</v>
      </c>
      <c r="AU51" s="383">
        <v>45716</v>
      </c>
      <c r="AV51" s="382">
        <v>210.0986</v>
      </c>
      <c r="AW51" s="387"/>
      <c r="AX51" s="394">
        <v>0.014595</v>
      </c>
      <c r="AY51" s="394">
        <v>0.02542</v>
      </c>
      <c r="AZ51" s="394">
        <v>0.040426</v>
      </c>
      <c r="BA51" s="394">
        <v>0.085741</v>
      </c>
      <c r="BB51" s="394">
        <v>0.062594</v>
      </c>
      <c r="BC51" s="394">
        <v>0.058543</v>
      </c>
      <c r="BD51" s="394">
        <v>0.059602</v>
      </c>
      <c r="BE51" s="395"/>
      <c r="BF51" s="394">
        <v>0.02542</v>
      </c>
      <c r="BG51" s="394">
        <v>0.0830501670026033</v>
      </c>
      <c r="BH51" s="394">
        <v>0.0697325369803819</v>
      </c>
      <c r="BI51" s="394">
        <v>0.0159913273476439</v>
      </c>
      <c r="BJ51" s="394">
        <v>0.0220869501250551</v>
      </c>
      <c r="BK51" s="394">
        <v>0.0992878767202906</v>
      </c>
      <c r="BL51" s="394">
        <v>0.00860473770333031</v>
      </c>
      <c r="BM51" s="394">
        <v>0.0524985782193942</v>
      </c>
      <c r="BN51" s="394">
        <v>0.0667208461151047</v>
      </c>
      <c r="BO51" s="394">
        <v>0.107520679491649</v>
      </c>
      <c r="BP51" s="394">
        <v>0.0723194562446899</v>
      </c>
      <c r="BQ51" s="394">
        <v>0.10767713423127</v>
      </c>
      <c r="BR51" s="394">
        <v>0.0713951537443939</v>
      </c>
      <c r="BS51" s="394">
        <v>0.0950719465766856</v>
      </c>
      <c r="BT51" s="394">
        <v>0.0911500501195158</v>
      </c>
      <c r="BU51" s="394" t="s">
        <v>113</v>
      </c>
    </row>
    <row r="52" ht="14.55" spans="2:73">
      <c r="B52" s="339" t="s">
        <v>183</v>
      </c>
      <c r="C52" s="346">
        <v>1.92</v>
      </c>
      <c r="D52" s="347">
        <v>45838</v>
      </c>
      <c r="E52" s="348">
        <v>4866.1141</v>
      </c>
      <c r="F52" s="10">
        <v>-0.029695</v>
      </c>
      <c r="G52" s="10">
        <v>0.04598</v>
      </c>
      <c r="H52" s="10">
        <v>0.058835</v>
      </c>
      <c r="I52" s="10">
        <v>-0.006067</v>
      </c>
      <c r="J52" s="10">
        <v>0.222354</v>
      </c>
      <c r="K52" s="10">
        <v>0.260465</v>
      </c>
      <c r="L52" s="23">
        <v>0.133206</v>
      </c>
      <c r="M52" s="20"/>
      <c r="N52" s="24">
        <v>0.013978</v>
      </c>
      <c r="O52" s="25">
        <v>0.271976547698667</v>
      </c>
      <c r="P52" s="25">
        <v>0.344343449233229</v>
      </c>
      <c r="Q52" s="25">
        <v>0.0457529217676795</v>
      </c>
      <c r="R52" s="25">
        <v>0.407599113087138</v>
      </c>
      <c r="S52" s="25">
        <v>0.12803467599054</v>
      </c>
      <c r="T52" s="25">
        <v>0.0145094131112602</v>
      </c>
      <c r="U52" s="25">
        <v>-0.0794774368367671</v>
      </c>
      <c r="V52" s="25">
        <v>0.352265888238834</v>
      </c>
      <c r="W52" s="25">
        <v>0.0339407793087392</v>
      </c>
      <c r="X52" s="25">
        <v>0.00474225927186116</v>
      </c>
      <c r="Y52" s="25">
        <v>0.416987334982628</v>
      </c>
      <c r="Z52" s="25">
        <v>0.0626288824847902</v>
      </c>
      <c r="AA52" s="25">
        <v>0.226148409893993</v>
      </c>
      <c r="AB52" s="25">
        <v>-0.161619486504279</v>
      </c>
      <c r="AC52" s="25">
        <v>0.128948346339651</v>
      </c>
      <c r="AD52" s="25">
        <v>0.245833333333333</v>
      </c>
      <c r="AE52" s="25" t="s">
        <v>113</v>
      </c>
      <c r="AF52" s="25" t="s">
        <v>113</v>
      </c>
      <c r="AG52" s="25" t="s">
        <v>113</v>
      </c>
      <c r="AH52" s="25" t="s">
        <v>113</v>
      </c>
      <c r="AI52" s="25" t="s">
        <v>113</v>
      </c>
      <c r="AJ52" s="25" t="s">
        <v>113</v>
      </c>
      <c r="AK52" s="25" t="s">
        <v>113</v>
      </c>
      <c r="AL52" s="25" t="s">
        <v>113</v>
      </c>
      <c r="AM52" s="365" t="s">
        <v>113</v>
      </c>
      <c r="AS52" s="379" t="s">
        <v>184</v>
      </c>
      <c r="AT52" s="382">
        <v>1.03</v>
      </c>
      <c r="AU52" s="383">
        <v>45716</v>
      </c>
      <c r="AV52" s="382">
        <v>119.592</v>
      </c>
      <c r="AW52" s="387"/>
      <c r="AX52" s="394">
        <v>0.013939</v>
      </c>
      <c r="AY52" s="394">
        <v>0.021185</v>
      </c>
      <c r="AZ52" s="394">
        <v>0.035048</v>
      </c>
      <c r="BA52" s="394">
        <v>0.077088</v>
      </c>
      <c r="BB52" s="394">
        <v>0.059001</v>
      </c>
      <c r="BC52" s="394">
        <v>0.057425</v>
      </c>
      <c r="BD52" s="394">
        <v>0.065294</v>
      </c>
      <c r="BE52" s="395"/>
      <c r="BF52" s="394">
        <v>0.021185</v>
      </c>
      <c r="BG52" s="394">
        <v>0.0750628221401152</v>
      </c>
      <c r="BH52" s="394">
        <v>0.0601910116644602</v>
      </c>
      <c r="BI52" s="394">
        <v>0.0290178446289518</v>
      </c>
      <c r="BJ52" s="394">
        <v>0.0283413180211809</v>
      </c>
      <c r="BK52" s="394">
        <v>0.0958247256600269</v>
      </c>
      <c r="BL52" s="394">
        <v>0.0940930078243801</v>
      </c>
      <c r="BM52" s="394">
        <v>0.0529012350171388</v>
      </c>
      <c r="BN52" s="394">
        <v>0.0533953787890404</v>
      </c>
      <c r="BO52" s="394">
        <v>0.0956816826402131</v>
      </c>
      <c r="BP52" s="394">
        <v>0.0760213304410701</v>
      </c>
      <c r="BQ52" s="394">
        <v>0.1064</v>
      </c>
      <c r="BR52" s="394" t="s">
        <v>113</v>
      </c>
      <c r="BS52" s="394" t="s">
        <v>113</v>
      </c>
      <c r="BT52" s="394" t="s">
        <v>113</v>
      </c>
      <c r="BU52" s="394" t="s">
        <v>113</v>
      </c>
    </row>
    <row r="53" ht="14.55" spans="2:73">
      <c r="B53" s="12" t="s">
        <v>185</v>
      </c>
      <c r="F53" s="13">
        <v>-0.02971</v>
      </c>
      <c r="G53" s="14">
        <v>0.026524</v>
      </c>
      <c r="H53" s="14">
        <v>0.054662</v>
      </c>
      <c r="I53" s="14">
        <v>-0.02863</v>
      </c>
      <c r="J53" s="14">
        <v>0.145994</v>
      </c>
      <c r="K53" s="14">
        <v>0.192965</v>
      </c>
      <c r="L53" s="28">
        <v>0.120911</v>
      </c>
      <c r="M53" s="20"/>
      <c r="N53" s="29">
        <v>0.02902</v>
      </c>
      <c r="O53" s="30">
        <v>0.13404855498046</v>
      </c>
      <c r="P53" s="30">
        <v>0.227583071297849</v>
      </c>
      <c r="Q53" s="30">
        <v>0.0418381062193249</v>
      </c>
      <c r="R53" s="30">
        <v>0.275916009663324</v>
      </c>
      <c r="S53" s="30">
        <v>0.163126865730421</v>
      </c>
      <c r="T53" s="30">
        <v>0.0912740025098415</v>
      </c>
      <c r="U53" s="30">
        <v>-0.00538165279576636</v>
      </c>
      <c r="V53" s="30">
        <v>0.332609903020464</v>
      </c>
      <c r="W53" s="30">
        <v>0.0395380028482521</v>
      </c>
      <c r="X53" s="30">
        <v>-0.0147545717877885</v>
      </c>
      <c r="Y53" s="30">
        <v>0.354665728805254</v>
      </c>
      <c r="Z53" s="30">
        <v>0.0438050140654517</v>
      </c>
      <c r="AA53" s="30">
        <v>0.30984553377024</v>
      </c>
      <c r="AB53" s="30">
        <v>-0.269548916689688</v>
      </c>
      <c r="AC53" s="30">
        <v>0.162206169017315</v>
      </c>
      <c r="AD53" s="30">
        <v>0.88506730993697</v>
      </c>
      <c r="AE53" s="30">
        <v>-0.564622137232168</v>
      </c>
      <c r="AF53" s="30">
        <v>0.604430647323855</v>
      </c>
      <c r="AG53" s="30">
        <v>0.395800139939135</v>
      </c>
      <c r="AH53" s="30">
        <v>0.338029439963905</v>
      </c>
      <c r="AI53" s="30">
        <v>0.156907778836241</v>
      </c>
      <c r="AJ53" s="30">
        <v>0.944751801847528</v>
      </c>
      <c r="AK53" s="30">
        <v>0.154695970695971</v>
      </c>
      <c r="AL53" s="30">
        <v>-0.21937550040032</v>
      </c>
      <c r="AM53" s="362">
        <v>-0.262057090767906</v>
      </c>
      <c r="AS53" s="379" t="s">
        <v>186</v>
      </c>
      <c r="AT53" s="382">
        <v>0.55</v>
      </c>
      <c r="AU53" s="383">
        <v>45716</v>
      </c>
      <c r="AV53" s="382">
        <v>2762.5762</v>
      </c>
      <c r="AW53" s="387"/>
      <c r="AX53" s="394">
        <v>0.009715</v>
      </c>
      <c r="AY53" s="394">
        <v>0.020621</v>
      </c>
      <c r="AZ53" s="394">
        <v>0.03753</v>
      </c>
      <c r="BA53" s="394">
        <v>0.077875</v>
      </c>
      <c r="BB53" s="394">
        <v>0.057425</v>
      </c>
      <c r="BC53" s="394">
        <v>0.057625</v>
      </c>
      <c r="BD53" s="394" t="s">
        <v>113</v>
      </c>
      <c r="BE53" s="395"/>
      <c r="BF53" s="394">
        <v>0.020621</v>
      </c>
      <c r="BG53" s="394">
        <v>0.0767794747520289</v>
      </c>
      <c r="BH53" s="394">
        <v>0.0648742723399148</v>
      </c>
      <c r="BI53" s="394">
        <v>0.0208764110340179</v>
      </c>
      <c r="BJ53" s="394">
        <v>0.0339617860621274</v>
      </c>
      <c r="BK53" s="394">
        <v>0.0938753237304138</v>
      </c>
      <c r="BL53" s="394">
        <v>0.111045884979598</v>
      </c>
      <c r="BM53" s="394">
        <v>0.03912</v>
      </c>
      <c r="BN53" s="394" t="s">
        <v>113</v>
      </c>
      <c r="BO53" s="394" t="s">
        <v>113</v>
      </c>
      <c r="BP53" s="394" t="s">
        <v>113</v>
      </c>
      <c r="BQ53" s="394" t="s">
        <v>113</v>
      </c>
      <c r="BR53" s="394" t="s">
        <v>113</v>
      </c>
      <c r="BS53" s="394" t="s">
        <v>113</v>
      </c>
      <c r="BT53" s="394" t="s">
        <v>113</v>
      </c>
      <c r="BU53" s="394" t="s">
        <v>113</v>
      </c>
    </row>
    <row r="54" ht="14.55" spans="2:73">
      <c r="B54" s="12" t="s">
        <v>146</v>
      </c>
      <c r="F54" s="29">
        <f>AVERAGE(F34:F52)</f>
        <v>-0.0226610526315789</v>
      </c>
      <c r="G54" s="30">
        <f t="shared" ref="G54:P54" si="3">AVERAGE(G34:G52)</f>
        <v>0.0608525789473684</v>
      </c>
      <c r="H54" s="30">
        <f t="shared" si="3"/>
        <v>0.0743022105263158</v>
      </c>
      <c r="I54" s="30">
        <f t="shared" si="3"/>
        <v>-0.00265</v>
      </c>
      <c r="J54" s="30">
        <f t="shared" si="3"/>
        <v>0.201912684210526</v>
      </c>
      <c r="K54" s="30">
        <f t="shared" si="3"/>
        <v>0.239788684210526</v>
      </c>
      <c r="L54" s="362">
        <f t="shared" si="3"/>
        <v>0.1408164375</v>
      </c>
      <c r="M54" s="20"/>
      <c r="N54" s="13">
        <f t="shared" si="3"/>
        <v>0.0140521578947368</v>
      </c>
      <c r="O54" s="14">
        <f t="shared" si="3"/>
        <v>0.246973728618186</v>
      </c>
      <c r="P54" s="14">
        <f t="shared" si="3"/>
        <v>0.307449423225589</v>
      </c>
      <c r="Q54" s="14">
        <f t="shared" ref="Q54:AM54" si="4">(AVERAGE(Q34:Q52))</f>
        <v>0.0250915063236225</v>
      </c>
      <c r="R54" s="14">
        <f t="shared" si="4"/>
        <v>0.368596899930197</v>
      </c>
      <c r="S54" s="14">
        <f t="shared" si="4"/>
        <v>0.164756897253973</v>
      </c>
      <c r="T54" s="14">
        <f t="shared" si="4"/>
        <v>0.0819865917901624</v>
      </c>
      <c r="U54" s="14">
        <f t="shared" si="4"/>
        <v>-0.0641383062520541</v>
      </c>
      <c r="V54" s="14">
        <f t="shared" si="4"/>
        <v>0.37838695767439</v>
      </c>
      <c r="W54" s="14">
        <f t="shared" si="4"/>
        <v>0.0604727498066104</v>
      </c>
      <c r="X54" s="14">
        <f t="shared" si="4"/>
        <v>0.0528224664266097</v>
      </c>
      <c r="Y54" s="14">
        <f t="shared" si="4"/>
        <v>0.524045240376915</v>
      </c>
      <c r="Z54" s="14">
        <f t="shared" si="4"/>
        <v>0.0589933393052538</v>
      </c>
      <c r="AA54" s="14">
        <f t="shared" si="4"/>
        <v>0.323235700326142</v>
      </c>
      <c r="AB54" s="14">
        <f t="shared" si="4"/>
        <v>-0.235423281482961</v>
      </c>
      <c r="AC54" s="14">
        <f t="shared" si="4"/>
        <v>0.191252692014404</v>
      </c>
      <c r="AD54" s="14">
        <f t="shared" si="4"/>
        <v>0.764004123503429</v>
      </c>
      <c r="AE54" s="14">
        <f t="shared" si="4"/>
        <v>-0.545612908487045</v>
      </c>
      <c r="AF54" s="14">
        <f t="shared" si="4"/>
        <v>0.574416570330381</v>
      </c>
      <c r="AG54" s="14">
        <f t="shared" si="4"/>
        <v>0.354602944971433</v>
      </c>
      <c r="AH54" s="14">
        <f t="shared" si="4"/>
        <v>0.475405837864587</v>
      </c>
      <c r="AI54" s="14">
        <f t="shared" si="4"/>
        <v>0.247491306138273</v>
      </c>
      <c r="AJ54" s="14">
        <f t="shared" si="4"/>
        <v>1.23818033457373</v>
      </c>
      <c r="AK54" s="14">
        <f t="shared" si="4"/>
        <v>0.207239153708407</v>
      </c>
      <c r="AL54" s="14">
        <f t="shared" si="4"/>
        <v>-0.23249986433755</v>
      </c>
      <c r="AM54" s="28">
        <f t="shared" si="4"/>
        <v>-0.281541668639402</v>
      </c>
      <c r="AS54" s="379" t="s">
        <v>187</v>
      </c>
      <c r="AT54" s="382">
        <v>0.4</v>
      </c>
      <c r="AU54" s="383">
        <v>45716</v>
      </c>
      <c r="AV54" s="382">
        <v>811.1993</v>
      </c>
      <c r="AW54" s="387"/>
      <c r="AX54" s="394">
        <v>0.006477</v>
      </c>
      <c r="AY54" s="394">
        <v>0.017755</v>
      </c>
      <c r="AZ54" s="394">
        <v>0.034464</v>
      </c>
      <c r="BA54" s="394">
        <v>0.072948</v>
      </c>
      <c r="BB54" s="394">
        <v>0.057227</v>
      </c>
      <c r="BC54" s="394" t="s">
        <v>113</v>
      </c>
      <c r="BD54" s="394" t="s">
        <v>113</v>
      </c>
      <c r="BE54" s="395"/>
      <c r="BF54" s="394">
        <v>0.017755</v>
      </c>
      <c r="BG54" s="394">
        <v>0.0739441482750047</v>
      </c>
      <c r="BH54" s="394">
        <v>0.0683973400487921</v>
      </c>
      <c r="BI54" s="394">
        <v>0.01656</v>
      </c>
      <c r="BJ54" s="394" t="s">
        <v>113</v>
      </c>
      <c r="BK54" s="394" t="s">
        <v>113</v>
      </c>
      <c r="BL54" s="394" t="s">
        <v>113</v>
      </c>
      <c r="BM54" s="394" t="s">
        <v>113</v>
      </c>
      <c r="BN54" s="394" t="s">
        <v>113</v>
      </c>
      <c r="BO54" s="394" t="s">
        <v>113</v>
      </c>
      <c r="BP54" s="394" t="s">
        <v>113</v>
      </c>
      <c r="BQ54" s="394" t="s">
        <v>113</v>
      </c>
      <c r="BR54" s="394" t="s">
        <v>113</v>
      </c>
      <c r="BS54" s="394" t="s">
        <v>113</v>
      </c>
      <c r="BT54" s="394" t="s">
        <v>113</v>
      </c>
      <c r="BU54" s="394" t="s">
        <v>113</v>
      </c>
    </row>
    <row r="55" spans="13:73">
      <c r="M55" s="20"/>
      <c r="O55" s="5"/>
      <c r="AS55" s="379" t="s">
        <v>188</v>
      </c>
      <c r="AT55" s="382">
        <v>0.4</v>
      </c>
      <c r="AU55" s="383">
        <v>45716</v>
      </c>
      <c r="AV55" s="382">
        <v>7734.4343</v>
      </c>
      <c r="AW55" s="387"/>
      <c r="AX55" s="394">
        <v>0.007791</v>
      </c>
      <c r="AY55" s="394">
        <v>0.019552</v>
      </c>
      <c r="AZ55" s="394">
        <v>0.036498</v>
      </c>
      <c r="BA55" s="394">
        <v>0.075625</v>
      </c>
      <c r="BB55" s="394">
        <v>0.058029</v>
      </c>
      <c r="BC55" s="394" t="s">
        <v>113</v>
      </c>
      <c r="BD55" s="394" t="s">
        <v>113</v>
      </c>
      <c r="BE55" s="395"/>
      <c r="BF55" s="394">
        <v>0.019552</v>
      </c>
      <c r="BG55" s="394">
        <v>0.0750798170679091</v>
      </c>
      <c r="BH55" s="394">
        <v>0.0680121647774398</v>
      </c>
      <c r="BI55" s="394">
        <v>0.0205214054623431</v>
      </c>
      <c r="BJ55" s="394">
        <v>0.06328</v>
      </c>
      <c r="BK55" s="394" t="s">
        <v>113</v>
      </c>
      <c r="BL55" s="394" t="s">
        <v>113</v>
      </c>
      <c r="BM55" s="394" t="s">
        <v>113</v>
      </c>
      <c r="BN55" s="394" t="s">
        <v>113</v>
      </c>
      <c r="BO55" s="394" t="s">
        <v>113</v>
      </c>
      <c r="BP55" s="394" t="s">
        <v>113</v>
      </c>
      <c r="BQ55" s="394" t="s">
        <v>113</v>
      </c>
      <c r="BR55" s="394" t="s">
        <v>113</v>
      </c>
      <c r="BS55" s="394" t="s">
        <v>113</v>
      </c>
      <c r="BT55" s="394" t="s">
        <v>113</v>
      </c>
      <c r="BU55" s="394" t="s">
        <v>113</v>
      </c>
    </row>
    <row r="56" ht="15" customHeight="1" spans="13:73">
      <c r="M56" s="20"/>
      <c r="O56" s="5"/>
      <c r="AS56" s="379" t="s">
        <v>189</v>
      </c>
      <c r="AT56" s="382">
        <v>0.4</v>
      </c>
      <c r="AU56" s="383">
        <v>45716</v>
      </c>
      <c r="AV56" s="382">
        <v>2298.6091</v>
      </c>
      <c r="AW56" s="387"/>
      <c r="AX56" s="394">
        <v>0.009151</v>
      </c>
      <c r="AY56" s="394">
        <v>0.020833</v>
      </c>
      <c r="AZ56" s="394">
        <v>0.036937</v>
      </c>
      <c r="BA56" s="394">
        <v>0.080088</v>
      </c>
      <c r="BB56" s="394">
        <v>0.058804</v>
      </c>
      <c r="BC56" s="394" t="s">
        <v>113</v>
      </c>
      <c r="BD56" s="394" t="s">
        <v>113</v>
      </c>
      <c r="BE56" s="395"/>
      <c r="BF56" s="394">
        <v>0.020833</v>
      </c>
      <c r="BG56" s="394">
        <v>0.0790385822545283</v>
      </c>
      <c r="BH56" s="394">
        <v>0.0665314755879842</v>
      </c>
      <c r="BI56" s="394">
        <v>0.0231911682948137</v>
      </c>
      <c r="BJ56" s="394">
        <v>0.00728000000000009</v>
      </c>
      <c r="BK56" s="394" t="s">
        <v>113</v>
      </c>
      <c r="BL56" s="394" t="s">
        <v>113</v>
      </c>
      <c r="BM56" s="394" t="s">
        <v>113</v>
      </c>
      <c r="BN56" s="394" t="s">
        <v>113</v>
      </c>
      <c r="BO56" s="394" t="s">
        <v>113</v>
      </c>
      <c r="BP56" s="394" t="s">
        <v>113</v>
      </c>
      <c r="BQ56" s="394" t="s">
        <v>113</v>
      </c>
      <c r="BR56" s="394" t="s">
        <v>113</v>
      </c>
      <c r="BS56" s="394" t="s">
        <v>113</v>
      </c>
      <c r="BT56" s="394" t="s">
        <v>113</v>
      </c>
      <c r="BU56" s="394" t="s">
        <v>113</v>
      </c>
    </row>
    <row r="57" ht="15.75" customHeight="1" spans="2:73">
      <c r="B57" s="350" t="s">
        <v>190</v>
      </c>
      <c r="C57" s="350" t="s">
        <v>16</v>
      </c>
      <c r="D57" s="332" t="s">
        <v>99</v>
      </c>
      <c r="E57" s="333"/>
      <c r="F57" s="353" t="s">
        <v>10</v>
      </c>
      <c r="G57" s="354"/>
      <c r="H57" s="354"/>
      <c r="I57" s="354"/>
      <c r="J57" s="354"/>
      <c r="K57" s="354"/>
      <c r="L57" s="363"/>
      <c r="M57" s="20"/>
      <c r="N57" s="353" t="s">
        <v>100</v>
      </c>
      <c r="O57" s="354"/>
      <c r="P57" s="354"/>
      <c r="Q57" s="354"/>
      <c r="R57" s="354"/>
      <c r="S57" s="354"/>
      <c r="T57" s="354"/>
      <c r="U57" s="354"/>
      <c r="V57" s="354"/>
      <c r="W57" s="354"/>
      <c r="X57" s="354"/>
      <c r="Y57" s="354"/>
      <c r="Z57" s="354"/>
      <c r="AA57" s="354"/>
      <c r="AB57" s="354"/>
      <c r="AC57" s="354"/>
      <c r="AD57" s="354"/>
      <c r="AE57" s="354"/>
      <c r="AF57" s="354"/>
      <c r="AG57" s="354"/>
      <c r="AH57" s="354"/>
      <c r="AI57" s="354"/>
      <c r="AJ57" s="354"/>
      <c r="AK57" s="354"/>
      <c r="AL57" s="354"/>
      <c r="AM57" s="354"/>
      <c r="AN57" s="363"/>
      <c r="AS57" s="379" t="s">
        <v>191</v>
      </c>
      <c r="AT57" s="382">
        <v>0.83</v>
      </c>
      <c r="AU57" s="383">
        <v>45716</v>
      </c>
      <c r="AV57" s="382">
        <v>753.555223719</v>
      </c>
      <c r="AW57" s="387"/>
      <c r="AX57" s="394">
        <v>0.010832</v>
      </c>
      <c r="AY57" s="394">
        <v>0.020274</v>
      </c>
      <c r="AZ57" s="394">
        <v>0.038348</v>
      </c>
      <c r="BA57" s="394">
        <v>0.079153</v>
      </c>
      <c r="BB57" s="394">
        <v>0.061705</v>
      </c>
      <c r="BC57" s="394">
        <v>0.060674</v>
      </c>
      <c r="BD57" s="394">
        <v>0.070892</v>
      </c>
      <c r="BE57" s="395"/>
      <c r="BF57" s="394">
        <v>0.020274</v>
      </c>
      <c r="BG57" s="394">
        <v>0.0762760527556529</v>
      </c>
      <c r="BH57" s="394">
        <v>0.0654604723011148</v>
      </c>
      <c r="BI57" s="394">
        <v>0.0316854792664028</v>
      </c>
      <c r="BJ57" s="394">
        <v>0.0377899064563725</v>
      </c>
      <c r="BK57" s="394">
        <v>0.0902480995692263</v>
      </c>
      <c r="BL57" s="394">
        <v>0.0920900634649407</v>
      </c>
      <c r="BM57" s="394">
        <v>0.0749737891766384</v>
      </c>
      <c r="BN57" s="394">
        <v>0.0766658949827987</v>
      </c>
      <c r="BO57" s="394">
        <v>0.0898587857925207</v>
      </c>
      <c r="BP57" s="394">
        <v>0.084309242756497</v>
      </c>
      <c r="BQ57" s="394">
        <v>0.12982304807773</v>
      </c>
      <c r="BR57" s="394">
        <v>0.0753542901314093</v>
      </c>
      <c r="BS57" s="394">
        <v>0.119753948423804</v>
      </c>
      <c r="BT57" s="394">
        <v>0.0986173537634476</v>
      </c>
      <c r="BU57" s="394">
        <v>0.0483672119816434</v>
      </c>
    </row>
    <row r="58" ht="14.55" spans="2:73">
      <c r="B58" s="352"/>
      <c r="C58" s="355"/>
      <c r="D58" s="356" t="s">
        <v>104</v>
      </c>
      <c r="E58" s="333" t="s">
        <v>105</v>
      </c>
      <c r="F58" s="357" t="s">
        <v>17</v>
      </c>
      <c r="G58" s="358" t="s">
        <v>18</v>
      </c>
      <c r="H58" s="358" t="s">
        <v>19</v>
      </c>
      <c r="I58" s="358" t="s">
        <v>20</v>
      </c>
      <c r="J58" s="358" t="s">
        <v>22</v>
      </c>
      <c r="K58" s="358" t="s">
        <v>23</v>
      </c>
      <c r="L58" s="273" t="s">
        <v>24</v>
      </c>
      <c r="M58" s="20"/>
      <c r="N58" s="16" t="s">
        <v>25</v>
      </c>
      <c r="O58" s="17">
        <v>2024</v>
      </c>
      <c r="P58" s="17">
        <v>2023</v>
      </c>
      <c r="Q58" s="18">
        <v>2022</v>
      </c>
      <c r="R58" s="18">
        <v>2021</v>
      </c>
      <c r="S58" s="18">
        <v>2020</v>
      </c>
      <c r="T58" s="18">
        <v>2019</v>
      </c>
      <c r="U58" s="18">
        <v>2018</v>
      </c>
      <c r="V58" s="18">
        <v>2017</v>
      </c>
      <c r="W58" s="18">
        <v>2016</v>
      </c>
      <c r="X58" s="18">
        <v>2015</v>
      </c>
      <c r="Y58" s="18">
        <v>2014</v>
      </c>
      <c r="Z58" s="18">
        <v>2013</v>
      </c>
      <c r="AA58" s="18">
        <v>2012</v>
      </c>
      <c r="AB58" s="18">
        <v>2011</v>
      </c>
      <c r="AC58" s="18">
        <v>2010</v>
      </c>
      <c r="AD58" s="18">
        <v>2009</v>
      </c>
      <c r="AE58" s="18">
        <v>2008</v>
      </c>
      <c r="AF58" s="18">
        <v>2007</v>
      </c>
      <c r="AG58" s="18">
        <v>2006</v>
      </c>
      <c r="AH58" s="18">
        <v>2005</v>
      </c>
      <c r="AI58" s="18">
        <v>2004</v>
      </c>
      <c r="AJ58" s="18">
        <v>2003</v>
      </c>
      <c r="AK58" s="18">
        <v>2002</v>
      </c>
      <c r="AL58" s="18">
        <v>2001</v>
      </c>
      <c r="AM58" s="273">
        <v>2000</v>
      </c>
      <c r="AS58" s="379" t="s">
        <v>192</v>
      </c>
      <c r="AT58" s="382">
        <v>0.59</v>
      </c>
      <c r="AU58" s="383">
        <v>45716</v>
      </c>
      <c r="AV58" s="382">
        <v>32190.8978</v>
      </c>
      <c r="AW58" s="387"/>
      <c r="AX58" s="394">
        <v>0.013466</v>
      </c>
      <c r="AY58" s="394">
        <v>0.023216</v>
      </c>
      <c r="AZ58" s="394">
        <v>0.039394</v>
      </c>
      <c r="BA58" s="394">
        <v>0.086256</v>
      </c>
      <c r="BB58" s="394">
        <v>0.068271</v>
      </c>
      <c r="BC58" s="394">
        <v>0.068138</v>
      </c>
      <c r="BD58" s="394">
        <v>0.076814</v>
      </c>
      <c r="BE58" s="395"/>
      <c r="BF58" s="394">
        <v>0.023216</v>
      </c>
      <c r="BG58" s="394">
        <v>0.0855674810804781</v>
      </c>
      <c r="BH58" s="394">
        <v>0.0720376986203083</v>
      </c>
      <c r="BI58" s="394">
        <v>0.032674845347298</v>
      </c>
      <c r="BJ58" s="394">
        <v>0.0390471187813514</v>
      </c>
      <c r="BK58" s="394">
        <v>0.118114648996171</v>
      </c>
      <c r="BL58" s="394">
        <v>0.103232348213182</v>
      </c>
      <c r="BM58" s="394">
        <v>0.0649365014985752</v>
      </c>
      <c r="BN58" s="394">
        <v>0.0651320144974698</v>
      </c>
      <c r="BO58" s="394">
        <v>0.106346792464542</v>
      </c>
      <c r="BP58" s="394">
        <v>0.0861108863899899</v>
      </c>
      <c r="BQ58" s="394">
        <v>0.109472235519387</v>
      </c>
      <c r="BR58" s="394">
        <v>0.0755566997039516</v>
      </c>
      <c r="BS58" s="394">
        <v>0.104855697867688</v>
      </c>
      <c r="BT58" s="394">
        <v>0.0867826473344088</v>
      </c>
      <c r="BU58" s="394">
        <v>0.03523</v>
      </c>
    </row>
    <row r="59" spans="2:73">
      <c r="B59" s="339" t="s">
        <v>193</v>
      </c>
      <c r="C59" s="340">
        <v>1.66</v>
      </c>
      <c r="D59" s="344">
        <v>45838</v>
      </c>
      <c r="E59" s="345">
        <v>23606.242</v>
      </c>
      <c r="F59" s="9">
        <v>-0.025144</v>
      </c>
      <c r="G59" s="10">
        <v>0.03614</v>
      </c>
      <c r="H59" s="10">
        <v>0.080411</v>
      </c>
      <c r="I59" s="10">
        <v>0.017159</v>
      </c>
      <c r="J59" s="10">
        <v>0.177161</v>
      </c>
      <c r="K59" s="10">
        <v>0.209698</v>
      </c>
      <c r="L59" s="23">
        <v>0.133877</v>
      </c>
      <c r="M59" s="20"/>
      <c r="N59" s="21">
        <v>0.04068</v>
      </c>
      <c r="O59" s="25">
        <v>0.185205811306569</v>
      </c>
      <c r="P59" s="25">
        <v>0.259544059622972</v>
      </c>
      <c r="Q59" s="25">
        <v>-0.0110900120524759</v>
      </c>
      <c r="R59" s="25">
        <v>0.302755091666949</v>
      </c>
      <c r="S59" s="25">
        <v>0.160720607324077</v>
      </c>
      <c r="T59" s="25">
        <v>0.0853398224043716</v>
      </c>
      <c r="U59" s="25">
        <v>-0.0409171557253992</v>
      </c>
      <c r="V59" s="25">
        <v>0.335119080158166</v>
      </c>
      <c r="W59" s="25">
        <v>0.152145616392341</v>
      </c>
      <c r="X59" s="25">
        <v>0.0293246893571043</v>
      </c>
      <c r="Y59" s="25">
        <v>0.566095844050359</v>
      </c>
      <c r="Z59" s="25">
        <v>0.0711230334227507</v>
      </c>
      <c r="AA59" s="25">
        <v>0.357378339812036</v>
      </c>
      <c r="AB59" s="25">
        <v>-0.29377627966779</v>
      </c>
      <c r="AC59" s="25">
        <v>0.141582037448429</v>
      </c>
      <c r="AD59" s="25">
        <v>0.892492492492493</v>
      </c>
      <c r="AE59" s="25">
        <v>-0.566208558587898</v>
      </c>
      <c r="AF59" s="25">
        <v>0.699092518813634</v>
      </c>
      <c r="AG59" s="25">
        <v>0.428390768257983</v>
      </c>
      <c r="AH59" s="25">
        <v>0.542926829268293</v>
      </c>
      <c r="AI59" s="25">
        <v>0.441378098084022</v>
      </c>
      <c r="AJ59" s="25">
        <v>1.18723567858516</v>
      </c>
      <c r="AK59" s="25">
        <v>0.0887400586019255</v>
      </c>
      <c r="AL59" s="25">
        <v>-0.277374470659407</v>
      </c>
      <c r="AM59" s="365">
        <v>-0.177816463566277</v>
      </c>
      <c r="AS59" s="379" t="s">
        <v>194</v>
      </c>
      <c r="AT59" s="382">
        <v>0.64</v>
      </c>
      <c r="AU59" s="383">
        <v>45716</v>
      </c>
      <c r="AV59" s="382">
        <v>5875.9179</v>
      </c>
      <c r="AW59" s="387"/>
      <c r="AX59" s="394">
        <v>0.012565</v>
      </c>
      <c r="AY59" s="394">
        <v>0.022828</v>
      </c>
      <c r="AZ59" s="394">
        <v>0.037747</v>
      </c>
      <c r="BA59" s="394">
        <v>0.081889</v>
      </c>
      <c r="BB59" s="394">
        <v>0.061597</v>
      </c>
      <c r="BC59" s="394">
        <v>0.062108</v>
      </c>
      <c r="BD59" s="394">
        <v>0.069227</v>
      </c>
      <c r="BE59" s="395"/>
      <c r="BF59" s="394">
        <v>0.022828</v>
      </c>
      <c r="BG59" s="394">
        <v>0.0806670103587559</v>
      </c>
      <c r="BH59" s="394">
        <v>0.0644949175335204</v>
      </c>
      <c r="BI59" s="394">
        <v>0.0221944452399443</v>
      </c>
      <c r="BJ59" s="394">
        <v>0.0376395774047168</v>
      </c>
      <c r="BK59" s="394">
        <v>0.123879723236141</v>
      </c>
      <c r="BL59" s="394">
        <v>0.126181157672796</v>
      </c>
      <c r="BM59" s="394">
        <v>0.0600285649289278</v>
      </c>
      <c r="BN59" s="394">
        <v>0.0159348500985206</v>
      </c>
      <c r="BO59" s="394">
        <v>0.124453458216345</v>
      </c>
      <c r="BP59" s="394">
        <v>0.0447916608351481</v>
      </c>
      <c r="BQ59" s="394">
        <v>0.125837080829313</v>
      </c>
      <c r="BR59" s="394">
        <v>0.0393366807178206</v>
      </c>
      <c r="BS59" s="394">
        <v>0.101584655683762</v>
      </c>
      <c r="BT59" s="394">
        <v>0.0647351012458367</v>
      </c>
      <c r="BU59" s="394">
        <v>0.0366707951843695</v>
      </c>
    </row>
    <row r="60" spans="2:73">
      <c r="B60" s="339" t="s">
        <v>195</v>
      </c>
      <c r="C60" s="343">
        <v>1.72</v>
      </c>
      <c r="D60" s="344">
        <v>45838</v>
      </c>
      <c r="E60" s="345">
        <v>13316.498101</v>
      </c>
      <c r="F60" s="9">
        <v>-0.015096</v>
      </c>
      <c r="G60" s="10">
        <v>0.067438</v>
      </c>
      <c r="H60" s="10">
        <v>0.086957</v>
      </c>
      <c r="I60" s="10">
        <v>0.026477</v>
      </c>
      <c r="J60" s="10">
        <v>0.148445</v>
      </c>
      <c r="K60" s="10">
        <v>0.17536</v>
      </c>
      <c r="L60" s="23" t="s">
        <v>113</v>
      </c>
      <c r="M60" s="20"/>
      <c r="N60" s="24">
        <v>0.020992</v>
      </c>
      <c r="O60" s="25">
        <v>0.223155929038282</v>
      </c>
      <c r="P60" s="25">
        <v>0.202020202020202</v>
      </c>
      <c r="Q60" s="25">
        <v>-0.0870901639344262</v>
      </c>
      <c r="R60" s="25">
        <v>0.283366206443129</v>
      </c>
      <c r="S60" s="25">
        <v>0.192941176470588</v>
      </c>
      <c r="T60" s="25">
        <v>0.171875</v>
      </c>
      <c r="U60" s="25">
        <v>0.0708661417322835</v>
      </c>
      <c r="V60" s="25">
        <v>0.016</v>
      </c>
      <c r="W60" s="25" t="s">
        <v>113</v>
      </c>
      <c r="X60" s="25" t="s">
        <v>113</v>
      </c>
      <c r="Y60" s="25" t="s">
        <v>113</v>
      </c>
      <c r="Z60" s="25" t="s">
        <v>113</v>
      </c>
      <c r="AA60" s="25" t="s">
        <v>113</v>
      </c>
      <c r="AB60" s="25" t="s">
        <v>113</v>
      </c>
      <c r="AC60" s="25" t="s">
        <v>113</v>
      </c>
      <c r="AD60" s="25" t="s">
        <v>113</v>
      </c>
      <c r="AE60" s="25" t="s">
        <v>113</v>
      </c>
      <c r="AF60" s="25" t="s">
        <v>113</v>
      </c>
      <c r="AG60" s="25" t="s">
        <v>113</v>
      </c>
      <c r="AH60" s="25" t="s">
        <v>113</v>
      </c>
      <c r="AI60" s="25" t="s">
        <v>113</v>
      </c>
      <c r="AJ60" s="25" t="s">
        <v>113</v>
      </c>
      <c r="AK60" s="25" t="s">
        <v>113</v>
      </c>
      <c r="AL60" s="25" t="s">
        <v>113</v>
      </c>
      <c r="AM60" s="365" t="s">
        <v>113</v>
      </c>
      <c r="AS60" s="379" t="s">
        <v>196</v>
      </c>
      <c r="AT60" s="382">
        <v>0.58</v>
      </c>
      <c r="AU60" s="383">
        <v>45716</v>
      </c>
      <c r="AV60" s="382">
        <v>29545.4883029801</v>
      </c>
      <c r="AW60" s="387"/>
      <c r="AX60" s="394">
        <v>0.0117</v>
      </c>
      <c r="AY60" s="394">
        <v>0.022751</v>
      </c>
      <c r="AZ60" s="394">
        <v>0.041033</v>
      </c>
      <c r="BA60" s="394">
        <v>0.08302</v>
      </c>
      <c r="BB60" s="394">
        <v>0.072439</v>
      </c>
      <c r="BC60" s="394">
        <v>0.06977</v>
      </c>
      <c r="BD60" s="394">
        <v>0.075591</v>
      </c>
      <c r="BE60" s="395"/>
      <c r="BF60" s="394">
        <v>0.022751</v>
      </c>
      <c r="BG60" s="394">
        <v>0.0803124207306224</v>
      </c>
      <c r="BH60" s="394">
        <v>0.0760215097567931</v>
      </c>
      <c r="BI60" s="394">
        <v>0.0446509886031883</v>
      </c>
      <c r="BJ60" s="394">
        <v>0.0411722481678084</v>
      </c>
      <c r="BK60" s="394">
        <v>0.104468554705661</v>
      </c>
      <c r="BL60" s="394">
        <v>0.0989453643897796</v>
      </c>
      <c r="BM60" s="394">
        <v>0.0641983928939356</v>
      </c>
      <c r="BN60" s="394">
        <v>0.0625976853513023</v>
      </c>
      <c r="BO60" s="394">
        <v>0.0983154322966764</v>
      </c>
      <c r="BP60" s="394">
        <v>0.0880074417523002</v>
      </c>
      <c r="BQ60" s="394">
        <v>0.0940764888288144</v>
      </c>
      <c r="BR60" s="394">
        <v>0.0847571651587418</v>
      </c>
      <c r="BS60" s="394">
        <v>0.0904584998824359</v>
      </c>
      <c r="BT60" s="394">
        <v>-0.00863395213098238</v>
      </c>
      <c r="BU60" s="394">
        <v>0.0532254421541574</v>
      </c>
    </row>
    <row r="61" spans="2:73">
      <c r="B61" s="339" t="s">
        <v>197</v>
      </c>
      <c r="C61" s="343">
        <v>1.86</v>
      </c>
      <c r="D61" s="344">
        <v>45838</v>
      </c>
      <c r="E61" s="345">
        <v>7606.9856</v>
      </c>
      <c r="F61" s="9">
        <v>-0.019892</v>
      </c>
      <c r="G61" s="10">
        <v>0.043397</v>
      </c>
      <c r="H61" s="10">
        <v>0.07561</v>
      </c>
      <c r="I61" s="10">
        <v>0.003622</v>
      </c>
      <c r="J61" s="10">
        <v>0.158939</v>
      </c>
      <c r="K61" s="10">
        <v>0.196968</v>
      </c>
      <c r="L61" s="23">
        <v>0.104684</v>
      </c>
      <c r="M61" s="20"/>
      <c r="N61" s="24">
        <v>0.049205</v>
      </c>
      <c r="O61" s="25">
        <v>0.14931051156721</v>
      </c>
      <c r="P61" s="25">
        <v>0.244581886206922</v>
      </c>
      <c r="Q61" s="25">
        <v>-0.013892463892464</v>
      </c>
      <c r="R61" s="25">
        <v>0.322303110522833</v>
      </c>
      <c r="S61" s="25">
        <v>0.0982244834388952</v>
      </c>
      <c r="T61" s="25">
        <v>0.0758489722966935</v>
      </c>
      <c r="U61" s="25">
        <v>-0.08753339442266</v>
      </c>
      <c r="V61" s="25">
        <v>0.380431769670312</v>
      </c>
      <c r="W61" s="25">
        <v>-0.0269634185244462</v>
      </c>
      <c r="X61" s="25">
        <v>0.0828974445650303</v>
      </c>
      <c r="Y61" s="25">
        <v>0.589058910838605</v>
      </c>
      <c r="Z61" s="25">
        <v>0.0562470760379443</v>
      </c>
      <c r="AA61" s="25">
        <v>0.408400946289319</v>
      </c>
      <c r="AB61" s="25">
        <v>-0.17997332919476</v>
      </c>
      <c r="AC61" s="25">
        <v>0.320718764708562</v>
      </c>
      <c r="AD61" s="25">
        <v>1.02118991906095</v>
      </c>
      <c r="AE61" s="25">
        <v>-0.531424688952558</v>
      </c>
      <c r="AF61" s="25">
        <v>1.10474028676276</v>
      </c>
      <c r="AG61" s="25">
        <v>0.319011976047904</v>
      </c>
      <c r="AH61" s="25">
        <v>0.00199999999999996</v>
      </c>
      <c r="AI61" s="25" t="s">
        <v>113</v>
      </c>
      <c r="AJ61" s="25" t="s">
        <v>113</v>
      </c>
      <c r="AK61" s="25" t="s">
        <v>113</v>
      </c>
      <c r="AL61" s="25" t="s">
        <v>113</v>
      </c>
      <c r="AM61" s="365" t="s">
        <v>113</v>
      </c>
      <c r="AS61" s="379" t="s">
        <v>198</v>
      </c>
      <c r="AT61" s="382">
        <v>0.39</v>
      </c>
      <c r="AU61" s="383">
        <v>45716</v>
      </c>
      <c r="AV61" s="382">
        <v>8996.098575144</v>
      </c>
      <c r="AW61" s="387"/>
      <c r="AX61" s="394">
        <v>0.008397</v>
      </c>
      <c r="AY61" s="394">
        <v>0.021244</v>
      </c>
      <c r="AZ61" s="394">
        <v>0.036143</v>
      </c>
      <c r="BA61" s="394">
        <v>0.081541</v>
      </c>
      <c r="BB61" s="394">
        <v>0.059217</v>
      </c>
      <c r="BC61" s="394" t="s">
        <v>113</v>
      </c>
      <c r="BD61" s="394" t="s">
        <v>113</v>
      </c>
      <c r="BE61" s="395"/>
      <c r="BF61" s="394">
        <v>0.021244</v>
      </c>
      <c r="BG61" s="394">
        <v>0.0803605677023398</v>
      </c>
      <c r="BH61" s="394">
        <v>0.0663095875736477</v>
      </c>
      <c r="BI61" s="394">
        <v>0.0190946894135627</v>
      </c>
      <c r="BJ61" s="394">
        <v>0.00761000000000003</v>
      </c>
      <c r="BK61" s="394" t="s">
        <v>113</v>
      </c>
      <c r="BL61" s="394" t="s">
        <v>113</v>
      </c>
      <c r="BM61" s="394" t="s">
        <v>113</v>
      </c>
      <c r="BN61" s="394" t="s">
        <v>113</v>
      </c>
      <c r="BO61" s="394" t="s">
        <v>113</v>
      </c>
      <c r="BP61" s="394" t="s">
        <v>113</v>
      </c>
      <c r="BQ61" s="394" t="s">
        <v>113</v>
      </c>
      <c r="BR61" s="394" t="s">
        <v>113</v>
      </c>
      <c r="BS61" s="394" t="s">
        <v>113</v>
      </c>
      <c r="BT61" s="394" t="s">
        <v>113</v>
      </c>
      <c r="BU61" s="394" t="s">
        <v>113</v>
      </c>
    </row>
    <row r="62" spans="2:73">
      <c r="B62" s="339" t="s">
        <v>199</v>
      </c>
      <c r="C62" s="343">
        <v>1.69</v>
      </c>
      <c r="D62" s="344">
        <v>45838</v>
      </c>
      <c r="E62" s="345">
        <v>13588.0649</v>
      </c>
      <c r="F62" s="9">
        <v>-0.017894</v>
      </c>
      <c r="G62" s="10">
        <v>0.060958</v>
      </c>
      <c r="H62" s="10">
        <v>0.086959</v>
      </c>
      <c r="I62" s="10">
        <v>0.017704</v>
      </c>
      <c r="J62" s="10">
        <v>0.159507</v>
      </c>
      <c r="K62" s="10">
        <v>0.195921</v>
      </c>
      <c r="L62" s="23">
        <v>0.129733</v>
      </c>
      <c r="M62" s="20"/>
      <c r="N62" s="24">
        <v>0.040743</v>
      </c>
      <c r="O62" s="25">
        <v>0.178781641570072</v>
      </c>
      <c r="P62" s="25">
        <v>0.228397799858055</v>
      </c>
      <c r="Q62" s="25">
        <v>-0.0166623048067696</v>
      </c>
      <c r="R62" s="25">
        <v>0.326122165664044</v>
      </c>
      <c r="S62" s="25">
        <v>0.222285067873303</v>
      </c>
      <c r="T62" s="25">
        <v>0.12280701754386</v>
      </c>
      <c r="U62" s="25">
        <v>0.00880916152798906</v>
      </c>
      <c r="V62" s="25">
        <v>0.377647837599294</v>
      </c>
      <c r="W62" s="25">
        <v>-0.0196841877568678</v>
      </c>
      <c r="X62" s="25">
        <v>0.000757657755168234</v>
      </c>
      <c r="Y62" s="25">
        <v>0.397096627854227</v>
      </c>
      <c r="Z62" s="25">
        <v>0.0430599369085173</v>
      </c>
      <c r="AA62" s="25">
        <v>0.313173156586578</v>
      </c>
      <c r="AB62" s="25">
        <v>-0.158591843848031</v>
      </c>
      <c r="AC62" s="25">
        <v>0.206729758149317</v>
      </c>
      <c r="AD62" s="25">
        <v>0.929788961038961</v>
      </c>
      <c r="AE62" s="25">
        <v>-0.508379888268156</v>
      </c>
      <c r="AF62" s="25">
        <v>0.634170198891425</v>
      </c>
      <c r="AG62" s="25">
        <v>0.313490364025696</v>
      </c>
      <c r="AH62" s="25">
        <v>0.370305164319249</v>
      </c>
      <c r="AI62" s="25">
        <v>0.175983436853002</v>
      </c>
      <c r="AJ62" s="25">
        <v>0.449</v>
      </c>
      <c r="AK62" s="25" t="s">
        <v>113</v>
      </c>
      <c r="AL62" s="25" t="s">
        <v>113</v>
      </c>
      <c r="AM62" s="365" t="s">
        <v>113</v>
      </c>
      <c r="AS62" s="379" t="s">
        <v>200</v>
      </c>
      <c r="AT62" s="382">
        <v>0.68</v>
      </c>
      <c r="AU62" s="383">
        <v>45716</v>
      </c>
      <c r="AV62" s="382">
        <v>5903.2528</v>
      </c>
      <c r="AW62" s="387"/>
      <c r="AX62" s="394">
        <v>0.013233</v>
      </c>
      <c r="AY62" s="394">
        <v>0.023692</v>
      </c>
      <c r="AZ62" s="394">
        <v>0.038549</v>
      </c>
      <c r="BA62" s="394">
        <v>0.083595</v>
      </c>
      <c r="BB62" s="394">
        <v>0.063528</v>
      </c>
      <c r="BC62" s="394">
        <v>0.06275</v>
      </c>
      <c r="BD62" s="394">
        <v>0.065949</v>
      </c>
      <c r="BE62" s="395"/>
      <c r="BF62" s="394">
        <v>0.023692</v>
      </c>
      <c r="BG62" s="394">
        <v>0.0808606654307822</v>
      </c>
      <c r="BH62" s="394">
        <v>0.0668503914673338</v>
      </c>
      <c r="BI62" s="394">
        <v>0.028605135525978</v>
      </c>
      <c r="BJ62" s="394">
        <v>0.0336699186682672</v>
      </c>
      <c r="BK62" s="394">
        <v>0.101200995182317</v>
      </c>
      <c r="BL62" s="394">
        <v>0.110696027050842</v>
      </c>
      <c r="BM62" s="394">
        <v>0.0395821517791178</v>
      </c>
      <c r="BN62" s="394">
        <v>0.0184043197508568</v>
      </c>
      <c r="BO62" s="394">
        <v>0.141399352453647</v>
      </c>
      <c r="BP62" s="394">
        <v>0.0515164296295032</v>
      </c>
      <c r="BQ62" s="394">
        <v>0.0994370330267012</v>
      </c>
      <c r="BR62" s="394">
        <v>0.0559735567291933</v>
      </c>
      <c r="BS62" s="394">
        <v>0.104597830635038</v>
      </c>
      <c r="BT62" s="394">
        <v>0.0918931266858201</v>
      </c>
      <c r="BU62" s="394">
        <v>0.0613792138760667</v>
      </c>
    </row>
    <row r="63" spans="2:73">
      <c r="B63" s="339" t="s">
        <v>201</v>
      </c>
      <c r="C63" s="343">
        <v>1.72</v>
      </c>
      <c r="D63" s="344">
        <v>45838</v>
      </c>
      <c r="E63" s="345">
        <v>12187.7618</v>
      </c>
      <c r="F63" s="9">
        <v>-0.029292</v>
      </c>
      <c r="G63" s="10">
        <v>0.038066</v>
      </c>
      <c r="H63" s="10">
        <v>0.064362</v>
      </c>
      <c r="I63" s="10">
        <v>-0.013801</v>
      </c>
      <c r="J63" s="10">
        <v>0.173503</v>
      </c>
      <c r="K63" s="10">
        <v>0.206678</v>
      </c>
      <c r="L63" s="23">
        <v>0.133929</v>
      </c>
      <c r="M63" s="20"/>
      <c r="N63" s="24">
        <v>0.011937</v>
      </c>
      <c r="O63" s="25">
        <v>0.181610360227661</v>
      </c>
      <c r="P63" s="25">
        <v>0.32193594616487</v>
      </c>
      <c r="Q63" s="25">
        <v>-0.0453700536826922</v>
      </c>
      <c r="R63" s="25">
        <v>0.324307292384647</v>
      </c>
      <c r="S63" s="25">
        <v>0.187368470280129</v>
      </c>
      <c r="T63" s="25">
        <v>0.170420646432579</v>
      </c>
      <c r="U63" s="25">
        <v>-0.0748917639314378</v>
      </c>
      <c r="V63" s="25">
        <v>0.400404197986101</v>
      </c>
      <c r="W63" s="25">
        <v>0.0405076366856046</v>
      </c>
      <c r="X63" s="25">
        <v>-0.00743344684902411</v>
      </c>
      <c r="Y63" s="25">
        <v>0.530087404751233</v>
      </c>
      <c r="Z63" s="25">
        <v>0.00072890384076244</v>
      </c>
      <c r="AA63" s="25">
        <v>0.332561267184698</v>
      </c>
      <c r="AB63" s="25">
        <v>-0.238896787034404</v>
      </c>
      <c r="AC63" s="25">
        <v>0.198214772417553</v>
      </c>
      <c r="AD63" s="25">
        <v>0.906716902689359</v>
      </c>
      <c r="AE63" s="25">
        <v>-0.497158162931992</v>
      </c>
      <c r="AF63" s="25">
        <v>0.5307</v>
      </c>
      <c r="AG63" s="25" t="s">
        <v>113</v>
      </c>
      <c r="AH63" s="25" t="s">
        <v>113</v>
      </c>
      <c r="AI63" s="25" t="s">
        <v>113</v>
      </c>
      <c r="AJ63" s="25" t="s">
        <v>113</v>
      </c>
      <c r="AK63" s="25" t="s">
        <v>113</v>
      </c>
      <c r="AL63" s="25" t="s">
        <v>113</v>
      </c>
      <c r="AM63" s="365" t="s">
        <v>113</v>
      </c>
      <c r="AS63" s="379" t="s">
        <v>202</v>
      </c>
      <c r="AT63" s="382">
        <v>0.67</v>
      </c>
      <c r="AU63" s="383">
        <v>45716</v>
      </c>
      <c r="AV63" s="382">
        <v>14448.9011</v>
      </c>
      <c r="AW63" s="387"/>
      <c r="AX63" s="394">
        <v>0.012135</v>
      </c>
      <c r="AY63" s="394">
        <v>0.023207</v>
      </c>
      <c r="AZ63" s="394">
        <v>0.038869</v>
      </c>
      <c r="BA63" s="394">
        <v>0.084885</v>
      </c>
      <c r="BB63" s="394">
        <v>0.067231</v>
      </c>
      <c r="BC63" s="394">
        <v>0.065053</v>
      </c>
      <c r="BD63" s="394">
        <v>0.073557</v>
      </c>
      <c r="BE63" s="395"/>
      <c r="BF63" s="394">
        <v>0.023207</v>
      </c>
      <c r="BG63" s="394">
        <v>0.082762836185819</v>
      </c>
      <c r="BH63" s="394">
        <v>0.0686894746159528</v>
      </c>
      <c r="BI63" s="394">
        <v>0.0367272737800945</v>
      </c>
      <c r="BJ63" s="394">
        <v>0.0376403134850537</v>
      </c>
      <c r="BK63" s="394">
        <v>0.0965721758350029</v>
      </c>
      <c r="BL63" s="394">
        <v>0.096155634161183</v>
      </c>
      <c r="BM63" s="394">
        <v>0.0746702340110722</v>
      </c>
      <c r="BN63" s="394">
        <v>0.0689556518849153</v>
      </c>
      <c r="BO63" s="394">
        <v>0.0936618444341782</v>
      </c>
      <c r="BP63" s="394">
        <v>0.0882122825040743</v>
      </c>
      <c r="BQ63" s="394">
        <v>0.113057163006647</v>
      </c>
      <c r="BR63" s="394">
        <v>0.0622411602996563</v>
      </c>
      <c r="BS63" s="394">
        <v>0.0935513977547875</v>
      </c>
      <c r="BT63" s="394">
        <v>0.0893526548425</v>
      </c>
      <c r="BU63" s="394">
        <v>0.0541966143968183</v>
      </c>
    </row>
    <row r="64" spans="2:73">
      <c r="B64" s="339" t="s">
        <v>203</v>
      </c>
      <c r="C64" s="343">
        <v>1.92</v>
      </c>
      <c r="D64" s="344">
        <v>45838</v>
      </c>
      <c r="E64" s="345">
        <v>2801.601</v>
      </c>
      <c r="F64" s="9">
        <v>-0.031157</v>
      </c>
      <c r="G64" s="10">
        <v>0.036603</v>
      </c>
      <c r="H64" s="10">
        <v>0.051805</v>
      </c>
      <c r="I64" s="10">
        <v>-0.024848</v>
      </c>
      <c r="J64" s="10">
        <v>0.186493</v>
      </c>
      <c r="K64" s="10">
        <v>0.2223</v>
      </c>
      <c r="L64" s="23">
        <v>0.135288</v>
      </c>
      <c r="M64" s="20"/>
      <c r="N64" s="24">
        <v>-0.010754</v>
      </c>
      <c r="O64" s="25">
        <v>0.253801557064767</v>
      </c>
      <c r="P64" s="25">
        <v>0.29294097489934</v>
      </c>
      <c r="Q64" s="25">
        <v>0.0068138692427118</v>
      </c>
      <c r="R64" s="25">
        <v>0.346964856230032</v>
      </c>
      <c r="S64" s="25">
        <v>0.14370183364337</v>
      </c>
      <c r="T64" s="25">
        <v>0.0838133640552995</v>
      </c>
      <c r="U64" s="25">
        <v>-0.0491578803231549</v>
      </c>
      <c r="V64" s="25">
        <v>0.473716073050146</v>
      </c>
      <c r="W64" s="25">
        <v>0.003848880785982</v>
      </c>
      <c r="X64" s="25">
        <v>-0.0127000000000001</v>
      </c>
      <c r="Y64" s="25" t="s">
        <v>113</v>
      </c>
      <c r="Z64" s="25" t="s">
        <v>113</v>
      </c>
      <c r="AA64" s="25" t="s">
        <v>113</v>
      </c>
      <c r="AB64" s="25" t="s">
        <v>113</v>
      </c>
      <c r="AC64" s="25" t="s">
        <v>113</v>
      </c>
      <c r="AD64" s="25" t="s">
        <v>113</v>
      </c>
      <c r="AE64" s="25" t="s">
        <v>113</v>
      </c>
      <c r="AF64" s="25" t="s">
        <v>113</v>
      </c>
      <c r="AG64" s="25" t="s">
        <v>113</v>
      </c>
      <c r="AH64" s="25" t="s">
        <v>113</v>
      </c>
      <c r="AI64" s="25" t="s">
        <v>113</v>
      </c>
      <c r="AJ64" s="25" t="s">
        <v>113</v>
      </c>
      <c r="AK64" s="25" t="s">
        <v>113</v>
      </c>
      <c r="AL64" s="25" t="s">
        <v>113</v>
      </c>
      <c r="AM64" s="365" t="s">
        <v>113</v>
      </c>
      <c r="AS64" s="379" t="s">
        <v>204</v>
      </c>
      <c r="AT64" s="382">
        <v>0.23</v>
      </c>
      <c r="AU64" s="383">
        <v>45716</v>
      </c>
      <c r="AV64" s="382">
        <v>381.4238</v>
      </c>
      <c r="AW64" s="387"/>
      <c r="AX64" s="394">
        <v>0.006923</v>
      </c>
      <c r="AY64" s="394">
        <v>0.019301</v>
      </c>
      <c r="AZ64" s="394">
        <v>0.037709</v>
      </c>
      <c r="BA64" s="394">
        <v>0.075367</v>
      </c>
      <c r="BB64" s="394" t="s">
        <v>113</v>
      </c>
      <c r="BC64" s="394" t="s">
        <v>113</v>
      </c>
      <c r="BD64" s="394" t="s">
        <v>113</v>
      </c>
      <c r="BE64" s="395"/>
      <c r="BF64" s="394">
        <v>0.019301</v>
      </c>
      <c r="BG64" s="394">
        <v>0.05589</v>
      </c>
      <c r="BH64" s="394" t="s">
        <v>113</v>
      </c>
      <c r="BI64" s="394" t="s">
        <v>113</v>
      </c>
      <c r="BJ64" s="394" t="s">
        <v>113</v>
      </c>
      <c r="BK64" s="394" t="s">
        <v>113</v>
      </c>
      <c r="BL64" s="394" t="s">
        <v>113</v>
      </c>
      <c r="BM64" s="394" t="s">
        <v>113</v>
      </c>
      <c r="BN64" s="394" t="s">
        <v>113</v>
      </c>
      <c r="BO64" s="394" t="s">
        <v>113</v>
      </c>
      <c r="BP64" s="394" t="s">
        <v>113</v>
      </c>
      <c r="BQ64" s="394" t="s">
        <v>113</v>
      </c>
      <c r="BR64" s="394" t="s">
        <v>113</v>
      </c>
      <c r="BS64" s="394" t="s">
        <v>113</v>
      </c>
      <c r="BT64" s="394" t="s">
        <v>113</v>
      </c>
      <c r="BU64" s="394" t="s">
        <v>113</v>
      </c>
    </row>
    <row r="65" spans="2:73">
      <c r="B65" s="339" t="s">
        <v>205</v>
      </c>
      <c r="C65" s="343">
        <v>1.69</v>
      </c>
      <c r="D65" s="344">
        <v>45838</v>
      </c>
      <c r="E65" s="345">
        <v>19364.973399759</v>
      </c>
      <c r="F65" s="9">
        <v>-0.023703</v>
      </c>
      <c r="G65" s="10">
        <v>0.030195</v>
      </c>
      <c r="H65" s="10">
        <v>0.066194</v>
      </c>
      <c r="I65" s="10">
        <v>-0.001094</v>
      </c>
      <c r="J65" s="10">
        <v>0.203466</v>
      </c>
      <c r="K65" s="10">
        <v>0.251147</v>
      </c>
      <c r="L65" s="23">
        <v>0.134991</v>
      </c>
      <c r="M65" s="20"/>
      <c r="N65" s="24">
        <v>0.012143</v>
      </c>
      <c r="O65" s="25">
        <v>0.217527574822642</v>
      </c>
      <c r="P65" s="25">
        <v>0.307529352630022</v>
      </c>
      <c r="Q65" s="25">
        <v>0.0534389778564697</v>
      </c>
      <c r="R65" s="25">
        <v>0.403081491419778</v>
      </c>
      <c r="S65" s="25">
        <v>0.159783406164396</v>
      </c>
      <c r="T65" s="25">
        <v>0.0334370337221909</v>
      </c>
      <c r="U65" s="25">
        <v>-0.0437696654936028</v>
      </c>
      <c r="V65" s="25">
        <v>0.306339879536345</v>
      </c>
      <c r="W65" s="25">
        <v>0.0498195502417964</v>
      </c>
      <c r="X65" s="25">
        <v>0.0437796201012115</v>
      </c>
      <c r="Y65" s="25">
        <v>0.567912146004816</v>
      </c>
      <c r="Z65" s="25">
        <v>0.0554723357578035</v>
      </c>
      <c r="AA65" s="25">
        <v>0.310375196613037</v>
      </c>
      <c r="AB65" s="25">
        <v>-0.164213650263747</v>
      </c>
      <c r="AC65" s="25">
        <v>0.19481522927873</v>
      </c>
      <c r="AD65" s="25">
        <v>0.730984383218827</v>
      </c>
      <c r="AE65" s="25">
        <v>-0.477059405587381</v>
      </c>
      <c r="AF65" s="25">
        <v>0.54902348578492</v>
      </c>
      <c r="AG65" s="25">
        <v>0.493592528236316</v>
      </c>
      <c r="AH65" s="25">
        <v>0.476114139147162</v>
      </c>
      <c r="AI65" s="25">
        <v>0.27150428047289</v>
      </c>
      <c r="AJ65" s="25">
        <v>1.07266582171525</v>
      </c>
      <c r="AK65" s="25">
        <v>0.193645990922844</v>
      </c>
      <c r="AL65" s="25">
        <v>-0.0543633762517883</v>
      </c>
      <c r="AM65" s="365">
        <v>-0.318934719064631</v>
      </c>
      <c r="AS65" s="379" t="s">
        <v>206</v>
      </c>
      <c r="AT65" s="382">
        <v>0.35</v>
      </c>
      <c r="AU65" s="383">
        <v>45716</v>
      </c>
      <c r="AV65" s="382">
        <v>7712.2374</v>
      </c>
      <c r="AW65" s="387"/>
      <c r="AX65" s="394">
        <v>0.006611</v>
      </c>
      <c r="AY65" s="394">
        <v>0.020229</v>
      </c>
      <c r="AZ65" s="394">
        <v>0.036099</v>
      </c>
      <c r="BA65" s="394">
        <v>0.082662</v>
      </c>
      <c r="BB65" s="394">
        <v>0.060695</v>
      </c>
      <c r="BC65" s="394" t="s">
        <v>113</v>
      </c>
      <c r="BD65" s="394" t="s">
        <v>113</v>
      </c>
      <c r="BE65" s="395"/>
      <c r="BF65" s="394">
        <v>0.020229</v>
      </c>
      <c r="BG65" s="394">
        <v>0.0813898888714979</v>
      </c>
      <c r="BH65" s="394">
        <v>0.0692360700925379</v>
      </c>
      <c r="BI65" s="394">
        <v>0.0157999999999999</v>
      </c>
      <c r="BJ65" s="394" t="s">
        <v>113</v>
      </c>
      <c r="BK65" s="394" t="s">
        <v>113</v>
      </c>
      <c r="BL65" s="394" t="s">
        <v>113</v>
      </c>
      <c r="BM65" s="394" t="s">
        <v>113</v>
      </c>
      <c r="BN65" s="394" t="s">
        <v>113</v>
      </c>
      <c r="BO65" s="394" t="s">
        <v>113</v>
      </c>
      <c r="BP65" s="394" t="s">
        <v>113</v>
      </c>
      <c r="BQ65" s="394" t="s">
        <v>113</v>
      </c>
      <c r="BR65" s="394" t="s">
        <v>113</v>
      </c>
      <c r="BS65" s="394" t="s">
        <v>113</v>
      </c>
      <c r="BT65" s="394" t="s">
        <v>113</v>
      </c>
      <c r="BU65" s="394" t="s">
        <v>113</v>
      </c>
    </row>
    <row r="66" spans="2:73">
      <c r="B66" s="339" t="s">
        <v>207</v>
      </c>
      <c r="C66" s="343">
        <v>1.38</v>
      </c>
      <c r="D66" s="344">
        <v>45838</v>
      </c>
      <c r="E66" s="345">
        <v>79584.5355</v>
      </c>
      <c r="F66" s="9">
        <v>-0.014808</v>
      </c>
      <c r="G66" s="10">
        <v>0.025105</v>
      </c>
      <c r="H66" s="10">
        <v>0.085334</v>
      </c>
      <c r="I66" s="10">
        <v>0.057026</v>
      </c>
      <c r="J66" s="10">
        <v>0.233427</v>
      </c>
      <c r="K66" s="10">
        <v>0.286401</v>
      </c>
      <c r="L66" s="23">
        <v>0.151524</v>
      </c>
      <c r="M66" s="20"/>
      <c r="N66" s="24">
        <v>0.05882</v>
      </c>
      <c r="O66" s="25">
        <v>0.234792094498457</v>
      </c>
      <c r="P66" s="25">
        <v>0.306047927298269</v>
      </c>
      <c r="Q66" s="25">
        <v>0.18290660186626</v>
      </c>
      <c r="R66" s="25">
        <v>0.36173936607088</v>
      </c>
      <c r="S66" s="25">
        <v>0.0643802602685348</v>
      </c>
      <c r="T66" s="25">
        <v>0.0682857410592756</v>
      </c>
      <c r="U66" s="25">
        <v>-0.0353342597685546</v>
      </c>
      <c r="V66" s="25">
        <v>0.368570811499936</v>
      </c>
      <c r="W66" s="25">
        <v>0.0726411911562942</v>
      </c>
      <c r="X66" s="25">
        <v>-0.0508689498525955</v>
      </c>
      <c r="Y66" s="25">
        <v>0.537720922293128</v>
      </c>
      <c r="Z66" s="25">
        <v>0.0381972844757076</v>
      </c>
      <c r="AA66" s="25">
        <v>0.341446577396599</v>
      </c>
      <c r="AB66" s="25">
        <v>-0.26721518520876</v>
      </c>
      <c r="AC66" s="25">
        <v>0.292156183714991</v>
      </c>
      <c r="AD66" s="25">
        <v>1.05566975448713</v>
      </c>
      <c r="AE66" s="25">
        <v>-0.496798373663377</v>
      </c>
      <c r="AF66" s="25">
        <v>0.536076375992186</v>
      </c>
      <c r="AG66" s="25">
        <v>0.35863338597688</v>
      </c>
      <c r="AH66" s="25">
        <v>0.627043135823868</v>
      </c>
      <c r="AI66" s="25">
        <v>0.275260310627654</v>
      </c>
      <c r="AJ66" s="25">
        <v>1.26296621325143</v>
      </c>
      <c r="AK66" s="25">
        <v>0.241961852861035</v>
      </c>
      <c r="AL66" s="25">
        <v>-0.028072033898305</v>
      </c>
      <c r="AM66" s="365">
        <v>-0.2</v>
      </c>
      <c r="AS66" s="379" t="s">
        <v>208</v>
      </c>
      <c r="AT66" s="382">
        <v>0.36</v>
      </c>
      <c r="AU66" s="383">
        <v>45716</v>
      </c>
      <c r="AV66" s="382">
        <v>2919.2551</v>
      </c>
      <c r="AW66" s="387"/>
      <c r="AX66" s="394">
        <v>0.014651</v>
      </c>
      <c r="AY66" s="394">
        <v>0.02589</v>
      </c>
      <c r="AZ66" s="394">
        <v>0.041602</v>
      </c>
      <c r="BA66" s="394">
        <v>0.093918</v>
      </c>
      <c r="BB66" s="394">
        <v>0.074476</v>
      </c>
      <c r="BC66" s="394" t="s">
        <v>113</v>
      </c>
      <c r="BD66" s="394" t="s">
        <v>113</v>
      </c>
      <c r="BE66" s="395"/>
      <c r="BF66" s="394">
        <v>0.02589</v>
      </c>
      <c r="BG66" s="394">
        <v>0.0992393403385343</v>
      </c>
      <c r="BH66" s="394">
        <v>0.0715507023918238</v>
      </c>
      <c r="BI66" s="394">
        <v>0.02934</v>
      </c>
      <c r="BJ66" s="394" t="s">
        <v>113</v>
      </c>
      <c r="BK66" s="394" t="s">
        <v>113</v>
      </c>
      <c r="BL66" s="394" t="s">
        <v>113</v>
      </c>
      <c r="BM66" s="394" t="s">
        <v>113</v>
      </c>
      <c r="BN66" s="394" t="s">
        <v>113</v>
      </c>
      <c r="BO66" s="394" t="s">
        <v>113</v>
      </c>
      <c r="BP66" s="394" t="s">
        <v>113</v>
      </c>
      <c r="BQ66" s="394" t="s">
        <v>113</v>
      </c>
      <c r="BR66" s="394" t="s">
        <v>113</v>
      </c>
      <c r="BS66" s="394" t="s">
        <v>113</v>
      </c>
      <c r="BT66" s="394" t="s">
        <v>113</v>
      </c>
      <c r="BU66" s="394" t="s">
        <v>113</v>
      </c>
    </row>
    <row r="67" spans="2:73">
      <c r="B67" s="339" t="s">
        <v>209</v>
      </c>
      <c r="C67" s="343">
        <v>1.92</v>
      </c>
      <c r="D67" s="344">
        <v>45838</v>
      </c>
      <c r="E67" s="345">
        <v>5169.21</v>
      </c>
      <c r="F67" s="9">
        <v>-0.020644</v>
      </c>
      <c r="G67" s="10">
        <v>0.075081</v>
      </c>
      <c r="H67" s="10">
        <v>0.076128</v>
      </c>
      <c r="I67" s="10">
        <v>0.001079</v>
      </c>
      <c r="J67" s="10">
        <v>0.202881</v>
      </c>
      <c r="K67" s="10">
        <v>0.223342</v>
      </c>
      <c r="L67" s="23">
        <v>0.125926</v>
      </c>
      <c r="M67" s="20"/>
      <c r="N67" s="24">
        <v>-0.005231</v>
      </c>
      <c r="O67" s="25">
        <v>0.286204525026956</v>
      </c>
      <c r="P67" s="25">
        <v>0.31783046960596</v>
      </c>
      <c r="Q67" s="25">
        <v>-0.0461522814506477</v>
      </c>
      <c r="R67" s="25">
        <v>0.339363907369751</v>
      </c>
      <c r="S67" s="25">
        <v>0.159983511576247</v>
      </c>
      <c r="T67" s="25">
        <v>0.0617173187060602</v>
      </c>
      <c r="U67" s="25">
        <v>-0.106039808943156</v>
      </c>
      <c r="V67" s="25">
        <v>0.402698549655326</v>
      </c>
      <c r="W67" s="25">
        <v>0.0558250630132401</v>
      </c>
      <c r="X67" s="25">
        <v>-0.0209566071065573</v>
      </c>
      <c r="Y67" s="25">
        <v>0.547695639555444</v>
      </c>
      <c r="Z67" s="25">
        <v>0.0800217043727462</v>
      </c>
      <c r="AA67" s="25">
        <v>0.250356518273826</v>
      </c>
      <c r="AB67" s="25">
        <v>-0.186601730036138</v>
      </c>
      <c r="AC67" s="25">
        <v>0.157425236035533</v>
      </c>
      <c r="AD67" s="25">
        <v>0.600594549794786</v>
      </c>
      <c r="AE67" s="25">
        <v>-0.545644776866548</v>
      </c>
      <c r="AF67" s="25">
        <v>0.509931632778133</v>
      </c>
      <c r="AG67" s="25">
        <v>0.517125958831581</v>
      </c>
      <c r="AH67" s="25">
        <v>0.437305576384816</v>
      </c>
      <c r="AI67" s="25">
        <v>0.34693</v>
      </c>
      <c r="AJ67" s="25" t="s">
        <v>113</v>
      </c>
      <c r="AK67" s="25" t="s">
        <v>113</v>
      </c>
      <c r="AL67" s="25" t="s">
        <v>113</v>
      </c>
      <c r="AM67" s="365" t="s">
        <v>113</v>
      </c>
      <c r="AS67" s="379" t="s">
        <v>210</v>
      </c>
      <c r="AT67" s="382">
        <v>0.4</v>
      </c>
      <c r="AU67" s="383">
        <v>45716</v>
      </c>
      <c r="AV67" s="382">
        <v>586.4315</v>
      </c>
      <c r="AW67" s="387"/>
      <c r="AX67" s="394">
        <v>0.008086</v>
      </c>
      <c r="AY67" s="394">
        <v>0.021778</v>
      </c>
      <c r="AZ67" s="394">
        <v>0.036588</v>
      </c>
      <c r="BA67" s="394">
        <v>0.082668</v>
      </c>
      <c r="BB67" s="394" t="s">
        <v>113</v>
      </c>
      <c r="BC67" s="394" t="s">
        <v>113</v>
      </c>
      <c r="BD67" s="394" t="s">
        <v>113</v>
      </c>
      <c r="BE67" s="395"/>
      <c r="BF67" s="394">
        <v>0.021778</v>
      </c>
      <c r="BG67" s="394">
        <v>0.0814066571250321</v>
      </c>
      <c r="BH67" s="394">
        <v>0.0684520600315646</v>
      </c>
      <c r="BI67" s="394">
        <v>0.02013</v>
      </c>
      <c r="BJ67" s="394" t="s">
        <v>113</v>
      </c>
      <c r="BK67" s="394" t="s">
        <v>113</v>
      </c>
      <c r="BL67" s="394" t="s">
        <v>113</v>
      </c>
      <c r="BM67" s="394" t="s">
        <v>113</v>
      </c>
      <c r="BN67" s="394" t="s">
        <v>113</v>
      </c>
      <c r="BO67" s="394" t="s">
        <v>113</v>
      </c>
      <c r="BP67" s="394" t="s">
        <v>113</v>
      </c>
      <c r="BQ67" s="394" t="s">
        <v>113</v>
      </c>
      <c r="BR67" s="394" t="s">
        <v>113</v>
      </c>
      <c r="BS67" s="394" t="s">
        <v>113</v>
      </c>
      <c r="BT67" s="394" t="s">
        <v>113</v>
      </c>
      <c r="BU67" s="394" t="s">
        <v>113</v>
      </c>
    </row>
    <row r="68" spans="2:73">
      <c r="B68" s="339" t="s">
        <v>211</v>
      </c>
      <c r="C68" s="343">
        <v>1.69</v>
      </c>
      <c r="D68" s="344">
        <v>45838</v>
      </c>
      <c r="E68" s="345">
        <v>17945.8643116983</v>
      </c>
      <c r="F68" s="9">
        <v>-0.003215</v>
      </c>
      <c r="G68" s="10">
        <v>0.065903</v>
      </c>
      <c r="H68" s="10">
        <v>0.075145</v>
      </c>
      <c r="I68" s="10">
        <v>-0.004815</v>
      </c>
      <c r="J68" s="10">
        <v>0.187917</v>
      </c>
      <c r="K68" s="10" t="s">
        <v>113</v>
      </c>
      <c r="L68" s="23" t="s">
        <v>113</v>
      </c>
      <c r="M68" s="20"/>
      <c r="N68" s="24">
        <v>0.0299</v>
      </c>
      <c r="O68" s="25">
        <v>0.212080536912752</v>
      </c>
      <c r="P68" s="25">
        <v>0.278969957081545</v>
      </c>
      <c r="Q68" s="25">
        <v>0.0877684407096171</v>
      </c>
      <c r="R68" s="25">
        <v>0.0710000000000001</v>
      </c>
      <c r="S68" s="25" t="s">
        <v>113</v>
      </c>
      <c r="T68" s="25" t="s">
        <v>113</v>
      </c>
      <c r="U68" s="25" t="s">
        <v>113</v>
      </c>
      <c r="V68" s="25" t="s">
        <v>113</v>
      </c>
      <c r="W68" s="25" t="s">
        <v>113</v>
      </c>
      <c r="X68" s="25" t="s">
        <v>113</v>
      </c>
      <c r="Y68" s="25" t="s">
        <v>113</v>
      </c>
      <c r="Z68" s="25" t="s">
        <v>113</v>
      </c>
      <c r="AA68" s="25" t="s">
        <v>113</v>
      </c>
      <c r="AB68" s="25" t="s">
        <v>113</v>
      </c>
      <c r="AC68" s="25" t="s">
        <v>113</v>
      </c>
      <c r="AD68" s="25" t="s">
        <v>113</v>
      </c>
      <c r="AE68" s="25" t="s">
        <v>113</v>
      </c>
      <c r="AF68" s="25" t="s">
        <v>113</v>
      </c>
      <c r="AG68" s="25" t="s">
        <v>113</v>
      </c>
      <c r="AH68" s="25" t="s">
        <v>113</v>
      </c>
      <c r="AI68" s="25" t="s">
        <v>113</v>
      </c>
      <c r="AJ68" s="25" t="s">
        <v>113</v>
      </c>
      <c r="AK68" s="25" t="s">
        <v>113</v>
      </c>
      <c r="AL68" s="25" t="s">
        <v>113</v>
      </c>
      <c r="AM68" s="365" t="s">
        <v>113</v>
      </c>
      <c r="AS68" s="379" t="s">
        <v>212</v>
      </c>
      <c r="AT68" s="382">
        <v>0.63</v>
      </c>
      <c r="AU68" s="383">
        <v>45716</v>
      </c>
      <c r="AV68" s="382">
        <v>40.969871577</v>
      </c>
      <c r="AW68" s="387"/>
      <c r="AX68" s="394">
        <v>0.012749</v>
      </c>
      <c r="AY68" s="394">
        <v>0.022057</v>
      </c>
      <c r="AZ68" s="394">
        <v>0.039393</v>
      </c>
      <c r="BA68" s="394">
        <v>0.081465</v>
      </c>
      <c r="BB68" s="394">
        <v>0.06159</v>
      </c>
      <c r="BC68" s="394" t="s">
        <v>113</v>
      </c>
      <c r="BD68" s="394" t="s">
        <v>113</v>
      </c>
      <c r="BE68" s="395"/>
      <c r="BF68" s="394">
        <v>0.022057</v>
      </c>
      <c r="BG68" s="394">
        <v>0.0800693026421633</v>
      </c>
      <c r="BH68" s="394">
        <v>0.0627342671138291</v>
      </c>
      <c r="BI68" s="394">
        <v>0.0284629431030984</v>
      </c>
      <c r="BJ68" s="394">
        <v>0.0350300000000001</v>
      </c>
      <c r="BK68" s="394" t="s">
        <v>113</v>
      </c>
      <c r="BL68" s="394" t="s">
        <v>113</v>
      </c>
      <c r="BM68" s="394" t="s">
        <v>113</v>
      </c>
      <c r="BN68" s="394" t="s">
        <v>113</v>
      </c>
      <c r="BO68" s="394" t="s">
        <v>113</v>
      </c>
      <c r="BP68" s="394" t="s">
        <v>113</v>
      </c>
      <c r="BQ68" s="394" t="s">
        <v>113</v>
      </c>
      <c r="BR68" s="394" t="s">
        <v>113</v>
      </c>
      <c r="BS68" s="394" t="s">
        <v>113</v>
      </c>
      <c r="BT68" s="394" t="s">
        <v>113</v>
      </c>
      <c r="BU68" s="394" t="s">
        <v>113</v>
      </c>
    </row>
    <row r="69" spans="2:73">
      <c r="B69" s="339" t="s">
        <v>213</v>
      </c>
      <c r="C69" s="343">
        <v>1.92</v>
      </c>
      <c r="D69" s="344">
        <v>45838</v>
      </c>
      <c r="E69" s="345">
        <v>3266.8754</v>
      </c>
      <c r="F69" s="9">
        <v>-0.016079</v>
      </c>
      <c r="G69" s="10">
        <v>0.09023</v>
      </c>
      <c r="H69" s="10">
        <v>0.108708</v>
      </c>
      <c r="I69" s="10">
        <v>0.06573</v>
      </c>
      <c r="J69" s="10">
        <v>0.235139</v>
      </c>
      <c r="K69" s="10" t="s">
        <v>113</v>
      </c>
      <c r="L69" s="23" t="s">
        <v>113</v>
      </c>
      <c r="M69" s="20"/>
      <c r="N69" s="24">
        <v>0.004235</v>
      </c>
      <c r="O69" s="25">
        <v>0.344483985765125</v>
      </c>
      <c r="P69" s="25">
        <v>0.335551330798479</v>
      </c>
      <c r="Q69" s="25">
        <v>0.052</v>
      </c>
      <c r="R69" s="25" t="s">
        <v>113</v>
      </c>
      <c r="S69" s="25" t="s">
        <v>113</v>
      </c>
      <c r="T69" s="25" t="s">
        <v>113</v>
      </c>
      <c r="U69" s="25" t="s">
        <v>113</v>
      </c>
      <c r="V69" s="25" t="s">
        <v>113</v>
      </c>
      <c r="W69" s="25" t="s">
        <v>113</v>
      </c>
      <c r="X69" s="25" t="s">
        <v>113</v>
      </c>
      <c r="Y69" s="25" t="s">
        <v>113</v>
      </c>
      <c r="Z69" s="25" t="s">
        <v>113</v>
      </c>
      <c r="AA69" s="25" t="s">
        <v>113</v>
      </c>
      <c r="AB69" s="25" t="s">
        <v>113</v>
      </c>
      <c r="AC69" s="25" t="s">
        <v>113</v>
      </c>
      <c r="AD69" s="25" t="s">
        <v>113</v>
      </c>
      <c r="AE69" s="25" t="s">
        <v>113</v>
      </c>
      <c r="AF69" s="25" t="s">
        <v>113</v>
      </c>
      <c r="AG69" s="25" t="s">
        <v>113</v>
      </c>
      <c r="AH69" s="25" t="s">
        <v>113</v>
      </c>
      <c r="AI69" s="25" t="s">
        <v>113</v>
      </c>
      <c r="AJ69" s="25" t="s">
        <v>113</v>
      </c>
      <c r="AK69" s="25" t="s">
        <v>113</v>
      </c>
      <c r="AL69" s="25" t="s">
        <v>113</v>
      </c>
      <c r="AM69" s="365" t="s">
        <v>113</v>
      </c>
      <c r="AS69" s="379" t="s">
        <v>214</v>
      </c>
      <c r="AT69" s="382">
        <v>0.31</v>
      </c>
      <c r="AU69" s="383">
        <v>45716</v>
      </c>
      <c r="AV69" s="382">
        <v>94.163143925</v>
      </c>
      <c r="AW69" s="387"/>
      <c r="AX69" s="394">
        <v>0.007721</v>
      </c>
      <c r="AY69" s="394">
        <v>0.019679</v>
      </c>
      <c r="AZ69" s="394">
        <v>0.036516</v>
      </c>
      <c r="BA69" s="394">
        <v>0.07582</v>
      </c>
      <c r="BB69" s="394" t="s">
        <v>113</v>
      </c>
      <c r="BC69" s="394" t="s">
        <v>113</v>
      </c>
      <c r="BD69" s="394" t="s">
        <v>113</v>
      </c>
      <c r="BE69" s="395"/>
      <c r="BF69" s="394">
        <v>0.019679</v>
      </c>
      <c r="BG69" s="394">
        <v>0.0755968047282634</v>
      </c>
      <c r="BH69" s="394">
        <v>0.0673310071559524</v>
      </c>
      <c r="BI69" s="394">
        <v>0.01454</v>
      </c>
      <c r="BJ69" s="394" t="s">
        <v>113</v>
      </c>
      <c r="BK69" s="394" t="s">
        <v>113</v>
      </c>
      <c r="BL69" s="394" t="s">
        <v>113</v>
      </c>
      <c r="BM69" s="394" t="s">
        <v>113</v>
      </c>
      <c r="BN69" s="394" t="s">
        <v>113</v>
      </c>
      <c r="BO69" s="394" t="s">
        <v>113</v>
      </c>
      <c r="BP69" s="394" t="s">
        <v>113</v>
      </c>
      <c r="BQ69" s="394" t="s">
        <v>113</v>
      </c>
      <c r="BR69" s="394" t="s">
        <v>113</v>
      </c>
      <c r="BS69" s="394" t="s">
        <v>113</v>
      </c>
      <c r="BT69" s="394" t="s">
        <v>113</v>
      </c>
      <c r="BU69" s="394" t="s">
        <v>113</v>
      </c>
    </row>
    <row r="70" spans="2:73">
      <c r="B70" s="339" t="s">
        <v>215</v>
      </c>
      <c r="C70" s="343">
        <v>1.45</v>
      </c>
      <c r="D70" s="344">
        <v>45838</v>
      </c>
      <c r="E70" s="345">
        <v>54840.9766</v>
      </c>
      <c r="F70" s="9">
        <v>-0.028541</v>
      </c>
      <c r="G70" s="10">
        <v>0.056688</v>
      </c>
      <c r="H70" s="10">
        <v>0.091275</v>
      </c>
      <c r="I70" s="10">
        <v>0.003181</v>
      </c>
      <c r="J70" s="10">
        <v>0.178964</v>
      </c>
      <c r="K70" s="10">
        <v>0.199253</v>
      </c>
      <c r="L70" s="23">
        <v>0.133756</v>
      </c>
      <c r="M70" s="20"/>
      <c r="N70" s="24">
        <v>0.061932</v>
      </c>
      <c r="O70" s="25">
        <v>0.165034473672654</v>
      </c>
      <c r="P70" s="25">
        <v>0.242031963055217</v>
      </c>
      <c r="Q70" s="25">
        <v>0.0499780463127349</v>
      </c>
      <c r="R70" s="25">
        <v>0.253721698338998</v>
      </c>
      <c r="S70" s="25">
        <v>0.117883133561644</v>
      </c>
      <c r="T70" s="25">
        <v>0.12280701754386</v>
      </c>
      <c r="U70" s="25">
        <v>-0.00881372081943802</v>
      </c>
      <c r="V70" s="25">
        <v>0.343091381723655</v>
      </c>
      <c r="W70" s="25">
        <v>0.094406512605042</v>
      </c>
      <c r="X70" s="25">
        <v>0.0295602018745493</v>
      </c>
      <c r="Y70" s="25">
        <v>0.578715230845842</v>
      </c>
      <c r="Z70" s="25">
        <v>0.0613061532653833</v>
      </c>
      <c r="AA70" s="25">
        <v>0.334508816120907</v>
      </c>
      <c r="AB70" s="25">
        <v>-0.222909489508299</v>
      </c>
      <c r="AC70" s="25">
        <v>0.200488767741329</v>
      </c>
      <c r="AD70" s="25">
        <v>0.0638999999999999</v>
      </c>
      <c r="AE70" s="25" t="s">
        <v>113</v>
      </c>
      <c r="AF70" s="25" t="s">
        <v>113</v>
      </c>
      <c r="AG70" s="25" t="s">
        <v>113</v>
      </c>
      <c r="AH70" s="25" t="s">
        <v>113</v>
      </c>
      <c r="AI70" s="25" t="s">
        <v>113</v>
      </c>
      <c r="AJ70" s="25" t="s">
        <v>113</v>
      </c>
      <c r="AK70" s="25" t="s">
        <v>113</v>
      </c>
      <c r="AL70" s="25" t="s">
        <v>113</v>
      </c>
      <c r="AM70" s="365" t="s">
        <v>113</v>
      </c>
      <c r="AS70" s="379" t="s">
        <v>216</v>
      </c>
      <c r="AT70" s="382">
        <v>0.74</v>
      </c>
      <c r="AU70" s="383">
        <v>45716</v>
      </c>
      <c r="AV70" s="382">
        <v>6497.7632</v>
      </c>
      <c r="AW70" s="387"/>
      <c r="AX70" s="394">
        <v>0.013364</v>
      </c>
      <c r="AY70" s="394">
        <v>0.023977</v>
      </c>
      <c r="AZ70" s="394">
        <v>0.040005</v>
      </c>
      <c r="BA70" s="394">
        <v>0.085928</v>
      </c>
      <c r="BB70" s="394">
        <v>0.0706</v>
      </c>
      <c r="BC70" s="394">
        <v>0.068045</v>
      </c>
      <c r="BD70" s="394">
        <v>0.073243</v>
      </c>
      <c r="BE70" s="395"/>
      <c r="BF70" s="394">
        <v>0.023977</v>
      </c>
      <c r="BG70" s="394">
        <v>0.084402793981727</v>
      </c>
      <c r="BH70" s="394">
        <v>0.0714884376934238</v>
      </c>
      <c r="BI70" s="394">
        <v>0.0432244870307485</v>
      </c>
      <c r="BJ70" s="394">
        <v>0.047116565505194</v>
      </c>
      <c r="BK70" s="394">
        <v>0.0951967058686426</v>
      </c>
      <c r="BL70" s="394">
        <v>0.0777930420902514</v>
      </c>
      <c r="BM70" s="394">
        <v>0.0688992565492472</v>
      </c>
      <c r="BN70" s="394">
        <v>0.0661509696158216</v>
      </c>
      <c r="BO70" s="394">
        <v>0.0912856994090236</v>
      </c>
      <c r="BP70" s="394">
        <v>0.0868794765231231</v>
      </c>
      <c r="BQ70" s="394">
        <v>0.0925598883963937</v>
      </c>
      <c r="BR70" s="394">
        <v>0.0845700873865756</v>
      </c>
      <c r="BS70" s="394">
        <v>0.097780926921962</v>
      </c>
      <c r="BT70" s="394">
        <v>0.0916108747733586</v>
      </c>
      <c r="BU70" s="394">
        <v>0.0554710319711194</v>
      </c>
    </row>
    <row r="71" spans="2:73">
      <c r="B71" s="339" t="s">
        <v>217</v>
      </c>
      <c r="C71" s="343">
        <v>1.71</v>
      </c>
      <c r="D71" s="344">
        <v>45838</v>
      </c>
      <c r="E71" s="345">
        <v>13893.7643</v>
      </c>
      <c r="F71" s="9">
        <v>-0.028643</v>
      </c>
      <c r="G71" s="10">
        <v>0.0799</v>
      </c>
      <c r="H71" s="10">
        <v>0.090446</v>
      </c>
      <c r="I71" s="10">
        <v>0.067212</v>
      </c>
      <c r="J71" s="10">
        <v>0.24413</v>
      </c>
      <c r="K71" s="10">
        <v>0.198776</v>
      </c>
      <c r="L71" s="23">
        <v>0.128169</v>
      </c>
      <c r="M71" s="20"/>
      <c r="N71" s="24">
        <v>-0.033758</v>
      </c>
      <c r="O71" s="25">
        <v>0.456909864391701</v>
      </c>
      <c r="P71" s="25">
        <v>0.309861721961947</v>
      </c>
      <c r="Q71" s="25">
        <v>-0.0297801780491127</v>
      </c>
      <c r="R71" s="25">
        <v>0.153044716452633</v>
      </c>
      <c r="S71" s="25">
        <v>0.102990351682465</v>
      </c>
      <c r="T71" s="25">
        <v>0.0792317547726856</v>
      </c>
      <c r="U71" s="25">
        <v>-0.0784839273863257</v>
      </c>
      <c r="V71" s="25">
        <v>0.43052488578607</v>
      </c>
      <c r="W71" s="25">
        <v>0.0845260307636298</v>
      </c>
      <c r="X71" s="25">
        <v>0.145986257969465</v>
      </c>
      <c r="Y71" s="25">
        <v>0.53398</v>
      </c>
      <c r="Z71" s="25" t="s">
        <v>113</v>
      </c>
      <c r="AA71" s="25" t="s">
        <v>113</v>
      </c>
      <c r="AB71" s="25" t="s">
        <v>113</v>
      </c>
      <c r="AC71" s="25" t="s">
        <v>113</v>
      </c>
      <c r="AD71" s="25" t="s">
        <v>113</v>
      </c>
      <c r="AE71" s="25" t="s">
        <v>113</v>
      </c>
      <c r="AF71" s="25" t="s">
        <v>113</v>
      </c>
      <c r="AG71" s="25" t="s">
        <v>113</v>
      </c>
      <c r="AH71" s="25" t="s">
        <v>113</v>
      </c>
      <c r="AI71" s="25" t="s">
        <v>113</v>
      </c>
      <c r="AJ71" s="25" t="s">
        <v>113</v>
      </c>
      <c r="AK71" s="25" t="s">
        <v>113</v>
      </c>
      <c r="AL71" s="25" t="s">
        <v>113</v>
      </c>
      <c r="AM71" s="365" t="s">
        <v>113</v>
      </c>
      <c r="AS71" s="379" t="s">
        <v>218</v>
      </c>
      <c r="AT71" s="382">
        <v>0.32</v>
      </c>
      <c r="AU71" s="383">
        <v>45716</v>
      </c>
      <c r="AV71" s="382">
        <v>71.794</v>
      </c>
      <c r="AW71" s="387"/>
      <c r="AX71" s="394">
        <v>0.00851</v>
      </c>
      <c r="AY71" s="394">
        <v>0.019745</v>
      </c>
      <c r="AZ71" s="394" t="s">
        <v>113</v>
      </c>
      <c r="BA71" s="394" t="s">
        <v>113</v>
      </c>
      <c r="BB71" s="394" t="s">
        <v>113</v>
      </c>
      <c r="BC71" s="394" t="s">
        <v>113</v>
      </c>
      <c r="BD71" s="394" t="s">
        <v>113</v>
      </c>
      <c r="BE71" s="395"/>
      <c r="BF71" s="394">
        <v>0.019745</v>
      </c>
      <c r="BG71" s="394">
        <v>0.01343</v>
      </c>
      <c r="BH71" s="394" t="s">
        <v>113</v>
      </c>
      <c r="BI71" s="394" t="s">
        <v>113</v>
      </c>
      <c r="BJ71" s="394" t="s">
        <v>113</v>
      </c>
      <c r="BK71" s="394" t="s">
        <v>113</v>
      </c>
      <c r="BL71" s="394" t="s">
        <v>113</v>
      </c>
      <c r="BM71" s="394" t="s">
        <v>113</v>
      </c>
      <c r="BN71" s="394" t="s">
        <v>113</v>
      </c>
      <c r="BO71" s="394" t="s">
        <v>113</v>
      </c>
      <c r="BP71" s="394" t="s">
        <v>113</v>
      </c>
      <c r="BQ71" s="394" t="s">
        <v>113</v>
      </c>
      <c r="BR71" s="394" t="s">
        <v>113</v>
      </c>
      <c r="BS71" s="394" t="s">
        <v>113</v>
      </c>
      <c r="BT71" s="394" t="s">
        <v>113</v>
      </c>
      <c r="BU71" s="394" t="s">
        <v>113</v>
      </c>
    </row>
    <row r="72" spans="2:73">
      <c r="B72" s="339" t="s">
        <v>219</v>
      </c>
      <c r="C72" s="343">
        <v>1.72</v>
      </c>
      <c r="D72" s="344">
        <v>45838</v>
      </c>
      <c r="E72" s="345">
        <v>9299.746</v>
      </c>
      <c r="F72" s="9">
        <v>-0.02066</v>
      </c>
      <c r="G72" s="10">
        <v>0.0462</v>
      </c>
      <c r="H72" s="10">
        <v>0.058224</v>
      </c>
      <c r="I72" s="10">
        <v>-0.042921</v>
      </c>
      <c r="J72" s="10">
        <v>0.161616</v>
      </c>
      <c r="K72" s="10" t="s">
        <v>113</v>
      </c>
      <c r="L72" s="23" t="s">
        <v>113</v>
      </c>
      <c r="M72" s="20"/>
      <c r="N72" s="24">
        <v>-0.000801</v>
      </c>
      <c r="O72" s="25">
        <v>0.154224987039917</v>
      </c>
      <c r="P72" s="25">
        <v>0.331089145841104</v>
      </c>
      <c r="Q72" s="25">
        <v>-0.0086250728000517</v>
      </c>
      <c r="R72" s="25">
        <v>0.0817299999999999</v>
      </c>
      <c r="S72" s="25" t="s">
        <v>113</v>
      </c>
      <c r="T72" s="25" t="s">
        <v>113</v>
      </c>
      <c r="U72" s="25" t="s">
        <v>113</v>
      </c>
      <c r="V72" s="25" t="s">
        <v>113</v>
      </c>
      <c r="W72" s="25" t="s">
        <v>113</v>
      </c>
      <c r="X72" s="25" t="s">
        <v>113</v>
      </c>
      <c r="Y72" s="25" t="s">
        <v>113</v>
      </c>
      <c r="Z72" s="25" t="s">
        <v>113</v>
      </c>
      <c r="AA72" s="25" t="s">
        <v>113</v>
      </c>
      <c r="AB72" s="25" t="s">
        <v>113</v>
      </c>
      <c r="AC72" s="25" t="s">
        <v>113</v>
      </c>
      <c r="AD72" s="25" t="s">
        <v>113</v>
      </c>
      <c r="AE72" s="25" t="s">
        <v>113</v>
      </c>
      <c r="AF72" s="25" t="s">
        <v>113</v>
      </c>
      <c r="AG72" s="25" t="s">
        <v>113</v>
      </c>
      <c r="AH72" s="25" t="s">
        <v>113</v>
      </c>
      <c r="AI72" s="25" t="s">
        <v>113</v>
      </c>
      <c r="AJ72" s="25" t="s">
        <v>113</v>
      </c>
      <c r="AK72" s="25" t="s">
        <v>113</v>
      </c>
      <c r="AL72" s="25" t="s">
        <v>113</v>
      </c>
      <c r="AM72" s="365" t="s">
        <v>113</v>
      </c>
      <c r="AS72" s="379" t="s">
        <v>220</v>
      </c>
      <c r="AT72" s="382">
        <v>0.35</v>
      </c>
      <c r="AU72" s="383">
        <v>45716</v>
      </c>
      <c r="AV72" s="382">
        <v>139.0506</v>
      </c>
      <c r="AW72" s="387"/>
      <c r="AX72" s="394">
        <v>0.009253</v>
      </c>
      <c r="AY72" s="394">
        <v>0.021313</v>
      </c>
      <c r="AZ72" s="394" t="s">
        <v>113</v>
      </c>
      <c r="BA72" s="394" t="s">
        <v>113</v>
      </c>
      <c r="BB72" s="394" t="s">
        <v>113</v>
      </c>
      <c r="BC72" s="394" t="s">
        <v>113</v>
      </c>
      <c r="BD72" s="394" t="s">
        <v>113</v>
      </c>
      <c r="BE72" s="395"/>
      <c r="BF72" s="394">
        <v>0.021313</v>
      </c>
      <c r="BG72" s="394">
        <v>0.01347</v>
      </c>
      <c r="BH72" s="394" t="s">
        <v>113</v>
      </c>
      <c r="BI72" s="394" t="s">
        <v>113</v>
      </c>
      <c r="BJ72" s="394" t="s">
        <v>113</v>
      </c>
      <c r="BK72" s="394" t="s">
        <v>113</v>
      </c>
      <c r="BL72" s="394" t="s">
        <v>113</v>
      </c>
      <c r="BM72" s="394" t="s">
        <v>113</v>
      </c>
      <c r="BN72" s="394" t="s">
        <v>113</v>
      </c>
      <c r="BO72" s="394" t="s">
        <v>113</v>
      </c>
      <c r="BP72" s="394" t="s">
        <v>113</v>
      </c>
      <c r="BQ72" s="394" t="s">
        <v>113</v>
      </c>
      <c r="BR72" s="394" t="s">
        <v>113</v>
      </c>
      <c r="BS72" s="394" t="s">
        <v>113</v>
      </c>
      <c r="BT72" s="394" t="s">
        <v>113</v>
      </c>
      <c r="BU72" s="394" t="s">
        <v>113</v>
      </c>
    </row>
    <row r="73" spans="2:73">
      <c r="B73" s="339" t="s">
        <v>53</v>
      </c>
      <c r="C73" s="343">
        <v>1.52</v>
      </c>
      <c r="D73" s="344">
        <v>45838</v>
      </c>
      <c r="E73" s="345">
        <v>45366.0891</v>
      </c>
      <c r="F73" s="9">
        <v>-0.011124</v>
      </c>
      <c r="G73" s="10">
        <v>0.084613</v>
      </c>
      <c r="H73" s="10">
        <v>0.105766</v>
      </c>
      <c r="I73" s="10">
        <v>0.008236</v>
      </c>
      <c r="J73" s="10">
        <v>0.246716</v>
      </c>
      <c r="K73" s="10">
        <v>0.318071</v>
      </c>
      <c r="L73" s="23">
        <v>0.145514</v>
      </c>
      <c r="M73" s="20"/>
      <c r="N73" s="24">
        <v>0.03611</v>
      </c>
      <c r="O73" s="25">
        <v>0.258220184493071</v>
      </c>
      <c r="P73" s="25">
        <v>0.381302970275588</v>
      </c>
      <c r="Q73" s="25">
        <v>0.141225713175538</v>
      </c>
      <c r="R73" s="25">
        <v>0.489133490562662</v>
      </c>
      <c r="S73" s="25">
        <v>0.000377370068110724</v>
      </c>
      <c r="T73" s="25">
        <v>0.0219808129065029</v>
      </c>
      <c r="U73" s="25">
        <v>-0.0219441536775649</v>
      </c>
      <c r="V73" s="25">
        <v>0.408669256711027</v>
      </c>
      <c r="W73" s="25">
        <v>-0.0666831525486142</v>
      </c>
      <c r="X73" s="25">
        <v>0.00510474245297797</v>
      </c>
      <c r="Y73" s="25">
        <v>0.596723263277772</v>
      </c>
      <c r="Z73" s="25">
        <v>0.0455844246638055</v>
      </c>
      <c r="AA73" s="25">
        <v>0.47353467011385</v>
      </c>
      <c r="AB73" s="25">
        <v>-0.216320386680764</v>
      </c>
      <c r="AC73" s="25">
        <v>0.304517395898095</v>
      </c>
      <c r="AD73" s="25">
        <v>1.08752171908798</v>
      </c>
      <c r="AE73" s="25">
        <v>-0.558726423213297</v>
      </c>
      <c r="AF73" s="25">
        <v>0.473224865029345</v>
      </c>
      <c r="AG73" s="25">
        <v>0.512798515790649</v>
      </c>
      <c r="AH73" s="25">
        <v>0.43376</v>
      </c>
      <c r="AI73" s="25" t="s">
        <v>113</v>
      </c>
      <c r="AJ73" s="25" t="s">
        <v>113</v>
      </c>
      <c r="AK73" s="25" t="s">
        <v>113</v>
      </c>
      <c r="AL73" s="25" t="s">
        <v>113</v>
      </c>
      <c r="AM73" s="365" t="s">
        <v>113</v>
      </c>
      <c r="AN73" s="67">
        <v>1.1</v>
      </c>
      <c r="AO73" s="67">
        <v>0.87</v>
      </c>
      <c r="AP73" s="67">
        <v>28.9</v>
      </c>
      <c r="AQ73" s="67">
        <v>3.97</v>
      </c>
      <c r="AS73" s="379" t="s">
        <v>221</v>
      </c>
      <c r="AT73" s="382">
        <v>0.31</v>
      </c>
      <c r="AU73" s="383">
        <v>45716</v>
      </c>
      <c r="AV73" s="382">
        <v>3451.0384</v>
      </c>
      <c r="AW73" s="387"/>
      <c r="AX73" s="394">
        <v>0.008818</v>
      </c>
      <c r="AY73" s="394">
        <v>0.020747</v>
      </c>
      <c r="AZ73" s="394">
        <v>0.037443</v>
      </c>
      <c r="BA73" s="394">
        <v>0.079188</v>
      </c>
      <c r="BB73" s="394">
        <v>0.057972</v>
      </c>
      <c r="BC73" s="394" t="s">
        <v>113</v>
      </c>
      <c r="BD73" s="394" t="s">
        <v>113</v>
      </c>
      <c r="BE73" s="395"/>
      <c r="BF73" s="394">
        <v>0.020747</v>
      </c>
      <c r="BG73" s="394">
        <v>0.078630974434976</v>
      </c>
      <c r="BH73" s="394">
        <v>0.0660083929893853</v>
      </c>
      <c r="BI73" s="394">
        <v>0.0106881960799967</v>
      </c>
      <c r="BJ73" s="394" t="s">
        <v>113</v>
      </c>
      <c r="BK73" s="394" t="s">
        <v>113</v>
      </c>
      <c r="BL73" s="394" t="s">
        <v>113</v>
      </c>
      <c r="BM73" s="394" t="s">
        <v>113</v>
      </c>
      <c r="BN73" s="394" t="s">
        <v>113</v>
      </c>
      <c r="BO73" s="394" t="s">
        <v>113</v>
      </c>
      <c r="BP73" s="394" t="s">
        <v>113</v>
      </c>
      <c r="BQ73" s="394" t="s">
        <v>113</v>
      </c>
      <c r="BR73" s="394" t="s">
        <v>113</v>
      </c>
      <c r="BS73" s="394" t="s">
        <v>113</v>
      </c>
      <c r="BT73" s="394" t="s">
        <v>113</v>
      </c>
      <c r="BU73" s="394" t="s">
        <v>113</v>
      </c>
    </row>
    <row r="74" spans="2:73">
      <c r="B74" s="339" t="s">
        <v>57</v>
      </c>
      <c r="C74" s="343">
        <v>1.28</v>
      </c>
      <c r="D74" s="344">
        <v>45838</v>
      </c>
      <c r="E74" s="345">
        <v>110392.3159</v>
      </c>
      <c r="F74" s="9">
        <v>-0.008539</v>
      </c>
      <c r="G74" s="10">
        <v>0.052609</v>
      </c>
      <c r="H74" s="10">
        <v>0.050593</v>
      </c>
      <c r="I74" s="10">
        <v>0.078166</v>
      </c>
      <c r="J74" s="10">
        <v>0.216301</v>
      </c>
      <c r="K74" s="10">
        <v>0.236511</v>
      </c>
      <c r="L74" s="23">
        <v>0.173728</v>
      </c>
      <c r="M74" s="20"/>
      <c r="N74" s="24">
        <v>0.047122</v>
      </c>
      <c r="O74" s="25">
        <v>0.239162796693667</v>
      </c>
      <c r="P74" s="25">
        <v>0.365727184887248</v>
      </c>
      <c r="Q74" s="25">
        <v>-0.0722924598375223</v>
      </c>
      <c r="R74" s="25">
        <v>0.455120079675864</v>
      </c>
      <c r="S74" s="25">
        <v>0.322947352660441</v>
      </c>
      <c r="T74" s="25">
        <v>0.144338596235725</v>
      </c>
      <c r="U74" s="25">
        <v>-0.00430337744757255</v>
      </c>
      <c r="V74" s="25">
        <v>0.293646721288863</v>
      </c>
      <c r="W74" s="25">
        <v>0.0327526966272928</v>
      </c>
      <c r="X74" s="25">
        <v>0.089393901772856</v>
      </c>
      <c r="Y74" s="25">
        <v>0.448210144015534</v>
      </c>
      <c r="Z74" s="25">
        <v>0.112480123211089</v>
      </c>
      <c r="AA74" s="25" t="s">
        <v>113</v>
      </c>
      <c r="AB74" s="25" t="s">
        <v>113</v>
      </c>
      <c r="AC74" s="25" t="s">
        <v>113</v>
      </c>
      <c r="AD74" s="25" t="s">
        <v>113</v>
      </c>
      <c r="AE74" s="25" t="s">
        <v>113</v>
      </c>
      <c r="AF74" s="25" t="s">
        <v>113</v>
      </c>
      <c r="AG74" s="25" t="s">
        <v>113</v>
      </c>
      <c r="AH74" s="25" t="s">
        <v>113</v>
      </c>
      <c r="AI74" s="25" t="s">
        <v>113</v>
      </c>
      <c r="AJ74" s="25" t="s">
        <v>113</v>
      </c>
      <c r="AK74" s="25" t="s">
        <v>113</v>
      </c>
      <c r="AL74" s="25" t="s">
        <v>113</v>
      </c>
      <c r="AM74" s="365" t="s">
        <v>113</v>
      </c>
      <c r="AN74" s="67">
        <v>1.22</v>
      </c>
      <c r="AO74" s="67">
        <v>0.62</v>
      </c>
      <c r="AP74" s="67">
        <v>17.67</v>
      </c>
      <c r="AQ74" s="67">
        <v>3.29</v>
      </c>
      <c r="AS74" s="379" t="s">
        <v>222</v>
      </c>
      <c r="AT74" s="382">
        <v>0.38</v>
      </c>
      <c r="AU74" s="383">
        <v>45716</v>
      </c>
      <c r="AV74" s="382">
        <v>426.3721</v>
      </c>
      <c r="AW74" s="387"/>
      <c r="AX74" s="394">
        <v>0.007969</v>
      </c>
      <c r="AY74" s="394">
        <v>0.019587</v>
      </c>
      <c r="AZ74" s="394">
        <v>0.036285</v>
      </c>
      <c r="BA74" s="394">
        <v>0.076558</v>
      </c>
      <c r="BB74" s="394" t="s">
        <v>113</v>
      </c>
      <c r="BC74" s="394" t="s">
        <v>113</v>
      </c>
      <c r="BD74" s="394" t="s">
        <v>113</v>
      </c>
      <c r="BE74" s="395"/>
      <c r="BF74" s="394">
        <v>0.019587</v>
      </c>
      <c r="BG74" s="394">
        <v>0.0768207884311715</v>
      </c>
      <c r="BH74" s="394">
        <v>0.066601660609284</v>
      </c>
      <c r="BI74" s="394">
        <v>0.0152900000000001</v>
      </c>
      <c r="BJ74" s="394" t="s">
        <v>113</v>
      </c>
      <c r="BK74" s="394" t="s">
        <v>113</v>
      </c>
      <c r="BL74" s="394" t="s">
        <v>113</v>
      </c>
      <c r="BM74" s="394" t="s">
        <v>113</v>
      </c>
      <c r="BN74" s="394" t="s">
        <v>113</v>
      </c>
      <c r="BO74" s="394" t="s">
        <v>113</v>
      </c>
      <c r="BP74" s="394" t="s">
        <v>113</v>
      </c>
      <c r="BQ74" s="394" t="s">
        <v>113</v>
      </c>
      <c r="BR74" s="394" t="s">
        <v>113</v>
      </c>
      <c r="BS74" s="394" t="s">
        <v>113</v>
      </c>
      <c r="BT74" s="394" t="s">
        <v>113</v>
      </c>
      <c r="BU74" s="394" t="s">
        <v>113</v>
      </c>
    </row>
    <row r="75" spans="2:73">
      <c r="B75" s="339" t="s">
        <v>223</v>
      </c>
      <c r="C75" s="343">
        <v>1.73</v>
      </c>
      <c r="D75" s="344">
        <v>45838</v>
      </c>
      <c r="E75" s="345">
        <v>10129.7832</v>
      </c>
      <c r="F75" s="9">
        <v>-0.038543</v>
      </c>
      <c r="G75" s="10">
        <v>0.037258</v>
      </c>
      <c r="H75" s="10">
        <v>0.008661</v>
      </c>
      <c r="I75" s="10">
        <v>-0.155413</v>
      </c>
      <c r="J75" s="10">
        <v>0.145087</v>
      </c>
      <c r="K75" s="10">
        <v>0.24625</v>
      </c>
      <c r="L75" s="23">
        <v>0.168725</v>
      </c>
      <c r="M75" s="20"/>
      <c r="N75" s="24">
        <v>-0.035649</v>
      </c>
      <c r="O75" s="25">
        <v>0.118419993332436</v>
      </c>
      <c r="P75" s="25">
        <v>0.248804948437061</v>
      </c>
      <c r="Q75" s="25">
        <v>0.104373087823268</v>
      </c>
      <c r="R75" s="25">
        <v>0.556435859574703</v>
      </c>
      <c r="S75" s="25">
        <v>0.435539689057049</v>
      </c>
      <c r="T75" s="25">
        <v>0.0397210301629842</v>
      </c>
      <c r="U75" s="25">
        <v>-0.012779312714245</v>
      </c>
      <c r="V75" s="25">
        <v>0.382445696413054</v>
      </c>
      <c r="W75" s="25">
        <v>-0.0151652794364044</v>
      </c>
      <c r="X75" s="25">
        <v>0.127917342767789</v>
      </c>
      <c r="Y75" s="25">
        <v>0.670567213583992</v>
      </c>
      <c r="Z75" s="25">
        <v>-0.0184907539276338</v>
      </c>
      <c r="AA75" s="25">
        <v>0.379796851641825</v>
      </c>
      <c r="AB75" s="25">
        <v>-0.350576209591488</v>
      </c>
      <c r="AC75" s="25">
        <v>0.173659044601732</v>
      </c>
      <c r="AD75" s="25">
        <v>0.722254410979333</v>
      </c>
      <c r="AE75" s="25">
        <v>-0.591584856198082</v>
      </c>
      <c r="AF75" s="25">
        <v>0.78751632183908</v>
      </c>
      <c r="AG75" s="25">
        <v>0.295216453000615</v>
      </c>
      <c r="AH75" s="25">
        <v>0.550009968764538</v>
      </c>
      <c r="AI75" s="25">
        <v>0.218594355285003</v>
      </c>
      <c r="AJ75" s="25">
        <v>0.782351384511752</v>
      </c>
      <c r="AK75" s="25">
        <v>0.184785087219245</v>
      </c>
      <c r="AL75" s="25">
        <v>0.05252</v>
      </c>
      <c r="AM75" s="365" t="s">
        <v>113</v>
      </c>
      <c r="AS75" s="379" t="s">
        <v>224</v>
      </c>
      <c r="AT75" s="382">
        <v>1.01</v>
      </c>
      <c r="AU75" s="383">
        <v>45716</v>
      </c>
      <c r="AV75" s="382">
        <v>94.8665</v>
      </c>
      <c r="AW75" s="387"/>
      <c r="AX75" s="394">
        <v>0.012393</v>
      </c>
      <c r="AY75" s="394">
        <v>0.022383</v>
      </c>
      <c r="AZ75" s="394">
        <v>0.036813</v>
      </c>
      <c r="BA75" s="394">
        <v>0.078543</v>
      </c>
      <c r="BB75" s="394">
        <v>0.061706</v>
      </c>
      <c r="BC75" s="394">
        <v>0.061715</v>
      </c>
      <c r="BD75" s="394">
        <v>0.064706</v>
      </c>
      <c r="BE75" s="395"/>
      <c r="BF75" s="394">
        <v>0.022383</v>
      </c>
      <c r="BG75" s="394">
        <v>0.0761426743492117</v>
      </c>
      <c r="BH75" s="394">
        <v>0.0640934628161969</v>
      </c>
      <c r="BI75" s="394">
        <v>0.0310474474989636</v>
      </c>
      <c r="BJ75" s="394">
        <v>0.0406742341967061</v>
      </c>
      <c r="BK75" s="394">
        <v>0.095942451485833</v>
      </c>
      <c r="BL75" s="394">
        <v>0.0894896153818825</v>
      </c>
      <c r="BM75" s="394">
        <v>0.0429211901144911</v>
      </c>
      <c r="BN75" s="394">
        <v>0.0463853973620341</v>
      </c>
      <c r="BO75" s="394">
        <v>0.0897759825585817</v>
      </c>
      <c r="BP75" s="394">
        <v>0.072115166834271</v>
      </c>
      <c r="BQ75" s="394">
        <v>0.0969777680603454</v>
      </c>
      <c r="BR75" s="394">
        <v>0.054340650704668</v>
      </c>
      <c r="BS75" s="394">
        <v>0.0900690466536075</v>
      </c>
      <c r="BT75" s="394">
        <v>0.0675075902600806</v>
      </c>
      <c r="BU75" s="394">
        <v>0.0690259719099292</v>
      </c>
    </row>
    <row r="76" spans="2:73">
      <c r="B76" s="339" t="s">
        <v>225</v>
      </c>
      <c r="C76" s="343">
        <v>1.77</v>
      </c>
      <c r="D76" s="344">
        <v>45838</v>
      </c>
      <c r="E76" s="345">
        <v>7326.1647</v>
      </c>
      <c r="F76" s="9">
        <v>-0.029319</v>
      </c>
      <c r="G76" s="10">
        <v>0.021985</v>
      </c>
      <c r="H76" s="10">
        <v>0.040058</v>
      </c>
      <c r="I76" s="10">
        <v>-0.126913</v>
      </c>
      <c r="J76" s="10">
        <v>0.194879</v>
      </c>
      <c r="K76" s="10">
        <v>0.290521</v>
      </c>
      <c r="L76" s="23">
        <v>0.18157</v>
      </c>
      <c r="M76" s="20"/>
      <c r="N76" s="24">
        <v>0.005567</v>
      </c>
      <c r="O76" s="25">
        <v>0.152762214388427</v>
      </c>
      <c r="P76" s="25">
        <v>0.297794421689097</v>
      </c>
      <c r="Q76" s="25">
        <v>0.110965688560369</v>
      </c>
      <c r="R76" s="25">
        <v>0.579053547281576</v>
      </c>
      <c r="S76" s="25">
        <v>0.474273400108153</v>
      </c>
      <c r="T76" s="25">
        <v>-0.0303914855320564</v>
      </c>
      <c r="U76" s="25">
        <v>-0.100563456618064</v>
      </c>
      <c r="V76" s="25">
        <v>0.444794166700566</v>
      </c>
      <c r="W76" s="25">
        <v>0.0815222173339198</v>
      </c>
      <c r="X76" s="25">
        <v>0.0203806787574072</v>
      </c>
      <c r="Y76" s="25">
        <v>0.681651757067905</v>
      </c>
      <c r="Z76" s="25">
        <v>-0.0796407913706553</v>
      </c>
      <c r="AA76" s="25">
        <v>0.205713268479638</v>
      </c>
      <c r="AB76" s="25">
        <v>-0.45728006365083</v>
      </c>
      <c r="AC76" s="25">
        <v>0.0278697813527738</v>
      </c>
      <c r="AD76" s="25">
        <v>0.69157419393089</v>
      </c>
      <c r="AE76" s="25">
        <v>0.0120100000000001</v>
      </c>
      <c r="AF76" s="25" t="s">
        <v>113</v>
      </c>
      <c r="AG76" s="25" t="s">
        <v>113</v>
      </c>
      <c r="AH76" s="25" t="s">
        <v>113</v>
      </c>
      <c r="AI76" s="25" t="s">
        <v>113</v>
      </c>
      <c r="AJ76" s="25" t="s">
        <v>113</v>
      </c>
      <c r="AK76" s="25" t="s">
        <v>113</v>
      </c>
      <c r="AL76" s="25" t="s">
        <v>113</v>
      </c>
      <c r="AM76" s="365" t="s">
        <v>113</v>
      </c>
      <c r="AS76" s="379" t="s">
        <v>226</v>
      </c>
      <c r="AT76" s="382">
        <v>0.76</v>
      </c>
      <c r="AU76" s="383">
        <v>45716</v>
      </c>
      <c r="AV76" s="382">
        <v>20671.63</v>
      </c>
      <c r="AW76" s="387"/>
      <c r="AX76" s="394">
        <v>0.013128</v>
      </c>
      <c r="AY76" s="394">
        <v>0.023757</v>
      </c>
      <c r="AZ76" s="394">
        <v>0.039669</v>
      </c>
      <c r="BA76" s="394">
        <v>0.082955</v>
      </c>
      <c r="BB76" s="394">
        <v>0.06421</v>
      </c>
      <c r="BC76" s="394">
        <v>0.062085</v>
      </c>
      <c r="BD76" s="394" t="s">
        <v>113</v>
      </c>
      <c r="BE76" s="395"/>
      <c r="BF76" s="394">
        <v>0.023757</v>
      </c>
      <c r="BG76" s="394">
        <v>0.0791962347181138</v>
      </c>
      <c r="BH76" s="394">
        <v>0.0662658090177434</v>
      </c>
      <c r="BI76" s="394">
        <v>0.0329984271177736</v>
      </c>
      <c r="BJ76" s="394">
        <v>0.0288733847995707</v>
      </c>
      <c r="BK76" s="394">
        <v>0.105114284410785</v>
      </c>
      <c r="BL76" s="394">
        <v>0.09595</v>
      </c>
      <c r="BM76" s="394" t="s">
        <v>113</v>
      </c>
      <c r="BN76" s="394" t="s">
        <v>113</v>
      </c>
      <c r="BO76" s="394" t="s">
        <v>113</v>
      </c>
      <c r="BP76" s="394" t="s">
        <v>113</v>
      </c>
      <c r="BQ76" s="394" t="s">
        <v>113</v>
      </c>
      <c r="BR76" s="394" t="s">
        <v>113</v>
      </c>
      <c r="BS76" s="394" t="s">
        <v>113</v>
      </c>
      <c r="BT76" s="394" t="s">
        <v>113</v>
      </c>
      <c r="BU76" s="394" t="s">
        <v>113</v>
      </c>
    </row>
    <row r="77" spans="2:73">
      <c r="B77" s="339" t="s">
        <v>227</v>
      </c>
      <c r="C77" s="343">
        <v>1.67</v>
      </c>
      <c r="D77" s="344">
        <v>45838</v>
      </c>
      <c r="E77" s="345">
        <v>22499.7363</v>
      </c>
      <c r="F77" s="9">
        <v>-0.021484</v>
      </c>
      <c r="G77" s="10">
        <v>0.026544</v>
      </c>
      <c r="H77" s="10">
        <v>0.025685</v>
      </c>
      <c r="I77" s="10">
        <v>-0.032438</v>
      </c>
      <c r="J77" s="10">
        <v>0.132381</v>
      </c>
      <c r="K77" s="10">
        <v>0.187915</v>
      </c>
      <c r="L77" s="23">
        <v>0.121057</v>
      </c>
      <c r="M77" s="20"/>
      <c r="N77" s="24">
        <v>-0.000122</v>
      </c>
      <c r="O77" s="25">
        <v>0.142228593659236</v>
      </c>
      <c r="P77" s="25">
        <v>0.228134592602774</v>
      </c>
      <c r="Q77" s="25">
        <v>0.00684289673842128</v>
      </c>
      <c r="R77" s="25">
        <v>0.307740169667387</v>
      </c>
      <c r="S77" s="25">
        <v>0.135964757709251</v>
      </c>
      <c r="T77" s="25">
        <v>0.109698865858428</v>
      </c>
      <c r="U77" s="25">
        <v>-0.0551035616843323</v>
      </c>
      <c r="V77" s="25">
        <v>0.369831154806632</v>
      </c>
      <c r="W77" s="25">
        <v>0.0581552095081371</v>
      </c>
      <c r="X77" s="25">
        <v>0.0980845140377477</v>
      </c>
      <c r="Y77" s="25">
        <v>0.559819976859993</v>
      </c>
      <c r="Z77" s="25">
        <v>0.0519946380697053</v>
      </c>
      <c r="AA77" s="25">
        <v>0.38353115727003</v>
      </c>
      <c r="AB77" s="25">
        <v>-0.30694087403599</v>
      </c>
      <c r="AC77" s="25">
        <v>0.0976297968397292</v>
      </c>
      <c r="AD77" s="25">
        <v>0.808163265306122</v>
      </c>
      <c r="AE77" s="25">
        <v>-0.575389948006932</v>
      </c>
      <c r="AF77" s="25">
        <v>0.45615141955836</v>
      </c>
      <c r="AG77" s="25">
        <v>0.426642664266427</v>
      </c>
      <c r="AH77" s="25">
        <v>0.111</v>
      </c>
      <c r="AI77" s="25" t="s">
        <v>113</v>
      </c>
      <c r="AJ77" s="25" t="s">
        <v>113</v>
      </c>
      <c r="AK77" s="25" t="s">
        <v>113</v>
      </c>
      <c r="AL77" s="25" t="s">
        <v>113</v>
      </c>
      <c r="AM77" s="365" t="s">
        <v>113</v>
      </c>
      <c r="AS77" s="379" t="s">
        <v>228</v>
      </c>
      <c r="AT77" s="382">
        <v>0.34</v>
      </c>
      <c r="AU77" s="383">
        <v>45716</v>
      </c>
      <c r="AV77" s="382">
        <v>9296.5896</v>
      </c>
      <c r="AW77" s="387"/>
      <c r="AX77" s="394">
        <v>0.008043</v>
      </c>
      <c r="AY77" s="394">
        <v>0.020076</v>
      </c>
      <c r="AZ77" s="394">
        <v>0.036526</v>
      </c>
      <c r="BA77" s="394">
        <v>0.077436</v>
      </c>
      <c r="BB77" s="394">
        <v>0.057782</v>
      </c>
      <c r="BC77" s="394" t="s">
        <v>113</v>
      </c>
      <c r="BD77" s="394" t="s">
        <v>113</v>
      </c>
      <c r="BE77" s="395"/>
      <c r="BF77" s="394">
        <v>0.020076</v>
      </c>
      <c r="BG77" s="394">
        <v>0.0770161844940626</v>
      </c>
      <c r="BH77" s="394">
        <v>0.067492169146437</v>
      </c>
      <c r="BI77" s="394">
        <v>0.0215999999999999</v>
      </c>
      <c r="BJ77" s="394" t="s">
        <v>113</v>
      </c>
      <c r="BK77" s="394" t="s">
        <v>113</v>
      </c>
      <c r="BL77" s="394" t="s">
        <v>113</v>
      </c>
      <c r="BM77" s="394" t="s">
        <v>113</v>
      </c>
      <c r="BN77" s="394" t="s">
        <v>113</v>
      </c>
      <c r="BO77" s="394" t="s">
        <v>113</v>
      </c>
      <c r="BP77" s="394" t="s">
        <v>113</v>
      </c>
      <c r="BQ77" s="394" t="s">
        <v>113</v>
      </c>
      <c r="BR77" s="394" t="s">
        <v>113</v>
      </c>
      <c r="BS77" s="394" t="s">
        <v>113</v>
      </c>
      <c r="BT77" s="394" t="s">
        <v>113</v>
      </c>
      <c r="BU77" s="394" t="s">
        <v>113</v>
      </c>
    </row>
    <row r="78" spans="2:73">
      <c r="B78" s="339" t="s">
        <v>229</v>
      </c>
      <c r="C78" s="343">
        <v>1.89</v>
      </c>
      <c r="D78" s="344">
        <v>45838</v>
      </c>
      <c r="E78" s="345">
        <v>3418.7625209062</v>
      </c>
      <c r="F78" s="9">
        <v>-0.026757</v>
      </c>
      <c r="G78" s="10">
        <v>0.03884</v>
      </c>
      <c r="H78" s="10">
        <v>0.078756</v>
      </c>
      <c r="I78" s="10">
        <v>0.020189</v>
      </c>
      <c r="J78" s="10">
        <v>0.16424</v>
      </c>
      <c r="K78" s="10">
        <v>0.18151</v>
      </c>
      <c r="L78" s="23" t="s">
        <v>113</v>
      </c>
      <c r="M78" s="20"/>
      <c r="N78" s="24">
        <v>0.068894</v>
      </c>
      <c r="O78" s="25">
        <v>0.125751308248193</v>
      </c>
      <c r="P78" s="25">
        <v>0.278359316764251</v>
      </c>
      <c r="Q78" s="25">
        <v>-0.0349121048715852</v>
      </c>
      <c r="R78" s="25">
        <v>0.2657068368419</v>
      </c>
      <c r="S78" s="25">
        <v>0.143132928847215</v>
      </c>
      <c r="T78" s="25">
        <v>0.105096543316686</v>
      </c>
      <c r="U78" s="25">
        <v>0.01716</v>
      </c>
      <c r="V78" s="25" t="s">
        <v>113</v>
      </c>
      <c r="W78" s="25" t="s">
        <v>113</v>
      </c>
      <c r="X78" s="25" t="s">
        <v>113</v>
      </c>
      <c r="Y78" s="25" t="s">
        <v>113</v>
      </c>
      <c r="Z78" s="25" t="s">
        <v>113</v>
      </c>
      <c r="AA78" s="25" t="s">
        <v>113</v>
      </c>
      <c r="AB78" s="25" t="s">
        <v>113</v>
      </c>
      <c r="AC78" s="25" t="s">
        <v>113</v>
      </c>
      <c r="AD78" s="25" t="s">
        <v>113</v>
      </c>
      <c r="AE78" s="25" t="s">
        <v>113</v>
      </c>
      <c r="AF78" s="25" t="s">
        <v>113</v>
      </c>
      <c r="AG78" s="25" t="s">
        <v>113</v>
      </c>
      <c r="AH78" s="25" t="s">
        <v>113</v>
      </c>
      <c r="AI78" s="25" t="s">
        <v>113</v>
      </c>
      <c r="AJ78" s="25" t="s">
        <v>113</v>
      </c>
      <c r="AK78" s="25" t="s">
        <v>113</v>
      </c>
      <c r="AL78" s="25" t="s">
        <v>113</v>
      </c>
      <c r="AM78" s="365" t="s">
        <v>113</v>
      </c>
      <c r="AS78" s="379" t="s">
        <v>230</v>
      </c>
      <c r="AT78" s="382">
        <v>0.51</v>
      </c>
      <c r="AU78" s="383">
        <v>45716</v>
      </c>
      <c r="AV78" s="382">
        <v>704.660331</v>
      </c>
      <c r="AW78" s="387"/>
      <c r="AX78" s="394">
        <v>0.013979</v>
      </c>
      <c r="AY78" s="394">
        <v>0.023433</v>
      </c>
      <c r="AZ78" s="394">
        <v>0.038145</v>
      </c>
      <c r="BA78" s="394">
        <v>0.083524</v>
      </c>
      <c r="BB78" s="394">
        <v>0.064137</v>
      </c>
      <c r="BC78" s="394">
        <v>0.064289</v>
      </c>
      <c r="BD78" s="394">
        <v>0.072847</v>
      </c>
      <c r="BE78" s="395"/>
      <c r="BF78" s="394">
        <v>0.023433</v>
      </c>
      <c r="BG78" s="394">
        <v>0.0798056319492484</v>
      </c>
      <c r="BH78" s="394">
        <v>0.0626445540116538</v>
      </c>
      <c r="BI78" s="394">
        <v>0.0366136976117462</v>
      </c>
      <c r="BJ78" s="394">
        <v>0.0349769171582457</v>
      </c>
      <c r="BK78" s="394">
        <v>0.109834158213278</v>
      </c>
      <c r="BL78" s="394">
        <v>0.113148211958825</v>
      </c>
      <c r="BM78" s="394">
        <v>0.0480038851393421</v>
      </c>
      <c r="BN78" s="394">
        <v>0.0544103358630287</v>
      </c>
      <c r="BO78" s="394">
        <v>0.11713799577564</v>
      </c>
      <c r="BP78" s="394">
        <v>0.086608651302158</v>
      </c>
      <c r="BQ78" s="394">
        <v>0.149177004981928</v>
      </c>
      <c r="BR78" s="394">
        <v>-0.00253337230829186</v>
      </c>
      <c r="BS78" s="394">
        <v>0.0867792661619103</v>
      </c>
      <c r="BT78" s="394">
        <v>0.0573399952414942</v>
      </c>
      <c r="BU78" s="394">
        <v>0.0430955196426226</v>
      </c>
    </row>
    <row r="79" ht="14.55" spans="2:73">
      <c r="B79" s="339" t="s">
        <v>59</v>
      </c>
      <c r="C79" s="343">
        <v>1.66</v>
      </c>
      <c r="D79" s="344">
        <v>45838</v>
      </c>
      <c r="E79" s="345">
        <v>26324.5938</v>
      </c>
      <c r="F79" s="9">
        <v>-0.01965</v>
      </c>
      <c r="G79" s="10">
        <v>0.040314</v>
      </c>
      <c r="H79" s="10">
        <v>0.054485</v>
      </c>
      <c r="I79" s="10">
        <v>0.030152</v>
      </c>
      <c r="J79" s="10">
        <v>0.109698</v>
      </c>
      <c r="K79" s="10">
        <v>0.170372</v>
      </c>
      <c r="L79" s="23">
        <v>0.11867</v>
      </c>
      <c r="M79" s="20"/>
      <c r="N79" s="24">
        <v>0.018382</v>
      </c>
      <c r="O79" s="25">
        <v>0.143219422202219</v>
      </c>
      <c r="P79" s="25">
        <v>0.198103033594538</v>
      </c>
      <c r="Q79" s="25">
        <v>-0.134182946312715</v>
      </c>
      <c r="R79" s="25">
        <v>0.33977243238946</v>
      </c>
      <c r="S79" s="25">
        <v>0.315462307796532</v>
      </c>
      <c r="T79" s="25">
        <v>0.117282004589957</v>
      </c>
      <c r="U79" s="25">
        <v>0.0352422873975253</v>
      </c>
      <c r="V79" s="25">
        <v>0.300898425824943</v>
      </c>
      <c r="W79" s="25">
        <v>0.0113998868919819</v>
      </c>
      <c r="X79" s="25">
        <v>0.00910374614153878</v>
      </c>
      <c r="Y79" s="25">
        <v>0.467585928825865</v>
      </c>
      <c r="Z79" s="25">
        <v>0.0755723852040817</v>
      </c>
      <c r="AA79" s="25">
        <v>0.321533923303835</v>
      </c>
      <c r="AB79" s="25">
        <v>-0.190930787589499</v>
      </c>
      <c r="AC79" s="25">
        <v>0.205012325390304</v>
      </c>
      <c r="AD79" s="25">
        <v>0.851654621529099</v>
      </c>
      <c r="AE79" s="25">
        <v>-0.452519783423574</v>
      </c>
      <c r="AF79" s="25">
        <v>0.474815724815725</v>
      </c>
      <c r="AG79" s="25">
        <v>0.227752639517346</v>
      </c>
      <c r="AH79" s="25">
        <v>0.227777777777778</v>
      </c>
      <c r="AI79" s="25" t="s">
        <v>113</v>
      </c>
      <c r="AJ79" s="25" t="s">
        <v>113</v>
      </c>
      <c r="AK79" s="25" t="s">
        <v>113</v>
      </c>
      <c r="AL79" s="25" t="s">
        <v>113</v>
      </c>
      <c r="AM79" s="365" t="s">
        <v>113</v>
      </c>
      <c r="AN79" s="74">
        <v>0.29</v>
      </c>
      <c r="AO79" s="74">
        <v>0.9</v>
      </c>
      <c r="AP79" s="74">
        <v>40.07</v>
      </c>
      <c r="AQ79" s="74">
        <v>5.79</v>
      </c>
      <c r="AS79" s="379" t="s">
        <v>231</v>
      </c>
      <c r="AT79" s="382">
        <v>0.87</v>
      </c>
      <c r="AU79" s="383">
        <v>45716</v>
      </c>
      <c r="AV79" s="382">
        <v>3274.5857066439</v>
      </c>
      <c r="AW79" s="387"/>
      <c r="AX79" s="394">
        <v>0.013893</v>
      </c>
      <c r="AY79" s="394">
        <v>0.023251</v>
      </c>
      <c r="AZ79" s="394">
        <v>0.038993</v>
      </c>
      <c r="BA79" s="394">
        <v>0.084137</v>
      </c>
      <c r="BB79" s="394">
        <v>0.063266</v>
      </c>
      <c r="BC79" s="394" t="s">
        <v>113</v>
      </c>
      <c r="BD79" s="394" t="s">
        <v>113</v>
      </c>
      <c r="BE79" s="395"/>
      <c r="BF79" s="394">
        <v>0.023251</v>
      </c>
      <c r="BG79" s="394">
        <v>0.0826011507900266</v>
      </c>
      <c r="BH79" s="394">
        <v>0.0691338736451519</v>
      </c>
      <c r="BI79" s="394">
        <v>0.0224742659171916</v>
      </c>
      <c r="BJ79" s="394">
        <v>0.00159000000000002</v>
      </c>
      <c r="BK79" s="394" t="s">
        <v>113</v>
      </c>
      <c r="BL79" s="394" t="s">
        <v>113</v>
      </c>
      <c r="BM79" s="394" t="s">
        <v>113</v>
      </c>
      <c r="BN79" s="394" t="s">
        <v>113</v>
      </c>
      <c r="BO79" s="394" t="s">
        <v>113</v>
      </c>
      <c r="BP79" s="394" t="s">
        <v>113</v>
      </c>
      <c r="BQ79" s="394" t="s">
        <v>113</v>
      </c>
      <c r="BR79" s="394" t="s">
        <v>113</v>
      </c>
      <c r="BS79" s="394" t="s">
        <v>113</v>
      </c>
      <c r="BT79" s="394" t="s">
        <v>113</v>
      </c>
      <c r="BU79" s="394" t="s">
        <v>113</v>
      </c>
    </row>
    <row r="80" ht="14.55" spans="2:73">
      <c r="B80" s="339" t="s">
        <v>232</v>
      </c>
      <c r="C80" s="346">
        <v>1.8</v>
      </c>
      <c r="D80" s="347">
        <v>45838</v>
      </c>
      <c r="E80" s="348">
        <v>5446.0488</v>
      </c>
      <c r="F80" s="9">
        <v>-0.018897</v>
      </c>
      <c r="G80" s="10">
        <v>0.055201</v>
      </c>
      <c r="H80" s="10">
        <v>0.077159</v>
      </c>
      <c r="I80" s="10">
        <v>0.044681</v>
      </c>
      <c r="J80" s="10" t="s">
        <v>113</v>
      </c>
      <c r="K80" s="10" t="s">
        <v>113</v>
      </c>
      <c r="L80" s="23" t="s">
        <v>113</v>
      </c>
      <c r="M80" s="20"/>
      <c r="N80" s="24">
        <v>0.014762</v>
      </c>
      <c r="O80" s="25">
        <v>0.23667299547247</v>
      </c>
      <c r="P80" s="25">
        <v>0.311560195383584</v>
      </c>
      <c r="Q80" s="25">
        <v>0.0441000000000001</v>
      </c>
      <c r="R80" s="25" t="s">
        <v>113</v>
      </c>
      <c r="S80" s="25" t="s">
        <v>113</v>
      </c>
      <c r="T80" s="25" t="s">
        <v>113</v>
      </c>
      <c r="U80" s="25" t="s">
        <v>113</v>
      </c>
      <c r="V80" s="25" t="s">
        <v>113</v>
      </c>
      <c r="W80" s="25" t="s">
        <v>113</v>
      </c>
      <c r="X80" s="25" t="s">
        <v>113</v>
      </c>
      <c r="Y80" s="25" t="s">
        <v>113</v>
      </c>
      <c r="Z80" s="25" t="s">
        <v>113</v>
      </c>
      <c r="AA80" s="25" t="s">
        <v>113</v>
      </c>
      <c r="AB80" s="25" t="s">
        <v>113</v>
      </c>
      <c r="AC80" s="25" t="s">
        <v>113</v>
      </c>
      <c r="AD80" s="25" t="s">
        <v>113</v>
      </c>
      <c r="AE80" s="25" t="s">
        <v>113</v>
      </c>
      <c r="AF80" s="25" t="s">
        <v>113</v>
      </c>
      <c r="AG80" s="25" t="s">
        <v>113</v>
      </c>
      <c r="AH80" s="25" t="s">
        <v>113</v>
      </c>
      <c r="AI80" s="25" t="s">
        <v>113</v>
      </c>
      <c r="AJ80" s="25" t="s">
        <v>113</v>
      </c>
      <c r="AK80" s="25" t="s">
        <v>113</v>
      </c>
      <c r="AL80" s="25" t="s">
        <v>113</v>
      </c>
      <c r="AM80" s="365" t="s">
        <v>113</v>
      </c>
      <c r="AS80" s="379" t="s">
        <v>233</v>
      </c>
      <c r="AT80" s="382">
        <v>0.47</v>
      </c>
      <c r="AU80" s="383">
        <v>45716</v>
      </c>
      <c r="AV80" s="382">
        <v>854.601608235</v>
      </c>
      <c r="AW80" s="387"/>
      <c r="AX80" s="394">
        <v>0.008531</v>
      </c>
      <c r="AY80" s="394">
        <v>0.021305</v>
      </c>
      <c r="AZ80" s="394">
        <v>0.035933</v>
      </c>
      <c r="BA80" s="394">
        <v>0.081535</v>
      </c>
      <c r="BB80" s="394">
        <v>0.064623</v>
      </c>
      <c r="BC80" s="394" t="s">
        <v>113</v>
      </c>
      <c r="BD80" s="394" t="s">
        <v>113</v>
      </c>
      <c r="BE80" s="395"/>
      <c r="BF80" s="394">
        <v>0.021305</v>
      </c>
      <c r="BG80" s="394">
        <v>0.0798834138898281</v>
      </c>
      <c r="BH80" s="394">
        <v>0.0682654485471386</v>
      </c>
      <c r="BI80" s="394">
        <v>0.02453</v>
      </c>
      <c r="BJ80" s="394" t="s">
        <v>113</v>
      </c>
      <c r="BK80" s="394" t="s">
        <v>113</v>
      </c>
      <c r="BL80" s="394" t="s">
        <v>113</v>
      </c>
      <c r="BM80" s="394" t="s">
        <v>113</v>
      </c>
      <c r="BN80" s="394" t="s">
        <v>113</v>
      </c>
      <c r="BO80" s="394" t="s">
        <v>113</v>
      </c>
      <c r="BP80" s="394" t="s">
        <v>113</v>
      </c>
      <c r="BQ80" s="394" t="s">
        <v>113</v>
      </c>
      <c r="BR80" s="394" t="s">
        <v>113</v>
      </c>
      <c r="BS80" s="394" t="s">
        <v>113</v>
      </c>
      <c r="BT80" s="394" t="s">
        <v>113</v>
      </c>
      <c r="BU80" s="394" t="s">
        <v>113</v>
      </c>
    </row>
    <row r="81" ht="14.55" spans="2:73">
      <c r="B81" s="12" t="s">
        <v>234</v>
      </c>
      <c r="F81" s="13">
        <v>-0.028654</v>
      </c>
      <c r="G81" s="14">
        <v>0.038723</v>
      </c>
      <c r="H81" s="14">
        <v>0.05945</v>
      </c>
      <c r="I81" s="14">
        <v>-0.032041</v>
      </c>
      <c r="J81" s="14">
        <v>0.154431</v>
      </c>
      <c r="K81" s="14">
        <v>0.201781</v>
      </c>
      <c r="L81" s="28">
        <v>0.123351</v>
      </c>
      <c r="M81" s="20"/>
      <c r="N81" s="29">
        <v>0.022527</v>
      </c>
      <c r="O81" s="30">
        <v>0.145465796535709</v>
      </c>
      <c r="P81" s="30">
        <v>0.248498523517645</v>
      </c>
      <c r="Q81" s="30">
        <v>0.0333786905211876</v>
      </c>
      <c r="R81" s="30">
        <v>0.301140430926607</v>
      </c>
      <c r="S81" s="30">
        <v>0.168033833223551</v>
      </c>
      <c r="T81" s="30">
        <v>0.077511676096721</v>
      </c>
      <c r="U81" s="30">
        <v>-0.0308170579621176</v>
      </c>
      <c r="V81" s="30">
        <v>0.359381285994397</v>
      </c>
      <c r="W81" s="30">
        <v>0.037823178380737</v>
      </c>
      <c r="X81" s="30">
        <v>-0.00815175318655217</v>
      </c>
      <c r="Y81" s="30">
        <v>0.369590487893985</v>
      </c>
      <c r="Z81" s="30">
        <v>0.0325486673604544</v>
      </c>
      <c r="AA81" s="30">
        <v>0.311989935417777</v>
      </c>
      <c r="AB81" s="30">
        <v>-0.274131836715211</v>
      </c>
      <c r="AC81" s="30">
        <v>0.163514925645804</v>
      </c>
      <c r="AD81" s="30">
        <v>0.902289503315401</v>
      </c>
      <c r="AE81" s="30">
        <v>-0.581393156534298</v>
      </c>
      <c r="AF81" s="30">
        <v>0.63020702896736</v>
      </c>
      <c r="AG81" s="30">
        <v>0.388518319476496</v>
      </c>
      <c r="AH81" s="30">
        <v>0.365625168636339</v>
      </c>
      <c r="AI81" s="30">
        <v>0.17465220845518</v>
      </c>
      <c r="AJ81" s="30">
        <v>1.0109625827505</v>
      </c>
      <c r="AK81" s="30">
        <v>0.169921059434094</v>
      </c>
      <c r="AL81" s="30">
        <v>-0.229055845967532</v>
      </c>
      <c r="AM81" s="362">
        <v>-0.27172553923101</v>
      </c>
      <c r="AS81" s="379" t="s">
        <v>235</v>
      </c>
      <c r="AT81" s="382">
        <v>0.65</v>
      </c>
      <c r="AU81" s="383">
        <v>45716</v>
      </c>
      <c r="AV81" s="382">
        <v>59.255953534</v>
      </c>
      <c r="AW81" s="387"/>
      <c r="AX81" s="394">
        <v>0.009749</v>
      </c>
      <c r="AY81" s="394">
        <v>0.017246</v>
      </c>
      <c r="AZ81" s="394">
        <v>0.030754</v>
      </c>
      <c r="BA81" s="394">
        <v>0.073871</v>
      </c>
      <c r="BB81" s="394" t="s">
        <v>113</v>
      </c>
      <c r="BC81" s="394" t="s">
        <v>113</v>
      </c>
      <c r="BD81" s="394" t="s">
        <v>113</v>
      </c>
      <c r="BE81" s="395"/>
      <c r="BF81" s="394">
        <v>0.017246</v>
      </c>
      <c r="BG81" s="394">
        <v>0.0757991079856123</v>
      </c>
      <c r="BH81" s="394">
        <v>0.0626286</v>
      </c>
      <c r="BI81" s="394" t="s">
        <v>113</v>
      </c>
      <c r="BJ81" s="394" t="s">
        <v>113</v>
      </c>
      <c r="BK81" s="394" t="s">
        <v>113</v>
      </c>
      <c r="BL81" s="394" t="s">
        <v>113</v>
      </c>
      <c r="BM81" s="394" t="s">
        <v>113</v>
      </c>
      <c r="BN81" s="394" t="s">
        <v>113</v>
      </c>
      <c r="BO81" s="394" t="s">
        <v>113</v>
      </c>
      <c r="BP81" s="394" t="s">
        <v>113</v>
      </c>
      <c r="BQ81" s="394" t="s">
        <v>113</v>
      </c>
      <c r="BR81" s="394" t="s">
        <v>113</v>
      </c>
      <c r="BS81" s="394" t="s">
        <v>113</v>
      </c>
      <c r="BT81" s="394" t="s">
        <v>113</v>
      </c>
      <c r="BU81" s="394" t="s">
        <v>113</v>
      </c>
    </row>
    <row r="82" ht="14.55" spans="2:73">
      <c r="B82" s="12" t="s">
        <v>146</v>
      </c>
      <c r="F82" s="29">
        <f>AVERAGE(F59:F80)</f>
        <v>-0.0213218636363636</v>
      </c>
      <c r="G82" s="30">
        <f t="shared" ref="G82:L82" si="5">AVERAGE(G59:G80)</f>
        <v>0.0504212727272727</v>
      </c>
      <c r="H82" s="30">
        <f t="shared" si="5"/>
        <v>0.0699418636363636</v>
      </c>
      <c r="I82" s="30">
        <f t="shared" si="5"/>
        <v>0.00174413636363636</v>
      </c>
      <c r="J82" s="30">
        <f t="shared" si="5"/>
        <v>0.183851904761905</v>
      </c>
      <c r="K82" s="30">
        <f t="shared" si="5"/>
        <v>0.222055222222222</v>
      </c>
      <c r="L82" s="362">
        <f t="shared" si="5"/>
        <v>0.1388213125</v>
      </c>
      <c r="M82" s="20"/>
      <c r="N82" s="13">
        <f t="shared" ref="N82:AM82" si="6">AVERAGE(N59:N80)</f>
        <v>0.0197776818181818</v>
      </c>
      <c r="O82" s="14">
        <f t="shared" si="6"/>
        <v>0.211798243699749</v>
      </c>
      <c r="P82" s="14">
        <f t="shared" si="6"/>
        <v>0.285823609121775</v>
      </c>
      <c r="Q82" s="14">
        <f t="shared" si="6"/>
        <v>0.0154710582088603</v>
      </c>
      <c r="R82" s="14">
        <f t="shared" si="6"/>
        <v>0.328123115927861</v>
      </c>
      <c r="S82" s="14">
        <f t="shared" si="6"/>
        <v>0.190997783807244</v>
      </c>
      <c r="T82" s="14">
        <f t="shared" si="6"/>
        <v>0.0879616697819501</v>
      </c>
      <c r="U82" s="14">
        <f t="shared" si="6"/>
        <v>-0.0326421026832061</v>
      </c>
      <c r="V82" s="14">
        <f t="shared" si="6"/>
        <v>0.354989993435908</v>
      </c>
      <c r="W82" s="14">
        <f t="shared" si="6"/>
        <v>0.0380659033586831</v>
      </c>
      <c r="X82" s="14">
        <f t="shared" si="6"/>
        <v>0.0368957371090418</v>
      </c>
      <c r="Y82" s="14">
        <f t="shared" si="6"/>
        <v>0.551528067321648</v>
      </c>
      <c r="Z82" s="14">
        <f t="shared" si="6"/>
        <v>0.0424040324237148</v>
      </c>
      <c r="AA82" s="14">
        <f t="shared" si="6"/>
        <v>0.339408514545091</v>
      </c>
      <c r="AB82" s="14">
        <f t="shared" si="6"/>
        <v>-0.248786662793115</v>
      </c>
      <c r="AC82" s="14">
        <f t="shared" si="6"/>
        <v>0.193909161044391</v>
      </c>
      <c r="AD82" s="14">
        <f t="shared" si="6"/>
        <v>0.797115782585841</v>
      </c>
      <c r="AE82" s="14">
        <f t="shared" si="6"/>
        <v>-0.48240707214165</v>
      </c>
      <c r="AF82" s="14">
        <f t="shared" si="6"/>
        <v>0.614131166387779</v>
      </c>
      <c r="AG82" s="14">
        <f t="shared" si="6"/>
        <v>0.38926552539514</v>
      </c>
      <c r="AH82" s="14">
        <f t="shared" si="6"/>
        <v>0.37782425914857</v>
      </c>
      <c r="AI82" s="14">
        <f t="shared" si="6"/>
        <v>0.288275080220428</v>
      </c>
      <c r="AJ82" s="14">
        <f t="shared" si="6"/>
        <v>0.950843819612718</v>
      </c>
      <c r="AK82" s="14">
        <f t="shared" si="6"/>
        <v>0.177283247401262</v>
      </c>
      <c r="AL82" s="14">
        <f t="shared" si="6"/>
        <v>-0.0768224702023751</v>
      </c>
      <c r="AM82" s="28">
        <f t="shared" si="6"/>
        <v>-0.232250394210303</v>
      </c>
      <c r="AS82" s="379" t="s">
        <v>236</v>
      </c>
      <c r="AT82" s="382">
        <v>0.71</v>
      </c>
      <c r="AU82" s="383">
        <v>45716</v>
      </c>
      <c r="AV82" s="382">
        <v>328.8168</v>
      </c>
      <c r="AW82" s="387"/>
      <c r="AX82" s="394">
        <v>0.013663</v>
      </c>
      <c r="AY82" s="394">
        <v>0.023238</v>
      </c>
      <c r="AZ82" s="394">
        <v>0.038061</v>
      </c>
      <c r="BA82" s="394">
        <v>0.08231</v>
      </c>
      <c r="BB82" s="394">
        <v>0.060646</v>
      </c>
      <c r="BC82" s="394">
        <v>0.060214</v>
      </c>
      <c r="BD82" s="394" t="s">
        <v>113</v>
      </c>
      <c r="BE82" s="395"/>
      <c r="BF82" s="394">
        <v>0.023238</v>
      </c>
      <c r="BG82" s="394">
        <v>0.0798087314393995</v>
      </c>
      <c r="BH82" s="394">
        <v>0.0643504293705192</v>
      </c>
      <c r="BI82" s="394">
        <v>0.0240336907326282</v>
      </c>
      <c r="BJ82" s="394">
        <v>0.0290830897980871</v>
      </c>
      <c r="BK82" s="394">
        <v>0.106763822142995</v>
      </c>
      <c r="BL82" s="394">
        <v>0.0432427768937286</v>
      </c>
      <c r="BM82" s="394">
        <v>0.0431800000000001</v>
      </c>
      <c r="BN82" s="394" t="s">
        <v>113</v>
      </c>
      <c r="BO82" s="394" t="s">
        <v>113</v>
      </c>
      <c r="BP82" s="394" t="s">
        <v>113</v>
      </c>
      <c r="BQ82" s="394" t="s">
        <v>113</v>
      </c>
      <c r="BR82" s="394" t="s">
        <v>113</v>
      </c>
      <c r="BS82" s="394" t="s">
        <v>113</v>
      </c>
      <c r="BT82" s="394" t="s">
        <v>113</v>
      </c>
      <c r="BU82" s="394" t="s">
        <v>113</v>
      </c>
    </row>
    <row r="83" ht="14.55" spans="6:73">
      <c r="F83" s="402"/>
      <c r="G83" s="402"/>
      <c r="H83" s="402"/>
      <c r="I83" s="402"/>
      <c r="J83" s="402"/>
      <c r="K83" s="402"/>
      <c r="L83" s="402"/>
      <c r="M83" s="20"/>
      <c r="O83" s="5"/>
      <c r="AS83" s="379" t="s">
        <v>237</v>
      </c>
      <c r="AT83" s="382">
        <v>0.59</v>
      </c>
      <c r="AU83" s="383">
        <v>45716</v>
      </c>
      <c r="AV83" s="382">
        <v>4848.0574</v>
      </c>
      <c r="AW83" s="405"/>
      <c r="AX83" s="394">
        <v>0.013121</v>
      </c>
      <c r="AY83" s="394">
        <v>0.023765</v>
      </c>
      <c r="AZ83" s="394">
        <v>0.039431</v>
      </c>
      <c r="BA83" s="394">
        <v>0.082385</v>
      </c>
      <c r="BB83" s="394">
        <v>0.065507</v>
      </c>
      <c r="BC83" s="394">
        <v>0.063958</v>
      </c>
      <c r="BD83" s="394" t="s">
        <v>113</v>
      </c>
      <c r="BE83" s="406"/>
      <c r="BF83" s="394">
        <v>0.023765</v>
      </c>
      <c r="BG83" s="394">
        <v>0.0789256084451917</v>
      </c>
      <c r="BH83" s="394">
        <v>0.0687857184940788</v>
      </c>
      <c r="BI83" s="394">
        <v>0.0339224390652484</v>
      </c>
      <c r="BJ83" s="394">
        <v>0.0343227981192555</v>
      </c>
      <c r="BK83" s="394">
        <v>0.110245446516793</v>
      </c>
      <c r="BL83" s="394">
        <v>0.114160455940377</v>
      </c>
      <c r="BM83" s="394">
        <v>0.02645</v>
      </c>
      <c r="BN83" s="394" t="s">
        <v>113</v>
      </c>
      <c r="BO83" s="394" t="s">
        <v>113</v>
      </c>
      <c r="BP83" s="394" t="s">
        <v>113</v>
      </c>
      <c r="BQ83" s="394" t="s">
        <v>113</v>
      </c>
      <c r="BR83" s="394" t="s">
        <v>113</v>
      </c>
      <c r="BS83" s="394" t="s">
        <v>113</v>
      </c>
      <c r="BT83" s="394" t="s">
        <v>113</v>
      </c>
      <c r="BU83" s="394" t="s">
        <v>113</v>
      </c>
    </row>
    <row r="84" ht="15.75" customHeight="1" spans="2:73">
      <c r="B84" s="350" t="s">
        <v>238</v>
      </c>
      <c r="C84" s="350" t="s">
        <v>16</v>
      </c>
      <c r="D84" s="332" t="s">
        <v>99</v>
      </c>
      <c r="E84" s="333"/>
      <c r="F84" s="334" t="s">
        <v>10</v>
      </c>
      <c r="G84" s="335"/>
      <c r="H84" s="335"/>
      <c r="I84" s="335"/>
      <c r="J84" s="335"/>
      <c r="K84" s="335"/>
      <c r="L84" s="359"/>
      <c r="M84" s="20"/>
      <c r="N84" s="360" t="s">
        <v>100</v>
      </c>
      <c r="O84" s="361"/>
      <c r="P84" s="361"/>
      <c r="Q84" s="361"/>
      <c r="R84" s="361"/>
      <c r="S84" s="361"/>
      <c r="T84" s="361"/>
      <c r="U84" s="361"/>
      <c r="V84" s="361"/>
      <c r="W84" s="361"/>
      <c r="X84" s="361"/>
      <c r="Y84" s="361"/>
      <c r="Z84" s="361"/>
      <c r="AA84" s="361"/>
      <c r="AB84" s="361"/>
      <c r="AC84" s="361"/>
      <c r="AD84" s="361"/>
      <c r="AE84" s="361"/>
      <c r="AF84" s="361"/>
      <c r="AG84" s="361"/>
      <c r="AH84" s="361"/>
      <c r="AI84" s="361"/>
      <c r="AJ84" s="361"/>
      <c r="AK84" s="361"/>
      <c r="AL84" s="361"/>
      <c r="AM84" s="361"/>
      <c r="AN84" s="364"/>
      <c r="AS84" s="4" t="s">
        <v>146</v>
      </c>
      <c r="AT84"/>
      <c r="AU84"/>
      <c r="AV84"/>
      <c r="AW84" s="395"/>
      <c r="AX84" s="396">
        <f t="shared" ref="AX84:BD84" si="7">AVERAGE(AX43:AX83)</f>
        <v>0.0104316341463415</v>
      </c>
      <c r="AY84" s="396">
        <f t="shared" si="7"/>
        <v>0.0214473414634146</v>
      </c>
      <c r="AZ84" s="396">
        <f t="shared" si="7"/>
        <v>0.0375023076923077</v>
      </c>
      <c r="BA84" s="396">
        <f t="shared" si="7"/>
        <v>0.0804588717948718</v>
      </c>
      <c r="BB84" s="396">
        <f t="shared" si="7"/>
        <v>0.0625509696969697</v>
      </c>
      <c r="BC84" s="396">
        <f t="shared" si="7"/>
        <v>0.0636162222222222</v>
      </c>
      <c r="BD84" s="396">
        <f t="shared" si="7"/>
        <v>0.07044975</v>
      </c>
      <c r="BE84" s="395"/>
      <c r="BF84" s="396">
        <f t="shared" ref="BF84:BU84" si="8">AVERAGE(BF43:BF83)</f>
        <v>0.0214473414634146</v>
      </c>
      <c r="BG84" s="396">
        <f t="shared" si="8"/>
        <v>0.0755588511778874</v>
      </c>
      <c r="BH84" s="396">
        <f t="shared" si="8"/>
        <v>0.0675391941857506</v>
      </c>
      <c r="BI84" s="396">
        <f t="shared" si="8"/>
        <v>0.0248061598184698</v>
      </c>
      <c r="BJ84" s="396">
        <f t="shared" si="8"/>
        <v>0.0317862850220989</v>
      </c>
      <c r="BK84" s="396">
        <f t="shared" si="8"/>
        <v>0.105368772732736</v>
      </c>
      <c r="BL84" s="396">
        <f t="shared" si="8"/>
        <v>0.0897880746289734</v>
      </c>
      <c r="BM84" s="396">
        <f t="shared" si="8"/>
        <v>0.0567300879628608</v>
      </c>
      <c r="BN84" s="396">
        <f t="shared" si="8"/>
        <v>0.053641995884683</v>
      </c>
      <c r="BO84" s="396">
        <f t="shared" si="8"/>
        <v>0.104455879358641</v>
      </c>
      <c r="BP84" s="396">
        <f t="shared" si="8"/>
        <v>0.0771488736744631</v>
      </c>
      <c r="BQ84" s="396">
        <f t="shared" si="8"/>
        <v>0.111130112600289</v>
      </c>
      <c r="BR84" s="396">
        <f t="shared" si="8"/>
        <v>0.0622875852977374</v>
      </c>
      <c r="BS84" s="396">
        <f t="shared" si="8"/>
        <v>0.0990942313511298</v>
      </c>
      <c r="BT84" s="396">
        <f t="shared" si="8"/>
        <v>0.0750558092582284</v>
      </c>
      <c r="BU84" s="396">
        <f t="shared" si="8"/>
        <v>0.0494961096880951</v>
      </c>
    </row>
    <row r="85" ht="15" customHeight="1" spans="2:73">
      <c r="B85" s="352"/>
      <c r="C85" s="403"/>
      <c r="D85" s="337" t="s">
        <v>104</v>
      </c>
      <c r="E85" s="404" t="s">
        <v>105</v>
      </c>
      <c r="F85" s="2" t="s">
        <v>17</v>
      </c>
      <c r="G85" s="3" t="s">
        <v>18</v>
      </c>
      <c r="H85" s="3" t="s">
        <v>19</v>
      </c>
      <c r="I85" s="3" t="s">
        <v>20</v>
      </c>
      <c r="J85" s="3" t="s">
        <v>22</v>
      </c>
      <c r="K85" s="3" t="s">
        <v>23</v>
      </c>
      <c r="L85" s="15" t="s">
        <v>24</v>
      </c>
      <c r="M85" s="20"/>
      <c r="N85" s="16" t="s">
        <v>25</v>
      </c>
      <c r="O85" s="17">
        <v>2024</v>
      </c>
      <c r="P85" s="17">
        <v>2023</v>
      </c>
      <c r="Q85" s="18">
        <v>2022</v>
      </c>
      <c r="R85" s="18">
        <v>2021</v>
      </c>
      <c r="S85" s="18">
        <v>2020</v>
      </c>
      <c r="T85" s="18">
        <v>2019</v>
      </c>
      <c r="U85" s="18">
        <v>2018</v>
      </c>
      <c r="V85" s="18">
        <v>2017</v>
      </c>
      <c r="W85" s="18">
        <v>2016</v>
      </c>
      <c r="X85" s="18">
        <v>2015</v>
      </c>
      <c r="Y85" s="18">
        <v>2014</v>
      </c>
      <c r="Z85" s="18">
        <v>2013</v>
      </c>
      <c r="AA85" s="18">
        <v>2012</v>
      </c>
      <c r="AB85" s="18">
        <v>2011</v>
      </c>
      <c r="AC85" s="18">
        <v>2010</v>
      </c>
      <c r="AD85" s="18">
        <v>2009</v>
      </c>
      <c r="AE85" s="18">
        <v>2008</v>
      </c>
      <c r="AF85" s="18">
        <v>2007</v>
      </c>
      <c r="AG85" s="18">
        <v>2006</v>
      </c>
      <c r="AH85" s="18">
        <v>2005</v>
      </c>
      <c r="AI85" s="18">
        <v>2004</v>
      </c>
      <c r="AJ85" s="18">
        <v>2003</v>
      </c>
      <c r="AK85" s="18">
        <v>2002</v>
      </c>
      <c r="AL85" s="18">
        <v>2001</v>
      </c>
      <c r="AM85" s="273">
        <v>2000</v>
      </c>
      <c r="AS85" s="4" t="s">
        <v>162</v>
      </c>
      <c r="AT85"/>
      <c r="AU85"/>
      <c r="AV85"/>
      <c r="AW85"/>
      <c r="AX85" s="397">
        <v>0.0087263867959253</v>
      </c>
      <c r="AY85" s="397">
        <v>0.0207643930788102</v>
      </c>
      <c r="AZ85" s="397">
        <v>0.0377184412193585</v>
      </c>
      <c r="BA85" s="397">
        <v>0.080280059411505</v>
      </c>
      <c r="BB85" s="397">
        <v>0.0659301709109001</v>
      </c>
      <c r="BC85" s="397">
        <v>0.0655149768088614</v>
      </c>
      <c r="BD85" s="397">
        <v>0.0738047315298365</v>
      </c>
      <c r="BE85" s="400"/>
      <c r="BF85" s="397">
        <v>0.0207643930788102</v>
      </c>
      <c r="BG85" s="397">
        <v>0.0797029257152309</v>
      </c>
      <c r="BH85" s="397">
        <v>0.0725988870220093</v>
      </c>
      <c r="BI85" s="397">
        <v>0.0358682288812193</v>
      </c>
      <c r="BJ85" s="397">
        <v>0.0437965988907254</v>
      </c>
      <c r="BK85" s="397">
        <v>0.104161972570555</v>
      </c>
      <c r="BL85" s="397">
        <v>0.0953364838894115</v>
      </c>
      <c r="BM85" s="397">
        <v>0.0665068187794211</v>
      </c>
      <c r="BN85" s="397">
        <v>0.0602957159773323</v>
      </c>
      <c r="BO85" s="397">
        <v>0.0986738756953636</v>
      </c>
      <c r="BP85" s="397">
        <v>0.0865549936165921</v>
      </c>
      <c r="BQ85" s="397">
        <v>0.104681934209951</v>
      </c>
      <c r="BR85" s="397">
        <v>0.0827206164504672</v>
      </c>
      <c r="BS85" s="397">
        <v>0.0912371315059957</v>
      </c>
      <c r="BT85" s="397">
        <v>0.0786771029274067</v>
      </c>
      <c r="BU85" s="397">
        <v>0.0470040326565153</v>
      </c>
    </row>
    <row r="86" ht="14.55" spans="2:73">
      <c r="B86" s="339" t="s">
        <v>239</v>
      </c>
      <c r="C86" s="340">
        <v>1.87</v>
      </c>
      <c r="D86" s="341">
        <v>45838</v>
      </c>
      <c r="E86" s="342">
        <v>6371.3812</v>
      </c>
      <c r="F86" s="10">
        <v>-0.041049</v>
      </c>
      <c r="G86" s="10">
        <v>0.052683</v>
      </c>
      <c r="H86" s="10">
        <v>0.030642</v>
      </c>
      <c r="I86" s="10">
        <v>-0.06854</v>
      </c>
      <c r="J86" s="10">
        <v>0.206111</v>
      </c>
      <c r="K86" s="10">
        <v>0.245838</v>
      </c>
      <c r="L86" s="23">
        <v>0.117086</v>
      </c>
      <c r="M86" s="20"/>
      <c r="N86" s="21">
        <v>-0.029936</v>
      </c>
      <c r="O86" s="22">
        <v>0.184705016466206</v>
      </c>
      <c r="P86" s="22">
        <v>0.430150706541805</v>
      </c>
      <c r="Q86" s="22">
        <v>0.0348528635340539</v>
      </c>
      <c r="R86" s="22">
        <v>0.344526826461627</v>
      </c>
      <c r="S86" s="25">
        <v>0.156036945775574</v>
      </c>
      <c r="T86" s="25">
        <v>-0.106933049438575</v>
      </c>
      <c r="U86" s="25">
        <v>-0.234737612685743</v>
      </c>
      <c r="V86" s="25">
        <v>0.560386718192245</v>
      </c>
      <c r="W86" s="25">
        <v>0.0899347120527925</v>
      </c>
      <c r="X86" s="25">
        <v>0.0415126401924134</v>
      </c>
      <c r="Y86" s="25">
        <v>0.990011185391359</v>
      </c>
      <c r="Z86" s="25">
        <v>0.0542148850984478</v>
      </c>
      <c r="AA86" s="25">
        <v>0.333874696397741</v>
      </c>
      <c r="AB86" s="25">
        <v>-0.240422765311906</v>
      </c>
      <c r="AC86" s="25">
        <v>0.23719887801122</v>
      </c>
      <c r="AD86" s="25">
        <v>0.913743651816962</v>
      </c>
      <c r="AE86" s="25">
        <v>-0.23994</v>
      </c>
      <c r="AF86" s="25" t="s">
        <v>113</v>
      </c>
      <c r="AG86" s="25" t="s">
        <v>113</v>
      </c>
      <c r="AH86" s="25" t="s">
        <v>113</v>
      </c>
      <c r="AI86" s="25" t="s">
        <v>113</v>
      </c>
      <c r="AJ86" s="25" t="s">
        <v>113</v>
      </c>
      <c r="AK86" s="25" t="s">
        <v>113</v>
      </c>
      <c r="AL86" s="25" t="s">
        <v>113</v>
      </c>
      <c r="AM86" s="365" t="s">
        <v>113</v>
      </c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</row>
    <row r="87" ht="14.55" spans="2:73">
      <c r="B87" s="339" t="s">
        <v>240</v>
      </c>
      <c r="C87" s="343">
        <v>1.84</v>
      </c>
      <c r="D87" s="344">
        <v>45838</v>
      </c>
      <c r="E87" s="345">
        <v>7443.4495</v>
      </c>
      <c r="F87" s="10">
        <v>-0.019414</v>
      </c>
      <c r="G87" s="10">
        <v>0.050191</v>
      </c>
      <c r="H87" s="10">
        <v>0.083942</v>
      </c>
      <c r="I87" s="10">
        <v>0.005225</v>
      </c>
      <c r="J87" s="10">
        <v>0.206401</v>
      </c>
      <c r="K87" s="10">
        <v>0.234983</v>
      </c>
      <c r="L87" s="23">
        <v>0.13521</v>
      </c>
      <c r="M87" s="20"/>
      <c r="N87" s="24">
        <v>0.039684</v>
      </c>
      <c r="O87" s="25">
        <v>0.207079068407651</v>
      </c>
      <c r="P87" s="25">
        <v>0.295940754577335</v>
      </c>
      <c r="Q87" s="25">
        <v>0.0360869446143453</v>
      </c>
      <c r="R87" s="25">
        <v>0.355827100822784</v>
      </c>
      <c r="S87" s="25">
        <v>0.129411723590817</v>
      </c>
      <c r="T87" s="25">
        <v>-6.2902092892316e-5</v>
      </c>
      <c r="U87" s="25">
        <v>-0.0547447907720361</v>
      </c>
      <c r="V87" s="25">
        <v>0.423121039468983</v>
      </c>
      <c r="W87" s="25">
        <v>0.0382756903973994</v>
      </c>
      <c r="X87" s="25">
        <v>0.0461489757153653</v>
      </c>
      <c r="Y87" s="25">
        <v>0.519548738002684</v>
      </c>
      <c r="Z87" s="25">
        <v>0.103677125436734</v>
      </c>
      <c r="AA87" s="25">
        <v>0.284155889856602</v>
      </c>
      <c r="AB87" s="25">
        <v>-0.236403026308055</v>
      </c>
      <c r="AC87" s="25">
        <v>0.284380021785787</v>
      </c>
      <c r="AD87" s="25">
        <v>0.92911534620506</v>
      </c>
      <c r="AE87" s="25">
        <v>-0.548855807317577</v>
      </c>
      <c r="AF87" s="25">
        <v>0.686501717560273</v>
      </c>
      <c r="AG87" s="25">
        <v>0.215762124711316</v>
      </c>
      <c r="AH87" s="25">
        <v>0.475298126064736</v>
      </c>
      <c r="AI87" s="25">
        <v>0.47778290605463</v>
      </c>
      <c r="AJ87" s="25">
        <v>1.21908752327747</v>
      </c>
      <c r="AK87" s="25">
        <v>0.162337662337662</v>
      </c>
      <c r="AL87" s="25">
        <v>-0.230641132389675</v>
      </c>
      <c r="AM87" s="365">
        <v>-0.171724137931034</v>
      </c>
      <c r="AS87" s="384" t="s">
        <v>241</v>
      </c>
      <c r="AT87" s="369" t="s">
        <v>16</v>
      </c>
      <c r="AU87" s="370" t="s">
        <v>99</v>
      </c>
      <c r="AV87" s="371"/>
      <c r="AW87" s="386"/>
      <c r="AX87" s="360" t="s">
        <v>102</v>
      </c>
      <c r="AY87" s="361"/>
      <c r="AZ87" s="361"/>
      <c r="BA87" s="361"/>
      <c r="BB87" s="361"/>
      <c r="BC87" s="361"/>
      <c r="BD87" s="364"/>
      <c r="BE87" s="386"/>
      <c r="BF87" s="398" t="s">
        <v>103</v>
      </c>
      <c r="BG87" s="399"/>
      <c r="BH87" s="399"/>
      <c r="BI87" s="399"/>
      <c r="BJ87" s="399"/>
      <c r="BK87" s="399"/>
      <c r="BL87" s="399"/>
      <c r="BM87" s="399"/>
      <c r="BN87" s="399"/>
      <c r="BO87" s="399"/>
      <c r="BP87" s="399"/>
      <c r="BQ87" s="399"/>
      <c r="BR87" s="399"/>
      <c r="BS87" s="399"/>
      <c r="BT87" s="399"/>
      <c r="BU87" s="401"/>
    </row>
    <row r="88" ht="14.55" spans="2:73">
      <c r="B88" s="339" t="s">
        <v>242</v>
      </c>
      <c r="C88" s="343">
        <v>1.71</v>
      </c>
      <c r="D88" s="344">
        <v>45838</v>
      </c>
      <c r="E88" s="345">
        <v>14053.516</v>
      </c>
      <c r="F88" s="10">
        <v>-0.021093</v>
      </c>
      <c r="G88" s="10">
        <v>0.08057</v>
      </c>
      <c r="H88" s="10">
        <v>0.088355</v>
      </c>
      <c r="I88" s="10">
        <v>-0.00389</v>
      </c>
      <c r="J88" s="10">
        <v>0.254177</v>
      </c>
      <c r="K88" s="10">
        <v>0.271801</v>
      </c>
      <c r="L88" s="23">
        <v>0.156125</v>
      </c>
      <c r="M88" s="20"/>
      <c r="N88" s="24">
        <v>0.026615</v>
      </c>
      <c r="O88" s="25">
        <v>0.259159271806534</v>
      </c>
      <c r="P88" s="25">
        <v>0.393552286594082</v>
      </c>
      <c r="Q88" s="25">
        <v>0.0523732572332342</v>
      </c>
      <c r="R88" s="25">
        <v>0.40325187561817</v>
      </c>
      <c r="S88" s="25">
        <v>0.146123645211237</v>
      </c>
      <c r="T88" s="25">
        <v>0.0459829949678986</v>
      </c>
      <c r="U88" s="25">
        <v>-0.114383772154492</v>
      </c>
      <c r="V88" s="25">
        <v>0.41264155721987</v>
      </c>
      <c r="W88" s="25">
        <v>0.0812957239544619</v>
      </c>
      <c r="X88" s="25">
        <v>0.128770147935527</v>
      </c>
      <c r="Y88" s="25">
        <v>0.740584166026134</v>
      </c>
      <c r="Z88" s="25">
        <v>0.0663934426229509</v>
      </c>
      <c r="AA88" s="25">
        <v>0.398120559248223</v>
      </c>
      <c r="AB88" s="25">
        <v>-0.270889037433155</v>
      </c>
      <c r="AC88" s="25">
        <v>0.1968</v>
      </c>
      <c r="AD88" s="25" t="s">
        <v>113</v>
      </c>
      <c r="AE88" s="25" t="s">
        <v>113</v>
      </c>
      <c r="AF88" s="25" t="s">
        <v>113</v>
      </c>
      <c r="AG88" s="25" t="s">
        <v>113</v>
      </c>
      <c r="AH88" s="25" t="s">
        <v>113</v>
      </c>
      <c r="AI88" s="25" t="s">
        <v>113</v>
      </c>
      <c r="AJ88" s="25" t="s">
        <v>113</v>
      </c>
      <c r="AK88" s="25" t="s">
        <v>113</v>
      </c>
      <c r="AL88" s="25" t="s">
        <v>113</v>
      </c>
      <c r="AM88" s="365" t="s">
        <v>113</v>
      </c>
      <c r="AS88" s="385"/>
      <c r="AT88" s="373" t="s">
        <v>110</v>
      </c>
      <c r="AU88" s="374" t="s">
        <v>104</v>
      </c>
      <c r="AV88" s="375" t="s">
        <v>105</v>
      </c>
      <c r="AW88" s="387"/>
      <c r="AX88" s="16" t="s">
        <v>89</v>
      </c>
      <c r="AY88" s="18" t="s">
        <v>90</v>
      </c>
      <c r="AZ88" s="18" t="s">
        <v>91</v>
      </c>
      <c r="BA88" s="18" t="s">
        <v>20</v>
      </c>
      <c r="BB88" s="18" t="s">
        <v>92</v>
      </c>
      <c r="BC88" s="18" t="s">
        <v>93</v>
      </c>
      <c r="BD88" s="273" t="s">
        <v>111</v>
      </c>
      <c r="BE88" s="387"/>
      <c r="BF88" s="16">
        <v>2025</v>
      </c>
      <c r="BG88" s="16">
        <v>2024</v>
      </c>
      <c r="BH88" s="16">
        <v>2023</v>
      </c>
      <c r="BI88" s="18">
        <v>2022</v>
      </c>
      <c r="BJ88" s="18">
        <v>2021</v>
      </c>
      <c r="BK88" s="18">
        <v>2020</v>
      </c>
      <c r="BL88" s="18">
        <v>2019</v>
      </c>
      <c r="BM88" s="18">
        <v>2018</v>
      </c>
      <c r="BN88" s="18">
        <v>2017</v>
      </c>
      <c r="BO88" s="18">
        <v>2016</v>
      </c>
      <c r="BP88" s="18">
        <v>2015</v>
      </c>
      <c r="BQ88" s="18">
        <v>2014</v>
      </c>
      <c r="BR88" s="18">
        <v>2013</v>
      </c>
      <c r="BS88" s="18">
        <v>2012</v>
      </c>
      <c r="BT88" s="18">
        <v>2011</v>
      </c>
      <c r="BU88" s="273">
        <v>2010</v>
      </c>
    </row>
    <row r="89" spans="2:73">
      <c r="B89" s="339" t="s">
        <v>243</v>
      </c>
      <c r="C89" s="343">
        <v>1.51</v>
      </c>
      <c r="D89" s="344">
        <v>45838</v>
      </c>
      <c r="E89" s="345">
        <v>54096.4226268883</v>
      </c>
      <c r="F89" s="10">
        <v>-0.014375</v>
      </c>
      <c r="G89" s="10">
        <v>0.033215</v>
      </c>
      <c r="H89" s="10">
        <v>0.070475</v>
      </c>
      <c r="I89" s="10">
        <v>0.021841</v>
      </c>
      <c r="J89" s="10">
        <v>0.223314</v>
      </c>
      <c r="K89" s="10">
        <v>0.263948</v>
      </c>
      <c r="L89" s="23">
        <v>0.146958</v>
      </c>
      <c r="M89" s="20"/>
      <c r="N89" s="24">
        <v>0.065346</v>
      </c>
      <c r="O89" s="25">
        <v>0.199846692947876</v>
      </c>
      <c r="P89" s="25">
        <v>0.313956834532374</v>
      </c>
      <c r="Q89" s="25">
        <v>0.14952034402911</v>
      </c>
      <c r="R89" s="25">
        <v>0.385188155106249</v>
      </c>
      <c r="S89" s="25">
        <v>0.228728270814273</v>
      </c>
      <c r="T89" s="25">
        <v>0.00594690265486728</v>
      </c>
      <c r="U89" s="25">
        <v>-0.0422430160021697</v>
      </c>
      <c r="V89" s="25">
        <v>0.238183192007388</v>
      </c>
      <c r="W89" s="25">
        <v>0.0461092569822589</v>
      </c>
      <c r="X89" s="25">
        <v>0.0543568848967497</v>
      </c>
      <c r="Y89" s="25">
        <v>0.737570394207562</v>
      </c>
      <c r="Z89" s="25">
        <v>0.083130010456605</v>
      </c>
      <c r="AA89" s="25">
        <v>0.460050890585242</v>
      </c>
      <c r="AB89" s="25">
        <v>-0.237337473316515</v>
      </c>
      <c r="AC89" s="25">
        <v>0.277075588599752</v>
      </c>
      <c r="AD89" s="25">
        <v>1.34320557491289</v>
      </c>
      <c r="AE89" s="25">
        <v>-0.545646437994723</v>
      </c>
      <c r="AF89" s="25">
        <v>0.396462785556374</v>
      </c>
      <c r="AG89" s="25">
        <v>0.286865813181603</v>
      </c>
      <c r="AH89" s="25">
        <v>0.637422360248447</v>
      </c>
      <c r="AI89" s="25">
        <v>0.288</v>
      </c>
      <c r="AJ89" s="25" t="s">
        <v>113</v>
      </c>
      <c r="AK89" s="25" t="s">
        <v>113</v>
      </c>
      <c r="AL89" s="25" t="s">
        <v>113</v>
      </c>
      <c r="AM89" s="365" t="s">
        <v>113</v>
      </c>
      <c r="AS89" s="379" t="s">
        <v>244</v>
      </c>
      <c r="AT89" s="382">
        <v>1.54</v>
      </c>
      <c r="AU89" s="383">
        <v>45716</v>
      </c>
      <c r="AV89" s="382">
        <v>963.5658</v>
      </c>
      <c r="AW89" s="33"/>
      <c r="AX89" s="394">
        <v>0.010542</v>
      </c>
      <c r="AY89" s="394">
        <v>0.057891</v>
      </c>
      <c r="AZ89" s="394">
        <v>0.101141</v>
      </c>
      <c r="BA89" s="394">
        <v>0.160628</v>
      </c>
      <c r="BB89" s="394">
        <v>0.102093</v>
      </c>
      <c r="BC89" s="394">
        <v>0.091084</v>
      </c>
      <c r="BD89" s="394" t="s">
        <v>113</v>
      </c>
      <c r="BE89" s="34"/>
      <c r="BF89" s="394">
        <v>0.057891</v>
      </c>
      <c r="BG89" s="394">
        <v>0.119156497141269</v>
      </c>
      <c r="BH89" s="394">
        <v>0.0688909862043252</v>
      </c>
      <c r="BI89" s="394">
        <v>0.0709659707750477</v>
      </c>
      <c r="BJ89" s="394">
        <v>0.0636148863877682</v>
      </c>
      <c r="BK89" s="394">
        <v>0.0936379603152714</v>
      </c>
      <c r="BL89" s="394">
        <v>0.0208563321009699</v>
      </c>
      <c r="BM89" s="394">
        <v>0.0660037594578798</v>
      </c>
      <c r="BN89" s="394">
        <v>0.08089603715276</v>
      </c>
      <c r="BO89" s="394">
        <v>0.102952807803849</v>
      </c>
      <c r="BP89" s="394">
        <v>0.0602375960866528</v>
      </c>
      <c r="BQ89" s="394" t="s">
        <v>113</v>
      </c>
      <c r="BR89" s="394" t="s">
        <v>113</v>
      </c>
      <c r="BS89" s="394" t="s">
        <v>113</v>
      </c>
      <c r="BT89" s="394" t="s">
        <v>113</v>
      </c>
      <c r="BU89" s="394" t="s">
        <v>113</v>
      </c>
    </row>
    <row r="90" spans="2:73">
      <c r="B90" s="339" t="s">
        <v>245</v>
      </c>
      <c r="C90" s="343">
        <v>1.64</v>
      </c>
      <c r="D90" s="344">
        <v>45838</v>
      </c>
      <c r="E90" s="345">
        <v>19257.3967</v>
      </c>
      <c r="F90" s="10">
        <v>-0.009413</v>
      </c>
      <c r="G90" s="10">
        <v>0.058392</v>
      </c>
      <c r="H90" s="10">
        <v>0.081064</v>
      </c>
      <c r="I90" s="10">
        <v>0.017081</v>
      </c>
      <c r="J90" s="10">
        <v>0.214411</v>
      </c>
      <c r="K90" s="10">
        <v>0.229464</v>
      </c>
      <c r="L90" s="23">
        <v>0.154051</v>
      </c>
      <c r="M90" s="20"/>
      <c r="N90" s="24">
        <v>0.012908</v>
      </c>
      <c r="O90" s="25">
        <v>0.301388484318866</v>
      </c>
      <c r="P90" s="25">
        <v>0.288180112570356</v>
      </c>
      <c r="Q90" s="25">
        <v>0.0379073088407114</v>
      </c>
      <c r="R90" s="25">
        <v>0.295710681244743</v>
      </c>
      <c r="S90" s="25">
        <v>0.21178149205055</v>
      </c>
      <c r="T90" s="25">
        <v>0.0593824228028504</v>
      </c>
      <c r="U90" s="25">
        <v>-0.0325882598704825</v>
      </c>
      <c r="V90" s="25">
        <v>0.456343170063888</v>
      </c>
      <c r="W90" s="25">
        <v>0.0672077922077921</v>
      </c>
      <c r="X90" s="25">
        <v>0.0401891252955083</v>
      </c>
      <c r="Y90" s="25">
        <v>0.629609246009906</v>
      </c>
      <c r="Z90" s="25">
        <v>0.0466589861751153</v>
      </c>
      <c r="AA90" s="25">
        <v>0.307228915662651</v>
      </c>
      <c r="AB90" s="25">
        <v>-0.220657276995305</v>
      </c>
      <c r="AC90" s="25">
        <v>0.129224652087475</v>
      </c>
      <c r="AD90" s="25">
        <v>1.04748982360923</v>
      </c>
      <c r="AE90" s="25">
        <v>-0.489612188365651</v>
      </c>
      <c r="AF90" s="25">
        <v>0.444</v>
      </c>
      <c r="AG90" s="25" t="s">
        <v>113</v>
      </c>
      <c r="AH90" s="25" t="s">
        <v>113</v>
      </c>
      <c r="AI90" s="25" t="s">
        <v>113</v>
      </c>
      <c r="AJ90" s="25" t="s">
        <v>113</v>
      </c>
      <c r="AK90" s="25" t="s">
        <v>113</v>
      </c>
      <c r="AL90" s="25" t="s">
        <v>113</v>
      </c>
      <c r="AM90" s="365" t="s">
        <v>113</v>
      </c>
      <c r="AS90" s="379" t="s">
        <v>246</v>
      </c>
      <c r="AT90" s="382">
        <v>1.57</v>
      </c>
      <c r="AU90" s="383">
        <v>45716</v>
      </c>
      <c r="AV90" s="382">
        <v>380.539602</v>
      </c>
      <c r="AW90" s="33"/>
      <c r="AX90" s="394">
        <v>0.010409</v>
      </c>
      <c r="AY90" s="394">
        <v>0.021017</v>
      </c>
      <c r="AZ90" s="394">
        <v>0.038479</v>
      </c>
      <c r="BA90" s="394">
        <v>0.081446</v>
      </c>
      <c r="BB90" s="394">
        <v>0.066685</v>
      </c>
      <c r="BC90" s="394">
        <v>0.0662</v>
      </c>
      <c r="BD90" s="394">
        <v>0.067971</v>
      </c>
      <c r="BE90" s="34"/>
      <c r="BF90" s="394">
        <v>0.021017</v>
      </c>
      <c r="BG90" s="394">
        <v>0.080487315646675</v>
      </c>
      <c r="BH90" s="394">
        <v>0.0700806037087873</v>
      </c>
      <c r="BI90" s="394">
        <v>0.0402126972002703</v>
      </c>
      <c r="BJ90" s="394">
        <v>0.0598040986107565</v>
      </c>
      <c r="BK90" s="394">
        <v>0.0821058447771654</v>
      </c>
      <c r="BL90" s="394">
        <v>0.0435326793938754</v>
      </c>
      <c r="BM90" s="394">
        <v>0.0588879126770212</v>
      </c>
      <c r="BN90" s="394">
        <v>0.0643241486975885</v>
      </c>
      <c r="BO90" s="394">
        <v>0.0979066610983503</v>
      </c>
      <c r="BP90" s="394">
        <v>0.0870091548762957</v>
      </c>
      <c r="BQ90" s="394">
        <v>0.0573600000000001</v>
      </c>
      <c r="BR90" s="394" t="s">
        <v>113</v>
      </c>
      <c r="BS90" s="394" t="s">
        <v>113</v>
      </c>
      <c r="BT90" s="394" t="s">
        <v>113</v>
      </c>
      <c r="BU90" s="394" t="s">
        <v>113</v>
      </c>
    </row>
    <row r="91" spans="2:73">
      <c r="B91" s="339" t="s">
        <v>247</v>
      </c>
      <c r="C91" s="343">
        <v>1.87</v>
      </c>
      <c r="D91" s="344">
        <v>45838</v>
      </c>
      <c r="E91" s="345">
        <v>4502.483</v>
      </c>
      <c r="F91" s="10">
        <v>-0.018827</v>
      </c>
      <c r="G91" s="10">
        <v>0.063214</v>
      </c>
      <c r="H91" s="10">
        <v>0.074125</v>
      </c>
      <c r="I91" s="10">
        <v>-0.025721</v>
      </c>
      <c r="J91" s="10">
        <v>0.219105</v>
      </c>
      <c r="K91" s="10">
        <v>0.239011</v>
      </c>
      <c r="L91" s="23">
        <v>0.150219</v>
      </c>
      <c r="M91" s="20"/>
      <c r="N91" s="24">
        <v>0.020387</v>
      </c>
      <c r="O91" s="25">
        <v>0.221017612197304</v>
      </c>
      <c r="P91" s="25">
        <v>0.350137685084868</v>
      </c>
      <c r="Q91" s="25">
        <v>0.0736719658782474</v>
      </c>
      <c r="R91" s="25">
        <v>0.301703470031546</v>
      </c>
      <c r="S91" s="25">
        <v>0.151722133410841</v>
      </c>
      <c r="T91" s="25">
        <v>0.100211855937962</v>
      </c>
      <c r="U91" s="25">
        <v>0.0255811093346451</v>
      </c>
      <c r="V91" s="25">
        <v>0.353925568229123</v>
      </c>
      <c r="W91" s="25">
        <v>0.070562719115812</v>
      </c>
      <c r="X91" s="25">
        <v>-0.0335659115054411</v>
      </c>
      <c r="Y91" s="25">
        <v>0.39308</v>
      </c>
      <c r="Z91" s="25">
        <v>0.0744369950146123</v>
      </c>
      <c r="AA91" s="25">
        <v>0.332035722463934</v>
      </c>
      <c r="AB91" s="25">
        <v>-0.238136775994417</v>
      </c>
      <c r="AC91" s="25">
        <v>0.156169633402249</v>
      </c>
      <c r="AD91" s="25">
        <v>0.803802073858468</v>
      </c>
      <c r="AE91" s="25">
        <v>-0.507348987273705</v>
      </c>
      <c r="AF91" s="25">
        <v>0.517888722622772</v>
      </c>
      <c r="AG91" s="25">
        <v>0.260459533607682</v>
      </c>
      <c r="AH91" s="25">
        <v>0.1664</v>
      </c>
      <c r="AI91" s="25" t="s">
        <v>113</v>
      </c>
      <c r="AJ91" s="25" t="s">
        <v>113</v>
      </c>
      <c r="AK91" s="25" t="s">
        <v>113</v>
      </c>
      <c r="AL91" s="25" t="s">
        <v>113</v>
      </c>
      <c r="AM91" s="365" t="s">
        <v>113</v>
      </c>
      <c r="AS91" s="379" t="s">
        <v>248</v>
      </c>
      <c r="AT91" s="382">
        <v>1.68</v>
      </c>
      <c r="AU91" s="383">
        <v>45716</v>
      </c>
      <c r="AV91" s="382">
        <v>289.4598</v>
      </c>
      <c r="AW91" s="33"/>
      <c r="AX91" s="394">
        <v>0.010393</v>
      </c>
      <c r="AY91" s="394">
        <v>0.019447</v>
      </c>
      <c r="AZ91" s="394">
        <v>0.034558</v>
      </c>
      <c r="BA91" s="394">
        <v>0.074206</v>
      </c>
      <c r="BB91" s="394">
        <v>0.058184</v>
      </c>
      <c r="BC91" s="394">
        <v>0.054745</v>
      </c>
      <c r="BD91" s="394" t="s">
        <v>113</v>
      </c>
      <c r="BE91" s="34"/>
      <c r="BF91" s="394">
        <v>0.019447</v>
      </c>
      <c r="BG91" s="394">
        <v>0.0736897894286239</v>
      </c>
      <c r="BH91" s="394">
        <v>0.0578100741762981</v>
      </c>
      <c r="BI91" s="394">
        <v>0.0305319763566064</v>
      </c>
      <c r="BJ91" s="394">
        <v>0.0396913409111912</v>
      </c>
      <c r="BK91" s="394">
        <v>0.0744001323845772</v>
      </c>
      <c r="BL91" s="394">
        <v>0.0914739323224752</v>
      </c>
      <c r="BM91" s="394">
        <v>0.0499511677081061</v>
      </c>
      <c r="BN91" s="394">
        <v>0.05463</v>
      </c>
      <c r="BO91" s="394" t="s">
        <v>113</v>
      </c>
      <c r="BP91" s="394" t="s">
        <v>113</v>
      </c>
      <c r="BQ91" s="394" t="s">
        <v>113</v>
      </c>
      <c r="BR91" s="394" t="s">
        <v>113</v>
      </c>
      <c r="BS91" s="394" t="s">
        <v>113</v>
      </c>
      <c r="BT91" s="394" t="s">
        <v>113</v>
      </c>
      <c r="BU91" s="394" t="s">
        <v>113</v>
      </c>
    </row>
    <row r="92" spans="2:73">
      <c r="B92" s="339" t="s">
        <v>249</v>
      </c>
      <c r="C92" s="343">
        <v>1.82</v>
      </c>
      <c r="D92" s="344">
        <v>45838</v>
      </c>
      <c r="E92" s="345">
        <v>8954.7991</v>
      </c>
      <c r="F92" s="10">
        <v>-0.02258</v>
      </c>
      <c r="G92" s="10">
        <v>0.041111</v>
      </c>
      <c r="H92" s="10">
        <v>0.059082</v>
      </c>
      <c r="I92" s="10">
        <v>-0.010922</v>
      </c>
      <c r="J92" s="10">
        <v>0.229195</v>
      </c>
      <c r="K92" s="10">
        <v>0.267763</v>
      </c>
      <c r="L92" s="23">
        <v>0.14678</v>
      </c>
      <c r="M92" s="20"/>
      <c r="N92" s="24">
        <v>0.006485</v>
      </c>
      <c r="O92" s="25">
        <v>0.223303463864945</v>
      </c>
      <c r="P92" s="25">
        <v>0.42379002300841</v>
      </c>
      <c r="Q92" s="25">
        <v>0.04776017054743</v>
      </c>
      <c r="R92" s="25">
        <v>0.394048439899512</v>
      </c>
      <c r="S92" s="25">
        <v>0.163026088483006</v>
      </c>
      <c r="T92" s="25">
        <v>0.0569267163404978</v>
      </c>
      <c r="U92" s="25">
        <v>-0.0843945499261922</v>
      </c>
      <c r="V92" s="25">
        <v>0.457074438560435</v>
      </c>
      <c r="W92" s="25">
        <v>-0.0162539684882205</v>
      </c>
      <c r="X92" s="25">
        <v>0.0612078298098928</v>
      </c>
      <c r="Y92" s="25">
        <v>0.561482074733444</v>
      </c>
      <c r="Z92" s="25">
        <v>-0.0373483056134279</v>
      </c>
      <c r="AA92" s="25">
        <v>0.460062127012361</v>
      </c>
      <c r="AB92" s="25">
        <v>-0.299830334097432</v>
      </c>
      <c r="AC92" s="25">
        <v>0.196113919723656</v>
      </c>
      <c r="AD92" s="25">
        <v>1.02879877358835</v>
      </c>
      <c r="AE92" s="25">
        <v>-0.546115716718687</v>
      </c>
      <c r="AF92" s="25">
        <v>0.929841612901163</v>
      </c>
      <c r="AG92" s="25">
        <v>0.559492231906025</v>
      </c>
      <c r="AH92" s="25">
        <v>0.00282</v>
      </c>
      <c r="AI92" s="25" t="s">
        <v>113</v>
      </c>
      <c r="AJ92" s="25" t="s">
        <v>113</v>
      </c>
      <c r="AK92" s="25" t="s">
        <v>113</v>
      </c>
      <c r="AL92" s="25" t="s">
        <v>113</v>
      </c>
      <c r="AM92" s="365" t="s">
        <v>113</v>
      </c>
      <c r="AS92" s="379" t="s">
        <v>250</v>
      </c>
      <c r="AT92" s="382">
        <v>1.38</v>
      </c>
      <c r="AU92" s="383">
        <v>45716</v>
      </c>
      <c r="AV92" s="382">
        <v>113.5433</v>
      </c>
      <c r="AW92" s="33"/>
      <c r="AX92" s="394">
        <v>0.009338</v>
      </c>
      <c r="AY92" s="394">
        <v>0.017971</v>
      </c>
      <c r="AZ92" s="394">
        <v>0.031285</v>
      </c>
      <c r="BA92" s="394">
        <v>0.052776</v>
      </c>
      <c r="BB92" s="394">
        <v>0.053276</v>
      </c>
      <c r="BC92" s="394">
        <v>0.096312</v>
      </c>
      <c r="BD92" s="394">
        <v>0.017767</v>
      </c>
      <c r="BE92" s="34"/>
      <c r="BF92" s="394">
        <v>0.017971</v>
      </c>
      <c r="BG92" s="394">
        <v>0.0600916606757728</v>
      </c>
      <c r="BH92" s="394">
        <v>0.0555571364882427</v>
      </c>
      <c r="BI92" s="394">
        <v>1.43134225092251</v>
      </c>
      <c r="BJ92" s="394">
        <v>0.0936514742603476</v>
      </c>
      <c r="BK92" s="394">
        <v>-0.444299610349564</v>
      </c>
      <c r="BL92" s="394">
        <v>-0.452263235474757</v>
      </c>
      <c r="BM92" s="394">
        <v>-0.00287068153807287</v>
      </c>
      <c r="BN92" s="394">
        <v>0.0932287787364739</v>
      </c>
      <c r="BO92" s="394">
        <v>0.112175280857044</v>
      </c>
      <c r="BP92" s="394">
        <v>0.07439</v>
      </c>
      <c r="BQ92" s="394" t="s">
        <v>113</v>
      </c>
      <c r="BR92" s="394" t="s">
        <v>113</v>
      </c>
      <c r="BS92" s="394" t="s">
        <v>113</v>
      </c>
      <c r="BT92" s="394" t="s">
        <v>113</v>
      </c>
      <c r="BU92" s="394" t="s">
        <v>113</v>
      </c>
    </row>
    <row r="93" spans="2:73">
      <c r="B93" s="339" t="s">
        <v>251</v>
      </c>
      <c r="C93" s="343">
        <v>2.01</v>
      </c>
      <c r="D93" s="344">
        <v>45838</v>
      </c>
      <c r="E93" s="345">
        <v>1829.7896</v>
      </c>
      <c r="F93" s="10">
        <v>-0.019806</v>
      </c>
      <c r="G93" s="10">
        <v>0.063272</v>
      </c>
      <c r="H93" s="10">
        <v>0.045217</v>
      </c>
      <c r="I93" s="10">
        <v>-0.124541</v>
      </c>
      <c r="J93" s="10">
        <v>0.250253</v>
      </c>
      <c r="K93" s="10" t="s">
        <v>113</v>
      </c>
      <c r="L93" s="23" t="s">
        <v>113</v>
      </c>
      <c r="M93" s="20"/>
      <c r="N93" s="24">
        <v>-0.018356</v>
      </c>
      <c r="O93" s="25">
        <v>0.240698752317482</v>
      </c>
      <c r="P93" s="25">
        <v>0.368546472257224</v>
      </c>
      <c r="Q93" s="25">
        <v>0.150525651393519</v>
      </c>
      <c r="R93" s="25">
        <v>0.0139799999999999</v>
      </c>
      <c r="S93" s="25" t="s">
        <v>113</v>
      </c>
      <c r="T93" s="25" t="s">
        <v>113</v>
      </c>
      <c r="U93" s="25" t="s">
        <v>113</v>
      </c>
      <c r="V93" s="25" t="s">
        <v>113</v>
      </c>
      <c r="W93" s="25" t="s">
        <v>113</v>
      </c>
      <c r="X93" s="25" t="s">
        <v>113</v>
      </c>
      <c r="Y93" s="25" t="s">
        <v>113</v>
      </c>
      <c r="Z93" s="25" t="s">
        <v>113</v>
      </c>
      <c r="AA93" s="25" t="s">
        <v>113</v>
      </c>
      <c r="AB93" s="25" t="s">
        <v>113</v>
      </c>
      <c r="AC93" s="25" t="s">
        <v>113</v>
      </c>
      <c r="AD93" s="25" t="s">
        <v>113</v>
      </c>
      <c r="AE93" s="25" t="s">
        <v>113</v>
      </c>
      <c r="AF93" s="25" t="s">
        <v>113</v>
      </c>
      <c r="AG93" s="25" t="s">
        <v>113</v>
      </c>
      <c r="AH93" s="25" t="s">
        <v>113</v>
      </c>
      <c r="AI93" s="25" t="s">
        <v>113</v>
      </c>
      <c r="AJ93" s="25" t="s">
        <v>113</v>
      </c>
      <c r="AK93" s="25" t="s">
        <v>113</v>
      </c>
      <c r="AL93" s="25" t="s">
        <v>113</v>
      </c>
      <c r="AM93" s="365" t="s">
        <v>113</v>
      </c>
      <c r="AS93" s="379" t="s">
        <v>252</v>
      </c>
      <c r="AT93" s="382">
        <v>1.6</v>
      </c>
      <c r="AU93" s="383">
        <v>45716</v>
      </c>
      <c r="AV93" s="382">
        <v>175.9341</v>
      </c>
      <c r="AW93" s="33"/>
      <c r="AX93" s="394">
        <v>0.009167</v>
      </c>
      <c r="AY93" s="394">
        <v>0.021297</v>
      </c>
      <c r="AZ93" s="394">
        <v>0.037834</v>
      </c>
      <c r="BA93" s="394">
        <v>0.082403</v>
      </c>
      <c r="BB93" s="394">
        <v>0.069408</v>
      </c>
      <c r="BC93" s="394">
        <v>0.088459</v>
      </c>
      <c r="BD93" s="394">
        <v>0.077824</v>
      </c>
      <c r="BE93" s="34"/>
      <c r="BF93" s="394">
        <v>0.021297</v>
      </c>
      <c r="BG93" s="394">
        <v>0.0817363560375935</v>
      </c>
      <c r="BH93" s="394">
        <v>0.0735080894462408</v>
      </c>
      <c r="BI93" s="394">
        <v>0.0456909424829646</v>
      </c>
      <c r="BJ93" s="394">
        <v>0.192390607305126</v>
      </c>
      <c r="BK93" s="394">
        <v>0.0239820047642667</v>
      </c>
      <c r="BL93" s="394">
        <v>0.0208522018185059</v>
      </c>
      <c r="BM93" s="394">
        <v>0.0593652496468153</v>
      </c>
      <c r="BN93" s="394">
        <v>0.0843088265410609</v>
      </c>
      <c r="BO93" s="394">
        <v>0.112990280994147</v>
      </c>
      <c r="BP93" s="394">
        <v>0.09682</v>
      </c>
      <c r="BQ93" s="394" t="s">
        <v>113</v>
      </c>
      <c r="BR93" s="394" t="s">
        <v>113</v>
      </c>
      <c r="BS93" s="394" t="s">
        <v>113</v>
      </c>
      <c r="BT93" s="394" t="s">
        <v>113</v>
      </c>
      <c r="BU93" s="394" t="s">
        <v>113</v>
      </c>
    </row>
    <row r="94" spans="2:73">
      <c r="B94" s="339" t="s">
        <v>54</v>
      </c>
      <c r="C94" s="343">
        <v>1.49</v>
      </c>
      <c r="D94" s="344">
        <v>45838</v>
      </c>
      <c r="E94" s="345">
        <v>47389.6202</v>
      </c>
      <c r="F94" s="10">
        <v>-0.024044</v>
      </c>
      <c r="G94" s="10">
        <v>0.027091</v>
      </c>
      <c r="H94" s="10">
        <v>0.041015</v>
      </c>
      <c r="I94" s="10">
        <v>-0.040405</v>
      </c>
      <c r="J94" s="10">
        <v>0.217907</v>
      </c>
      <c r="K94" s="10">
        <v>0.30947</v>
      </c>
      <c r="L94" s="23">
        <v>0.154169</v>
      </c>
      <c r="M94" s="20"/>
      <c r="N94" s="24">
        <v>0.008711</v>
      </c>
      <c r="O94" s="25">
        <v>0.187993035281564</v>
      </c>
      <c r="P94" s="25">
        <v>0.382195158391559</v>
      </c>
      <c r="Q94" s="25">
        <v>0.127585999667005</v>
      </c>
      <c r="R94" s="25">
        <v>0.499210539919798</v>
      </c>
      <c r="S94" s="25">
        <v>0.306015566979486</v>
      </c>
      <c r="T94" s="25">
        <v>-0.0102921748161506</v>
      </c>
      <c r="U94" s="25">
        <v>-0.143345915570353</v>
      </c>
      <c r="V94" s="25">
        <v>0.402289966917602</v>
      </c>
      <c r="W94" s="25">
        <v>0.0239807336885697</v>
      </c>
      <c r="X94" s="25">
        <v>-0.000977154755269862</v>
      </c>
      <c r="Y94" s="25">
        <v>0.476576735743034</v>
      </c>
      <c r="Z94" s="25">
        <v>-0.0174744724302226</v>
      </c>
      <c r="AA94" s="25">
        <v>0.341858871888563</v>
      </c>
      <c r="AB94" s="25">
        <v>-0.282366437233698</v>
      </c>
      <c r="AC94" s="25">
        <v>0.0959051724137964</v>
      </c>
      <c r="AD94" s="25">
        <v>0.905544147843941</v>
      </c>
      <c r="AE94" s="25">
        <v>-0.531430404105195</v>
      </c>
      <c r="AF94" s="25">
        <v>0.662933333333329</v>
      </c>
      <c r="AG94" s="25">
        <v>0.50481540930979</v>
      </c>
      <c r="AH94" s="25">
        <v>0.709190672153636</v>
      </c>
      <c r="AI94" s="25">
        <v>0.644869060721046</v>
      </c>
      <c r="AJ94" s="25">
        <v>1.14431424782622</v>
      </c>
      <c r="AK94" s="25">
        <v>0.32741116751269</v>
      </c>
      <c r="AL94" s="25">
        <v>-0.0548045436553155</v>
      </c>
      <c r="AM94" s="365">
        <v>-0.350774454299798</v>
      </c>
      <c r="AN94" s="67">
        <v>1.15</v>
      </c>
      <c r="AO94" s="67">
        <v>0.86</v>
      </c>
      <c r="AP94" s="67">
        <v>18.56</v>
      </c>
      <c r="AQ94" s="67">
        <v>2.59</v>
      </c>
      <c r="AS94" s="379" t="s">
        <v>253</v>
      </c>
      <c r="AT94" s="382">
        <v>1.16</v>
      </c>
      <c r="AU94" s="383">
        <v>45716</v>
      </c>
      <c r="AV94" s="382">
        <v>191.6104</v>
      </c>
      <c r="AW94" s="33"/>
      <c r="AX94" s="394">
        <v>0.086455</v>
      </c>
      <c r="AY94" s="394">
        <v>0.14982</v>
      </c>
      <c r="AZ94" s="394">
        <v>0.169395</v>
      </c>
      <c r="BA94" s="394">
        <v>0.215552</v>
      </c>
      <c r="BB94" s="394">
        <v>0.134665</v>
      </c>
      <c r="BC94" s="394">
        <v>0.105583</v>
      </c>
      <c r="BD94" s="394">
        <v>0.079789</v>
      </c>
      <c r="BE94" s="34"/>
      <c r="BF94" s="394">
        <v>0.14982</v>
      </c>
      <c r="BG94" s="394">
        <v>0.0779796371666645</v>
      </c>
      <c r="BH94" s="394">
        <v>0.155929617514886</v>
      </c>
      <c r="BI94" s="394">
        <v>0.0925358420323834</v>
      </c>
      <c r="BJ94" s="394">
        <v>0.0286855167996584</v>
      </c>
      <c r="BK94" s="394">
        <v>0.0483487967881711</v>
      </c>
      <c r="BL94" s="394">
        <v>0.0439495445501178</v>
      </c>
      <c r="BM94" s="394">
        <v>-0.0262817368058074</v>
      </c>
      <c r="BN94" s="394">
        <v>0.0642891194297519</v>
      </c>
      <c r="BO94" s="394">
        <v>0.105998535411654</v>
      </c>
      <c r="BP94" s="394">
        <v>0.0964167737199487</v>
      </c>
      <c r="BQ94" s="394">
        <v>0.107638518337831</v>
      </c>
      <c r="BR94" s="394">
        <v>0.0813518340431378</v>
      </c>
      <c r="BS94" s="394">
        <v>0.0883737342926694</v>
      </c>
      <c r="BT94" s="394">
        <v>0.0848483668781873</v>
      </c>
      <c r="BU94" s="394">
        <v>0.0524870933377039</v>
      </c>
    </row>
    <row r="95" spans="2:73">
      <c r="B95" s="339" t="s">
        <v>254</v>
      </c>
      <c r="C95" s="343">
        <v>1.77</v>
      </c>
      <c r="D95" s="344">
        <v>45838</v>
      </c>
      <c r="E95" s="345">
        <v>8839.9966747011</v>
      </c>
      <c r="F95" s="10">
        <v>-0.025851</v>
      </c>
      <c r="G95" s="10">
        <v>0.045127</v>
      </c>
      <c r="H95" s="10">
        <v>0.050863</v>
      </c>
      <c r="I95" s="10">
        <v>-0.06581</v>
      </c>
      <c r="J95" s="10">
        <v>0.208595</v>
      </c>
      <c r="K95" s="10">
        <v>0.217145</v>
      </c>
      <c r="L95" s="23">
        <v>0.141669</v>
      </c>
      <c r="M95" s="20"/>
      <c r="N95" s="24">
        <v>-0.019328</v>
      </c>
      <c r="O95" s="25">
        <v>0.216966945095314</v>
      </c>
      <c r="P95" s="25">
        <v>0.369906958468879</v>
      </c>
      <c r="Q95" s="25">
        <v>0.059430539958695</v>
      </c>
      <c r="R95" s="25">
        <v>0.279962709693547</v>
      </c>
      <c r="S95" s="25">
        <v>0.125038597081263</v>
      </c>
      <c r="T95" s="25">
        <v>0.0530036414482447</v>
      </c>
      <c r="U95" s="25">
        <v>-0.0706447144143053</v>
      </c>
      <c r="V95" s="25">
        <v>0.393804246703056</v>
      </c>
      <c r="W95" s="25">
        <v>0.161844538635606</v>
      </c>
      <c r="X95" s="25">
        <v>0.00308217007817764</v>
      </c>
      <c r="Y95" s="25">
        <v>0.695422002129301</v>
      </c>
      <c r="Z95" s="25">
        <v>0.0175298060371388</v>
      </c>
      <c r="AA95" s="25">
        <v>0.295274728952809</v>
      </c>
      <c r="AB95" s="25">
        <v>-0.237583278697535</v>
      </c>
      <c r="AC95" s="25">
        <v>0.168343535207359</v>
      </c>
      <c r="AD95" s="25">
        <v>1.03594875003502</v>
      </c>
      <c r="AE95" s="25">
        <v>-0.53843435007403</v>
      </c>
      <c r="AF95" s="25">
        <v>0.836012836289822</v>
      </c>
      <c r="AG95" s="25">
        <v>0.290288159130825</v>
      </c>
      <c r="AH95" s="25">
        <v>0.399728435646395</v>
      </c>
      <c r="AI95" s="25">
        <v>0.3993</v>
      </c>
      <c r="AJ95" s="25" t="s">
        <v>113</v>
      </c>
      <c r="AK95" s="25" t="s">
        <v>113</v>
      </c>
      <c r="AL95" s="25" t="s">
        <v>113</v>
      </c>
      <c r="AM95" s="365" t="s">
        <v>113</v>
      </c>
      <c r="AS95" s="379" t="s">
        <v>255</v>
      </c>
      <c r="AT95" s="382">
        <v>1.59</v>
      </c>
      <c r="AU95" s="383">
        <v>45716</v>
      </c>
      <c r="AV95" s="382">
        <v>7252.4194</v>
      </c>
      <c r="AW95" s="33"/>
      <c r="AX95" s="394">
        <v>0.008665</v>
      </c>
      <c r="AY95" s="394">
        <v>0.020088</v>
      </c>
      <c r="AZ95" s="394">
        <v>0.03444</v>
      </c>
      <c r="BA95" s="394">
        <v>0.078153</v>
      </c>
      <c r="BB95" s="394">
        <v>0.064542</v>
      </c>
      <c r="BC95" s="394">
        <v>0.071275</v>
      </c>
      <c r="BD95" s="394">
        <v>0.076352</v>
      </c>
      <c r="BE95" s="34"/>
      <c r="BF95" s="394">
        <v>0.020088</v>
      </c>
      <c r="BG95" s="394">
        <v>0.0819383301306597</v>
      </c>
      <c r="BH95" s="394">
        <v>0.0662088104755895</v>
      </c>
      <c r="BI95" s="394">
        <v>0.0371151588200454</v>
      </c>
      <c r="BJ95" s="394">
        <v>0.0697545170092982</v>
      </c>
      <c r="BK95" s="394">
        <v>0.109137869392083</v>
      </c>
      <c r="BL95" s="394">
        <v>0.0864754812006911</v>
      </c>
      <c r="BM95" s="394">
        <v>0.0535919672027039</v>
      </c>
      <c r="BN95" s="394">
        <v>0.0656926073257485</v>
      </c>
      <c r="BO95" s="394">
        <v>0.109578639966625</v>
      </c>
      <c r="BP95" s="394">
        <v>0.0900904997953521</v>
      </c>
      <c r="BQ95" s="394">
        <v>0.09945</v>
      </c>
      <c r="BR95" s="394" t="s">
        <v>113</v>
      </c>
      <c r="BS95" s="394" t="s">
        <v>113</v>
      </c>
      <c r="BT95" s="394" t="s">
        <v>113</v>
      </c>
      <c r="BU95" s="394" t="s">
        <v>113</v>
      </c>
    </row>
    <row r="96" spans="2:73">
      <c r="B96" s="339" t="s">
        <v>256</v>
      </c>
      <c r="C96" s="343">
        <v>2.04</v>
      </c>
      <c r="D96" s="344">
        <v>45838</v>
      </c>
      <c r="E96" s="345">
        <v>2298.636972153</v>
      </c>
      <c r="F96" s="10">
        <v>-0.027209</v>
      </c>
      <c r="G96" s="10">
        <v>0.021432</v>
      </c>
      <c r="H96" s="10">
        <v>0.047538</v>
      </c>
      <c r="I96" s="10">
        <v>-0.065496</v>
      </c>
      <c r="J96" s="10">
        <v>0.199174</v>
      </c>
      <c r="K96" s="10">
        <v>0.282066</v>
      </c>
      <c r="L96" s="23">
        <v>0.137029</v>
      </c>
      <c r="M96" s="20"/>
      <c r="N96" s="24">
        <v>0.018433</v>
      </c>
      <c r="O96" s="25">
        <v>0.151887921998345</v>
      </c>
      <c r="P96" s="25">
        <v>0.337247702031147</v>
      </c>
      <c r="Q96" s="25">
        <v>0.154628783467512</v>
      </c>
      <c r="R96" s="25">
        <v>0.44544927746322</v>
      </c>
      <c r="S96" s="25">
        <v>0.11503003483447</v>
      </c>
      <c r="T96" s="25">
        <v>-0.00309284961450365</v>
      </c>
      <c r="U96" s="25">
        <v>-0.128229128740858</v>
      </c>
      <c r="V96" s="25">
        <v>0.376457334072564</v>
      </c>
      <c r="W96" s="25">
        <v>0.0946108288793875</v>
      </c>
      <c r="X96" s="25">
        <v>0.000527786871342109</v>
      </c>
      <c r="Y96" s="25">
        <v>0.491520425429055</v>
      </c>
      <c r="Z96" s="25">
        <v>-0.00604573422955535</v>
      </c>
      <c r="AA96" s="25">
        <v>0.359023448383951</v>
      </c>
      <c r="AB96" s="25">
        <v>-0.295716196586602</v>
      </c>
      <c r="AC96" s="25">
        <v>0.219584361678259</v>
      </c>
      <c r="AD96" s="25">
        <v>1.04699547038528</v>
      </c>
      <c r="AE96" s="25">
        <v>-0.510042717412502</v>
      </c>
      <c r="AF96" s="25">
        <v>0.631050619360758</v>
      </c>
      <c r="AG96" s="25">
        <v>0.305189620758483</v>
      </c>
      <c r="AH96" s="25">
        <v>0.349313223808241</v>
      </c>
      <c r="AI96" s="25">
        <v>0.197741935483871</v>
      </c>
      <c r="AJ96" s="25">
        <v>0.505585235551238</v>
      </c>
      <c r="AK96" s="25" t="s">
        <v>113</v>
      </c>
      <c r="AL96" s="25" t="s">
        <v>113</v>
      </c>
      <c r="AM96" s="365" t="s">
        <v>113</v>
      </c>
      <c r="AS96" s="379" t="s">
        <v>257</v>
      </c>
      <c r="AT96" s="382">
        <v>1.68</v>
      </c>
      <c r="AU96" s="383">
        <v>45716</v>
      </c>
      <c r="AV96" s="382">
        <v>581.6123</v>
      </c>
      <c r="AW96" s="33"/>
      <c r="AX96" s="394">
        <v>0.021703</v>
      </c>
      <c r="AY96" s="394">
        <v>0.032296</v>
      </c>
      <c r="AZ96" s="394">
        <v>0.047483</v>
      </c>
      <c r="BA96" s="394">
        <v>0.087314</v>
      </c>
      <c r="BB96" s="394">
        <v>0.064656</v>
      </c>
      <c r="BC96" s="394">
        <v>0.056545</v>
      </c>
      <c r="BD96" s="394">
        <v>0.062281</v>
      </c>
      <c r="BE96" s="34"/>
      <c r="BF96" s="394">
        <v>0.032296</v>
      </c>
      <c r="BG96" s="394">
        <v>0.0715425686826521</v>
      </c>
      <c r="BH96" s="394">
        <v>0.0646280158087081</v>
      </c>
      <c r="BI96" s="394">
        <v>0.031927237978226</v>
      </c>
      <c r="BJ96" s="394">
        <v>0.0566867869072681</v>
      </c>
      <c r="BK96" s="394">
        <v>0.0498435880568478</v>
      </c>
      <c r="BL96" s="394">
        <v>0.0226402675403997</v>
      </c>
      <c r="BM96" s="394">
        <v>0.0557718642058577</v>
      </c>
      <c r="BN96" s="394">
        <v>0.0720260299410053</v>
      </c>
      <c r="BO96" s="394">
        <v>0.100548589341693</v>
      </c>
      <c r="BP96" s="394">
        <v>0.0941086457536344</v>
      </c>
      <c r="BQ96" s="394">
        <v>0.114187868365742</v>
      </c>
      <c r="BR96" s="394">
        <v>0.0582087114760983</v>
      </c>
      <c r="BS96" s="394">
        <v>0.0948776458968377</v>
      </c>
      <c r="BT96" s="394">
        <v>0.0969700366136143</v>
      </c>
      <c r="BU96" s="394">
        <v>0.0583106805713439</v>
      </c>
    </row>
    <row r="97" ht="14.55" spans="2:73">
      <c r="B97" s="339" t="s">
        <v>258</v>
      </c>
      <c r="C97" s="346">
        <v>1.82</v>
      </c>
      <c r="D97" s="347">
        <v>45838</v>
      </c>
      <c r="E97" s="348">
        <v>10117.3196</v>
      </c>
      <c r="F97" s="10">
        <v>-0.020084</v>
      </c>
      <c r="G97" s="10">
        <v>0.04248</v>
      </c>
      <c r="H97" s="10">
        <v>0.054995</v>
      </c>
      <c r="I97" s="10">
        <v>-5e-6</v>
      </c>
      <c r="J97" s="10">
        <v>0.192292</v>
      </c>
      <c r="K97" s="10">
        <v>0.226054</v>
      </c>
      <c r="L97" s="23">
        <v>0.13074</v>
      </c>
      <c r="M97" s="20"/>
      <c r="N97" s="24">
        <v>0.024006</v>
      </c>
      <c r="O97" s="25">
        <v>0.234127545222139</v>
      </c>
      <c r="P97" s="25">
        <v>0.267191290716971</v>
      </c>
      <c r="Q97" s="25">
        <v>0.0427170420576434</v>
      </c>
      <c r="R97" s="25">
        <v>0.304181043019608</v>
      </c>
      <c r="S97" s="25">
        <v>0.190191432080692</v>
      </c>
      <c r="T97" s="25">
        <v>0.103965430458587</v>
      </c>
      <c r="U97" s="25">
        <v>-0.0244302476095036</v>
      </c>
      <c r="V97" s="25">
        <v>0.290917597747295</v>
      </c>
      <c r="W97" s="25">
        <v>0.0260336703316152</v>
      </c>
      <c r="X97" s="25">
        <v>-0.0594112971355564</v>
      </c>
      <c r="Y97" s="25">
        <v>0.412168138342418</v>
      </c>
      <c r="Z97" s="25">
        <v>0.0585225505443236</v>
      </c>
      <c r="AA97" s="25">
        <v>0.272763262074426</v>
      </c>
      <c r="AB97" s="25">
        <v>-0.121085594989561</v>
      </c>
      <c r="AC97" s="25">
        <v>0.194017449106772</v>
      </c>
      <c r="AD97" s="25">
        <v>0.976190476190476</v>
      </c>
      <c r="AE97" s="25">
        <v>-0.490376569037657</v>
      </c>
      <c r="AF97" s="25">
        <v>0.71326164874552</v>
      </c>
      <c r="AG97" s="25">
        <v>0.108903020667726</v>
      </c>
      <c r="AH97" s="25">
        <v>0.258</v>
      </c>
      <c r="AI97" s="25" t="s">
        <v>113</v>
      </c>
      <c r="AJ97" s="25" t="s">
        <v>113</v>
      </c>
      <c r="AK97" s="25" t="s">
        <v>113</v>
      </c>
      <c r="AL97" s="25" t="s">
        <v>113</v>
      </c>
      <c r="AM97" s="365" t="s">
        <v>113</v>
      </c>
      <c r="AS97" s="379" t="s">
        <v>259</v>
      </c>
      <c r="AT97" s="382">
        <v>1.41</v>
      </c>
      <c r="AU97" s="383">
        <v>45716</v>
      </c>
      <c r="AV97" s="382">
        <v>6187.431008843</v>
      </c>
      <c r="AW97" s="33"/>
      <c r="AX97" s="394">
        <v>0.008885</v>
      </c>
      <c r="AY97" s="394">
        <v>0.021544</v>
      </c>
      <c r="AZ97" s="394">
        <v>0.037276</v>
      </c>
      <c r="BA97" s="394">
        <v>0.08264</v>
      </c>
      <c r="BB97" s="394">
        <v>0.071351</v>
      </c>
      <c r="BC97" s="394">
        <v>0.073173</v>
      </c>
      <c r="BD97" s="394">
        <v>0.077521</v>
      </c>
      <c r="BE97" s="34"/>
      <c r="BF97" s="394">
        <v>0.021544</v>
      </c>
      <c r="BG97" s="394">
        <v>0.0846254316437352</v>
      </c>
      <c r="BH97" s="394">
        <v>0.0723646089555904</v>
      </c>
      <c r="BI97" s="394">
        <v>0.0505359568815734</v>
      </c>
      <c r="BJ97" s="394">
        <v>0.0623278959517274</v>
      </c>
      <c r="BK97" s="394">
        <v>0.0979006511977808</v>
      </c>
      <c r="BL97" s="394">
        <v>0.0947625788186849</v>
      </c>
      <c r="BM97" s="394">
        <v>0.066443067228044</v>
      </c>
      <c r="BN97" s="394">
        <v>0.0677377003059538</v>
      </c>
      <c r="BO97" s="394">
        <v>0.0954349919743178</v>
      </c>
      <c r="BP97" s="394">
        <v>0.0899916719737422</v>
      </c>
      <c r="BQ97" s="394">
        <v>0.10965201792329</v>
      </c>
      <c r="BR97" s="394">
        <v>0.0749908171102281</v>
      </c>
      <c r="BS97" s="394">
        <v>0.0943241095164575</v>
      </c>
      <c r="BT97" s="394">
        <v>0.088620813111624</v>
      </c>
      <c r="BU97" s="394">
        <v>0.00551999999999993</v>
      </c>
    </row>
    <row r="98" ht="15" customHeight="1" spans="2:73">
      <c r="B98" s="12" t="s">
        <v>234</v>
      </c>
      <c r="F98" s="13">
        <v>-0.028654</v>
      </c>
      <c r="G98" s="14">
        <v>0.038723</v>
      </c>
      <c r="H98" s="14">
        <v>0.05945</v>
      </c>
      <c r="I98" s="14">
        <v>-0.032041</v>
      </c>
      <c r="J98" s="14">
        <v>0.154431</v>
      </c>
      <c r="K98" s="14">
        <v>0.201781</v>
      </c>
      <c r="L98" s="28">
        <v>0.123351</v>
      </c>
      <c r="M98" s="20"/>
      <c r="N98" s="29">
        <v>0.022527</v>
      </c>
      <c r="O98" s="30">
        <v>0.145465796535709</v>
      </c>
      <c r="P98" s="30">
        <v>0.248498523517645</v>
      </c>
      <c r="Q98" s="30">
        <v>0.0333786905211876</v>
      </c>
      <c r="R98" s="30">
        <v>0.301140430926607</v>
      </c>
      <c r="S98" s="30">
        <v>0.168033833223551</v>
      </c>
      <c r="T98" s="30">
        <v>0.077511676096721</v>
      </c>
      <c r="U98" s="30">
        <v>-0.0308170579621176</v>
      </c>
      <c r="V98" s="30">
        <v>0.359381285994397</v>
      </c>
      <c r="W98" s="30">
        <v>0.037823178380737</v>
      </c>
      <c r="X98" s="30">
        <v>-0.00815175318655217</v>
      </c>
      <c r="Y98" s="30">
        <v>0.369590487893985</v>
      </c>
      <c r="Z98" s="30">
        <v>0.0325486673604544</v>
      </c>
      <c r="AA98" s="30">
        <v>0.311989935417777</v>
      </c>
      <c r="AB98" s="30">
        <v>-0.274131836715211</v>
      </c>
      <c r="AC98" s="30">
        <v>0.163514925645804</v>
      </c>
      <c r="AD98" s="30">
        <v>0.902289503315401</v>
      </c>
      <c r="AE98" s="30">
        <v>-0.581393156534298</v>
      </c>
      <c r="AF98" s="30">
        <v>0.63020702896736</v>
      </c>
      <c r="AG98" s="30">
        <v>0.388518319476496</v>
      </c>
      <c r="AH98" s="30">
        <v>0.365625168636339</v>
      </c>
      <c r="AI98" s="30">
        <v>0.17465220845518</v>
      </c>
      <c r="AJ98" s="30">
        <v>1.0109625827505</v>
      </c>
      <c r="AK98" s="30">
        <v>0.169921059434094</v>
      </c>
      <c r="AL98" s="30">
        <v>-0.229055845967532</v>
      </c>
      <c r="AM98" s="362">
        <v>-0.27172553923101</v>
      </c>
      <c r="AS98" s="379" t="s">
        <v>260</v>
      </c>
      <c r="AT98" s="382">
        <v>1.45</v>
      </c>
      <c r="AU98" s="383">
        <v>45716</v>
      </c>
      <c r="AV98" s="382">
        <v>140.3174</v>
      </c>
      <c r="AW98" s="33"/>
      <c r="AX98" s="394">
        <v>0.026429</v>
      </c>
      <c r="AY98" s="394">
        <v>0.041645</v>
      </c>
      <c r="AZ98" s="394">
        <v>0.055298</v>
      </c>
      <c r="BA98" s="394">
        <v>0.096236</v>
      </c>
      <c r="BB98" s="394">
        <v>0.082395</v>
      </c>
      <c r="BC98" s="394">
        <v>0.068712</v>
      </c>
      <c r="BD98" s="394">
        <v>0.059125</v>
      </c>
      <c r="BE98" s="34"/>
      <c r="BF98" s="394">
        <v>0.041645</v>
      </c>
      <c r="BG98" s="394">
        <v>0.0728560027892374</v>
      </c>
      <c r="BH98" s="394">
        <v>0.116225638663578</v>
      </c>
      <c r="BI98" s="394">
        <v>0.022324768739377</v>
      </c>
      <c r="BJ98" s="394">
        <v>0.0278887369596298</v>
      </c>
      <c r="BK98" s="394">
        <v>0.0797847888294456</v>
      </c>
      <c r="BL98" s="394">
        <v>-0.0452708723425172</v>
      </c>
      <c r="BM98" s="394">
        <v>0.0408897538571258</v>
      </c>
      <c r="BN98" s="394">
        <v>0.0708501888878608</v>
      </c>
      <c r="BO98" s="394">
        <v>0.109228650977281</v>
      </c>
      <c r="BP98" s="394">
        <v>0.0909017059301381</v>
      </c>
      <c r="BQ98" s="394">
        <v>0.0377329999999999</v>
      </c>
      <c r="BR98" s="394" t="s">
        <v>113</v>
      </c>
      <c r="BS98" s="394" t="s">
        <v>113</v>
      </c>
      <c r="BT98" s="394" t="s">
        <v>113</v>
      </c>
      <c r="BU98" s="394" t="s">
        <v>113</v>
      </c>
    </row>
    <row r="99" ht="14.55" spans="2:73">
      <c r="B99" s="12" t="s">
        <v>146</v>
      </c>
      <c r="F99" s="29">
        <f>AVERAGE(F86:F97)</f>
        <v>-0.02197875</v>
      </c>
      <c r="G99" s="30">
        <f t="shared" ref="G99:L99" si="9">AVERAGE(G86:G97)</f>
        <v>0.0482315</v>
      </c>
      <c r="H99" s="30">
        <f t="shared" si="9"/>
        <v>0.0606094166666667</v>
      </c>
      <c r="I99" s="30">
        <f t="shared" si="9"/>
        <v>-0.0300985833333333</v>
      </c>
      <c r="J99" s="30">
        <f t="shared" si="9"/>
        <v>0.21841125</v>
      </c>
      <c r="K99" s="30">
        <f t="shared" si="9"/>
        <v>0.253413</v>
      </c>
      <c r="L99" s="362">
        <f t="shared" si="9"/>
        <v>0.142730545454545</v>
      </c>
      <c r="M99" s="20"/>
      <c r="N99" s="13">
        <f t="shared" ref="N99:AM99" si="10">AVERAGE(N86:N97)</f>
        <v>0.0129129166666667</v>
      </c>
      <c r="O99" s="14">
        <f t="shared" si="10"/>
        <v>0.219014484160352</v>
      </c>
      <c r="P99" s="14">
        <f t="shared" si="10"/>
        <v>0.351732998731251</v>
      </c>
      <c r="Q99" s="14">
        <f t="shared" si="10"/>
        <v>0.0805884059351255</v>
      </c>
      <c r="R99" s="14">
        <f t="shared" si="10"/>
        <v>0.3352533432734</v>
      </c>
      <c r="S99" s="14">
        <f t="shared" si="10"/>
        <v>0.174827811846564</v>
      </c>
      <c r="T99" s="14">
        <f t="shared" si="10"/>
        <v>0.0277308171498897</v>
      </c>
      <c r="U99" s="14">
        <f t="shared" si="10"/>
        <v>-0.0821964453101355</v>
      </c>
      <c r="V99" s="14">
        <f t="shared" si="10"/>
        <v>0.396831348107495</v>
      </c>
      <c r="W99" s="14">
        <f t="shared" si="10"/>
        <v>0.0621456088870432</v>
      </c>
      <c r="X99" s="14">
        <f t="shared" si="10"/>
        <v>0.0256219270362463</v>
      </c>
      <c r="Y99" s="14">
        <f t="shared" si="10"/>
        <v>0.604324827819536</v>
      </c>
      <c r="Z99" s="14">
        <f t="shared" si="10"/>
        <v>0.0403359353738838</v>
      </c>
      <c r="AA99" s="14">
        <f t="shared" si="10"/>
        <v>0.349495373866046</v>
      </c>
      <c r="AB99" s="14">
        <f t="shared" si="10"/>
        <v>-0.243675290633107</v>
      </c>
      <c r="AC99" s="14">
        <f t="shared" si="10"/>
        <v>0.195892110183302</v>
      </c>
      <c r="AD99" s="14">
        <f t="shared" si="10"/>
        <v>1.00308340884457</v>
      </c>
      <c r="AE99" s="14">
        <f t="shared" si="10"/>
        <v>-0.494780317829973</v>
      </c>
      <c r="AF99" s="14">
        <f t="shared" si="10"/>
        <v>0.646439252930001</v>
      </c>
      <c r="AG99" s="14">
        <f t="shared" si="10"/>
        <v>0.316471989159181</v>
      </c>
      <c r="AH99" s="14">
        <f t="shared" si="10"/>
        <v>0.374771602240182</v>
      </c>
      <c r="AI99" s="14">
        <f t="shared" si="10"/>
        <v>0.401538780451909</v>
      </c>
      <c r="AJ99" s="14">
        <f t="shared" si="10"/>
        <v>0.956329002218309</v>
      </c>
      <c r="AK99" s="14">
        <f t="shared" si="10"/>
        <v>0.244874414925176</v>
      </c>
      <c r="AL99" s="14">
        <f t="shared" si="10"/>
        <v>-0.142722838022495</v>
      </c>
      <c r="AM99" s="28">
        <f t="shared" si="10"/>
        <v>-0.261249296115416</v>
      </c>
      <c r="AS99" s="379" t="s">
        <v>261</v>
      </c>
      <c r="AT99" s="382">
        <v>1.71</v>
      </c>
      <c r="AU99" s="383">
        <v>45716</v>
      </c>
      <c r="AV99" s="382">
        <v>728.0749</v>
      </c>
      <c r="AW99" s="33"/>
      <c r="AX99" s="394">
        <v>0.007209</v>
      </c>
      <c r="AY99" s="394">
        <v>0.021272</v>
      </c>
      <c r="AZ99" s="394">
        <v>0.032671</v>
      </c>
      <c r="BA99" s="394">
        <v>0.064304</v>
      </c>
      <c r="BB99" s="394">
        <v>0.050866</v>
      </c>
      <c r="BC99" s="394">
        <v>0.054635</v>
      </c>
      <c r="BD99" s="394">
        <v>0.067128</v>
      </c>
      <c r="BE99" s="34"/>
      <c r="BF99" s="394">
        <v>0.021272</v>
      </c>
      <c r="BG99" s="394">
        <v>0.0711882273409542</v>
      </c>
      <c r="BH99" s="394">
        <v>0.0642898081793091</v>
      </c>
      <c r="BI99" s="394">
        <v>0.00902752143062215</v>
      </c>
      <c r="BJ99" s="394">
        <v>0.0529702649592952</v>
      </c>
      <c r="BK99" s="394">
        <v>0.0661383822710089</v>
      </c>
      <c r="BL99" s="394">
        <v>0.0897354200013046</v>
      </c>
      <c r="BM99" s="394">
        <v>0.0620733390532323</v>
      </c>
      <c r="BN99" s="394">
        <v>0.0655941577984986</v>
      </c>
      <c r="BO99" s="394">
        <v>0.104332720853375</v>
      </c>
      <c r="BP99" s="394">
        <v>0.0909432981227081</v>
      </c>
      <c r="BQ99" s="394">
        <v>0.111307098108388</v>
      </c>
      <c r="BR99" s="394">
        <v>0.0734438377853405</v>
      </c>
      <c r="BS99" s="394">
        <v>0.097585882563712</v>
      </c>
      <c r="BT99" s="394">
        <v>0.0886546263067562</v>
      </c>
      <c r="BU99" s="394">
        <v>0.02544</v>
      </c>
    </row>
    <row r="100" ht="14.55" spans="6:73">
      <c r="F100" s="402"/>
      <c r="G100" s="402"/>
      <c r="H100" s="402"/>
      <c r="I100" s="402"/>
      <c r="J100" s="402"/>
      <c r="K100" s="402"/>
      <c r="L100" s="402"/>
      <c r="M100" s="20"/>
      <c r="O100" s="5"/>
      <c r="AS100" s="379" t="s">
        <v>262</v>
      </c>
      <c r="AT100" s="382">
        <v>1.55</v>
      </c>
      <c r="AU100" s="383">
        <v>45716</v>
      </c>
      <c r="AV100" s="382">
        <v>2259.2892</v>
      </c>
      <c r="AW100" s="33"/>
      <c r="AX100" s="394">
        <v>0.011704</v>
      </c>
      <c r="AY100" s="394">
        <v>0.02233</v>
      </c>
      <c r="AZ100" s="394">
        <v>0.041045</v>
      </c>
      <c r="BA100" s="394">
        <v>0.083844</v>
      </c>
      <c r="BB100" s="394">
        <v>0.072619</v>
      </c>
      <c r="BC100" s="394">
        <v>0.07073</v>
      </c>
      <c r="BD100" s="394">
        <v>0.074168</v>
      </c>
      <c r="BE100" s="34"/>
      <c r="BF100" s="394">
        <v>0.02233</v>
      </c>
      <c r="BG100" s="394">
        <v>0.080811481964729</v>
      </c>
      <c r="BH100" s="394">
        <v>0.0831692992571536</v>
      </c>
      <c r="BI100" s="394">
        <v>0.0424861543278733</v>
      </c>
      <c r="BJ100" s="394">
        <v>0.049519388761091</v>
      </c>
      <c r="BK100" s="394">
        <v>0.097766883654413</v>
      </c>
      <c r="BL100" s="394">
        <v>0.0650275979650574</v>
      </c>
      <c r="BM100" s="394">
        <v>0.0618595756306347</v>
      </c>
      <c r="BN100" s="394">
        <v>0.0689226863533003</v>
      </c>
      <c r="BO100" s="394">
        <v>0.104823687821834</v>
      </c>
      <c r="BP100" s="394">
        <v>0.0970800473837469</v>
      </c>
      <c r="BQ100" s="394">
        <v>0.10615916304711</v>
      </c>
      <c r="BR100" s="394">
        <v>0.100784994310803</v>
      </c>
      <c r="BS100" s="394">
        <v>0.0979771083881226</v>
      </c>
      <c r="BT100" s="394">
        <v>0.0944712235680841</v>
      </c>
      <c r="BU100" s="394">
        <v>0.0562148520412258</v>
      </c>
    </row>
    <row r="101" ht="15" customHeight="1" spans="2:73">
      <c r="B101" s="349" t="s">
        <v>263</v>
      </c>
      <c r="C101" s="350" t="s">
        <v>16</v>
      </c>
      <c r="D101" s="332" t="s">
        <v>99</v>
      </c>
      <c r="E101" s="333"/>
      <c r="F101" s="360" t="s">
        <v>10</v>
      </c>
      <c r="G101" s="361"/>
      <c r="H101" s="361"/>
      <c r="I101" s="361"/>
      <c r="J101" s="361"/>
      <c r="K101" s="361"/>
      <c r="L101" s="364"/>
      <c r="M101" s="20"/>
      <c r="N101" s="360" t="s">
        <v>100</v>
      </c>
      <c r="O101" s="361"/>
      <c r="P101" s="361"/>
      <c r="Q101" s="361"/>
      <c r="R101" s="361"/>
      <c r="S101" s="361"/>
      <c r="T101" s="361"/>
      <c r="U101" s="361"/>
      <c r="V101" s="361"/>
      <c r="W101" s="361"/>
      <c r="X101" s="361"/>
      <c r="Y101" s="361"/>
      <c r="Z101" s="361"/>
      <c r="AA101" s="361"/>
      <c r="AB101" s="361"/>
      <c r="AC101" s="361"/>
      <c r="AD101" s="361"/>
      <c r="AE101" s="361"/>
      <c r="AF101" s="361"/>
      <c r="AG101" s="361"/>
      <c r="AH101" s="361"/>
      <c r="AI101" s="361"/>
      <c r="AJ101" s="361"/>
      <c r="AK101" s="361"/>
      <c r="AL101" s="361"/>
      <c r="AM101" s="361"/>
      <c r="AN101" s="364"/>
      <c r="AS101" s="379" t="s">
        <v>264</v>
      </c>
      <c r="AT101" s="382">
        <v>1.68</v>
      </c>
      <c r="AU101" s="383">
        <v>45716</v>
      </c>
      <c r="AV101" s="382">
        <v>296.9326</v>
      </c>
      <c r="AW101" s="33"/>
      <c r="AX101" s="394">
        <v>0.008496</v>
      </c>
      <c r="AY101" s="394">
        <v>0.020222</v>
      </c>
      <c r="AZ101" s="394">
        <v>0.036368</v>
      </c>
      <c r="BA101" s="394">
        <v>0.079632</v>
      </c>
      <c r="BB101" s="394">
        <v>0.064455</v>
      </c>
      <c r="BC101" s="394">
        <v>0.072783</v>
      </c>
      <c r="BD101" s="394">
        <v>0.030044</v>
      </c>
      <c r="BE101" s="34"/>
      <c r="BF101" s="394">
        <v>0.020222</v>
      </c>
      <c r="BG101" s="394">
        <v>0.0789106512925815</v>
      </c>
      <c r="BH101" s="394">
        <v>0.06593707250342</v>
      </c>
      <c r="BI101" s="394">
        <v>0.0386170716601697</v>
      </c>
      <c r="BJ101" s="394">
        <v>0.214826289001992</v>
      </c>
      <c r="BK101" s="394">
        <v>-0.277847381138058</v>
      </c>
      <c r="BL101" s="394">
        <v>-0.0478908898369556</v>
      </c>
      <c r="BM101" s="394">
        <v>0.0547969828277965</v>
      </c>
      <c r="BN101" s="394">
        <v>0.0689948600407628</v>
      </c>
      <c r="BO101" s="394">
        <v>0.103027779880403</v>
      </c>
      <c r="BP101" s="394">
        <v>0.0886063432682087</v>
      </c>
      <c r="BQ101" s="394">
        <v>0.114594048493755</v>
      </c>
      <c r="BR101" s="394">
        <v>0.0770493911426339</v>
      </c>
      <c r="BS101" s="394">
        <v>0.01091</v>
      </c>
      <c r="BT101" s="394" t="s">
        <v>113</v>
      </c>
      <c r="BU101" s="394" t="s">
        <v>113</v>
      </c>
    </row>
    <row r="102" ht="15" customHeight="1" spans="2:73">
      <c r="B102" s="351"/>
      <c r="C102" s="352"/>
      <c r="D102" s="337" t="s">
        <v>104</v>
      </c>
      <c r="E102" s="338" t="s">
        <v>105</v>
      </c>
      <c r="F102" s="2" t="s">
        <v>17</v>
      </c>
      <c r="G102" s="3" t="s">
        <v>18</v>
      </c>
      <c r="H102" s="3" t="s">
        <v>19</v>
      </c>
      <c r="I102" s="3" t="s">
        <v>20</v>
      </c>
      <c r="J102" s="3" t="s">
        <v>22</v>
      </c>
      <c r="K102" s="3" t="s">
        <v>23</v>
      </c>
      <c r="L102" s="15" t="s">
        <v>24</v>
      </c>
      <c r="M102" s="20"/>
      <c r="N102" s="16" t="s">
        <v>25</v>
      </c>
      <c r="O102" s="17">
        <v>2024</v>
      </c>
      <c r="P102" s="17">
        <v>2023</v>
      </c>
      <c r="Q102" s="18">
        <v>2022</v>
      </c>
      <c r="R102" s="18">
        <v>2021</v>
      </c>
      <c r="S102" s="18">
        <v>2020</v>
      </c>
      <c r="T102" s="18">
        <v>2019</v>
      </c>
      <c r="U102" s="18">
        <v>2018</v>
      </c>
      <c r="V102" s="18">
        <v>2017</v>
      </c>
      <c r="W102" s="18">
        <v>2016</v>
      </c>
      <c r="X102" s="18">
        <v>2015</v>
      </c>
      <c r="Y102" s="18">
        <v>2014</v>
      </c>
      <c r="Z102" s="18">
        <v>2013</v>
      </c>
      <c r="AA102" s="18">
        <v>2012</v>
      </c>
      <c r="AB102" s="18">
        <v>2011</v>
      </c>
      <c r="AC102" s="18">
        <v>2010</v>
      </c>
      <c r="AD102" s="18">
        <v>2009</v>
      </c>
      <c r="AE102" s="18">
        <v>2008</v>
      </c>
      <c r="AF102" s="18">
        <v>2007</v>
      </c>
      <c r="AG102" s="18">
        <v>2006</v>
      </c>
      <c r="AH102" s="18">
        <v>2005</v>
      </c>
      <c r="AI102" s="18">
        <v>2004</v>
      </c>
      <c r="AJ102" s="18">
        <v>2003</v>
      </c>
      <c r="AK102" s="18">
        <v>2002</v>
      </c>
      <c r="AL102" s="18">
        <v>2001</v>
      </c>
      <c r="AM102" s="273">
        <v>2000</v>
      </c>
      <c r="AS102" s="4" t="s">
        <v>146</v>
      </c>
      <c r="AT102"/>
      <c r="AU102"/>
      <c r="AV102"/>
      <c r="AW102" s="395"/>
      <c r="AX102" s="396">
        <f t="shared" ref="AX102:BD102" si="11">AVERAGE(AX89:AX101)</f>
        <v>0.0176457692307692</v>
      </c>
      <c r="AY102" s="396">
        <f t="shared" si="11"/>
        <v>0.0359107692307692</v>
      </c>
      <c r="AZ102" s="396">
        <f t="shared" si="11"/>
        <v>0.0536363846153846</v>
      </c>
      <c r="BA102" s="396">
        <f t="shared" si="11"/>
        <v>0.095318</v>
      </c>
      <c r="BB102" s="396">
        <f t="shared" si="11"/>
        <v>0.0734765384615385</v>
      </c>
      <c r="BC102" s="396">
        <f t="shared" si="11"/>
        <v>0.0746335384615385</v>
      </c>
      <c r="BD102" s="396">
        <f t="shared" si="11"/>
        <v>0.0627245454545454</v>
      </c>
      <c r="BE102" s="395"/>
      <c r="BF102" s="396">
        <f t="shared" ref="BF102:BU102" si="12">AVERAGE(BF89:BF101)</f>
        <v>0.0359107692307692</v>
      </c>
      <c r="BG102" s="396">
        <f t="shared" si="12"/>
        <v>0.0796164576877806</v>
      </c>
      <c r="BH102" s="396">
        <f t="shared" si="12"/>
        <v>0.078046135490933</v>
      </c>
      <c r="BI102" s="396">
        <f t="shared" si="12"/>
        <v>0.149485657662128</v>
      </c>
      <c r="BJ102" s="396">
        <f t="shared" si="12"/>
        <v>0.0778316772173192</v>
      </c>
      <c r="BK102" s="396">
        <f t="shared" si="12"/>
        <v>0.00776153161103146</v>
      </c>
      <c r="BL102" s="396">
        <f t="shared" si="12"/>
        <v>0.00260623369675785</v>
      </c>
      <c r="BM102" s="396">
        <f t="shared" si="12"/>
        <v>0.0461909400885644</v>
      </c>
      <c r="BN102" s="396">
        <f t="shared" si="12"/>
        <v>0.0708842416315973</v>
      </c>
      <c r="BO102" s="396">
        <f t="shared" si="12"/>
        <v>0.104916552248381</v>
      </c>
      <c r="BP102" s="396">
        <f t="shared" si="12"/>
        <v>0.0880496447425356</v>
      </c>
      <c r="BQ102" s="396">
        <f t="shared" si="12"/>
        <v>0.0953424126973462</v>
      </c>
      <c r="BR102" s="396">
        <f t="shared" si="12"/>
        <v>0.0776382643113736</v>
      </c>
      <c r="BS102" s="396">
        <f t="shared" si="12"/>
        <v>0.0806747467762999</v>
      </c>
      <c r="BT102" s="396">
        <f t="shared" si="12"/>
        <v>0.0907130132956532</v>
      </c>
      <c r="BU102" s="396">
        <f t="shared" si="12"/>
        <v>0.0395945251900547</v>
      </c>
    </row>
    <row r="103" spans="2:73">
      <c r="B103" s="339" t="s">
        <v>265</v>
      </c>
      <c r="C103" s="340">
        <v>1.87</v>
      </c>
      <c r="D103" s="341">
        <v>45838</v>
      </c>
      <c r="E103" s="342">
        <v>6204.5691</v>
      </c>
      <c r="F103" s="10">
        <v>-0.018316</v>
      </c>
      <c r="G103" s="10">
        <v>0.076584</v>
      </c>
      <c r="H103" s="10">
        <v>0.090645</v>
      </c>
      <c r="I103" s="10">
        <v>-0.012841</v>
      </c>
      <c r="J103" s="10">
        <v>0.198428</v>
      </c>
      <c r="K103" s="10">
        <v>0.263315</v>
      </c>
      <c r="L103" s="23">
        <v>0.13102</v>
      </c>
      <c r="M103" s="20"/>
      <c r="N103" s="24">
        <v>0.017611</v>
      </c>
      <c r="O103" s="25">
        <v>0.219858156028369</v>
      </c>
      <c r="P103" s="25">
        <v>0.398728991829233</v>
      </c>
      <c r="Q103" s="25">
        <v>-0.05334758730558</v>
      </c>
      <c r="R103" s="25">
        <v>0.503830028685812</v>
      </c>
      <c r="S103" s="25">
        <v>0.155412296037296</v>
      </c>
      <c r="T103" s="25">
        <v>-0.0374421539755995</v>
      </c>
      <c r="U103" s="22">
        <v>-0.160416789309472</v>
      </c>
      <c r="V103" s="25">
        <v>0.448475804732466</v>
      </c>
      <c r="W103" s="25">
        <v>0.0566267231282098</v>
      </c>
      <c r="X103" s="25">
        <v>0.103664296723512</v>
      </c>
      <c r="Y103" s="25">
        <v>0.725845203363652</v>
      </c>
      <c r="Z103" s="25">
        <v>-0.0201782411299814</v>
      </c>
      <c r="AA103" s="25">
        <v>0.361492673992674</v>
      </c>
      <c r="AB103" s="25">
        <v>-0.264522646910254</v>
      </c>
      <c r="AC103" s="25">
        <v>0.132964517359786</v>
      </c>
      <c r="AD103" s="25">
        <v>1.1979035639413</v>
      </c>
      <c r="AE103" s="25">
        <v>-0.584132519616391</v>
      </c>
      <c r="AF103" s="25">
        <v>0.780779382083528</v>
      </c>
      <c r="AG103" s="25">
        <v>0.350880872483221</v>
      </c>
      <c r="AH103" s="25">
        <v>0.549561260968476</v>
      </c>
      <c r="AI103" s="25">
        <v>0.329732065687122</v>
      </c>
      <c r="AJ103" s="25">
        <v>1.13665743305633</v>
      </c>
      <c r="AK103" s="25">
        <v>0.083</v>
      </c>
      <c r="AL103" s="25" t="s">
        <v>113</v>
      </c>
      <c r="AM103" s="365" t="s">
        <v>113</v>
      </c>
      <c r="AS103" s="4" t="s">
        <v>162</v>
      </c>
      <c r="AT103"/>
      <c r="AU103"/>
      <c r="AV103"/>
      <c r="AW103"/>
      <c r="AX103" s="397">
        <v>0.0087263867959253</v>
      </c>
      <c r="AY103" s="397">
        <v>0.0207643930788102</v>
      </c>
      <c r="AZ103" s="397">
        <v>0.0377184412193585</v>
      </c>
      <c r="BA103" s="397">
        <v>0.080280059411505</v>
      </c>
      <c r="BB103" s="397">
        <v>0.0659301709109001</v>
      </c>
      <c r="BC103" s="397">
        <v>0.0655149768088614</v>
      </c>
      <c r="BD103" s="397">
        <v>0.0738047315298365</v>
      </c>
      <c r="BE103" s="400"/>
      <c r="BF103" s="397">
        <v>0.0207643930788102</v>
      </c>
      <c r="BG103" s="397">
        <v>0.0797029257152309</v>
      </c>
      <c r="BH103" s="397">
        <v>0.0725988870220093</v>
      </c>
      <c r="BI103" s="397">
        <v>0.0358682288812193</v>
      </c>
      <c r="BJ103" s="397">
        <v>0.0437965988907254</v>
      </c>
      <c r="BK103" s="397">
        <v>0.104161972570555</v>
      </c>
      <c r="BL103" s="397">
        <v>0.0953364838894115</v>
      </c>
      <c r="BM103" s="397">
        <v>0.0665068187794211</v>
      </c>
      <c r="BN103" s="397">
        <v>0.0602957159773323</v>
      </c>
      <c r="BO103" s="397">
        <v>0.0986738756953636</v>
      </c>
      <c r="BP103" s="397">
        <v>0.0865549936165921</v>
      </c>
      <c r="BQ103" s="397">
        <v>0.104681934209951</v>
      </c>
      <c r="BR103" s="397">
        <v>0.0827206164504672</v>
      </c>
      <c r="BS103" s="397">
        <v>0.0912371315059957</v>
      </c>
      <c r="BT103" s="397">
        <v>0.0786771029274067</v>
      </c>
      <c r="BU103" s="397">
        <v>0.0470040326565153</v>
      </c>
    </row>
    <row r="104" ht="14.55" spans="2:73">
      <c r="B104" s="339" t="s">
        <v>266</v>
      </c>
      <c r="C104" s="343">
        <v>1.56</v>
      </c>
      <c r="D104" s="344">
        <v>45838</v>
      </c>
      <c r="E104" s="345">
        <v>32068.524303</v>
      </c>
      <c r="F104" s="10">
        <v>-0.022849</v>
      </c>
      <c r="G104" s="10">
        <v>0.088088</v>
      </c>
      <c r="H104" s="10">
        <v>0.098035</v>
      </c>
      <c r="I104" s="10">
        <v>0.009658</v>
      </c>
      <c r="J104" s="10">
        <v>0.193335</v>
      </c>
      <c r="K104" s="10">
        <v>0.235846</v>
      </c>
      <c r="L104" s="23">
        <v>0.151516</v>
      </c>
      <c r="M104" s="20"/>
      <c r="N104" s="24">
        <v>0.008126</v>
      </c>
      <c r="O104" s="25">
        <v>0.300092872068725</v>
      </c>
      <c r="P104" s="25">
        <v>0.295922972769671</v>
      </c>
      <c r="Q104" s="25">
        <v>-0.0506998000571265</v>
      </c>
      <c r="R104" s="25">
        <v>0.399280575539568</v>
      </c>
      <c r="S104" s="25">
        <v>0.260135985897759</v>
      </c>
      <c r="T104" s="25">
        <v>0.113260442949257</v>
      </c>
      <c r="U104" s="25">
        <v>0.0351131746952989</v>
      </c>
      <c r="V104" s="25">
        <v>0.419859909353111</v>
      </c>
      <c r="W104" s="25">
        <v>-0.0311377245508982</v>
      </c>
      <c r="X104" s="25">
        <v>0.00845410628019327</v>
      </c>
      <c r="Y104" s="25">
        <v>0.76545842217484</v>
      </c>
      <c r="Z104" s="25">
        <v>0.0406804733727811</v>
      </c>
      <c r="AA104" s="25">
        <v>0.525959367945824</v>
      </c>
      <c r="AB104" s="25">
        <v>-0.114</v>
      </c>
      <c r="AC104" s="25" t="s">
        <v>113</v>
      </c>
      <c r="AD104" s="25" t="s">
        <v>113</v>
      </c>
      <c r="AE104" s="25" t="s">
        <v>113</v>
      </c>
      <c r="AF104" s="25" t="s">
        <v>113</v>
      </c>
      <c r="AG104" s="25" t="s">
        <v>113</v>
      </c>
      <c r="AH104" s="25" t="s">
        <v>113</v>
      </c>
      <c r="AI104" s="25" t="s">
        <v>113</v>
      </c>
      <c r="AJ104" s="25" t="s">
        <v>113</v>
      </c>
      <c r="AK104" s="25" t="s">
        <v>113</v>
      </c>
      <c r="AL104" s="25" t="s">
        <v>113</v>
      </c>
      <c r="AM104" s="365" t="s">
        <v>113</v>
      </c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</row>
    <row r="105" ht="14.55" spans="2:73">
      <c r="B105" s="339" t="s">
        <v>267</v>
      </c>
      <c r="C105" s="343">
        <v>1.67</v>
      </c>
      <c r="D105" s="344">
        <v>45838</v>
      </c>
      <c r="E105" s="345">
        <v>19559.228</v>
      </c>
      <c r="F105" s="10">
        <v>-0.011352</v>
      </c>
      <c r="G105" s="10">
        <v>0.097988</v>
      </c>
      <c r="H105" s="10">
        <v>0.09033</v>
      </c>
      <c r="I105" s="10">
        <v>-0.017592</v>
      </c>
      <c r="J105" s="10">
        <v>0.197189</v>
      </c>
      <c r="K105" s="10">
        <v>0.209807</v>
      </c>
      <c r="L105" s="23">
        <v>0.142482</v>
      </c>
      <c r="M105" s="20"/>
      <c r="N105" s="24">
        <v>0.003247</v>
      </c>
      <c r="O105" s="25">
        <v>0.22445298145983</v>
      </c>
      <c r="P105" s="25">
        <v>0.384421500502942</v>
      </c>
      <c r="Q105" s="25">
        <v>-0.0492882660071448</v>
      </c>
      <c r="R105" s="25">
        <v>0.28316337324927</v>
      </c>
      <c r="S105" s="25">
        <v>0.236423563879879</v>
      </c>
      <c r="T105" s="25">
        <v>0.0921245595657556</v>
      </c>
      <c r="U105" s="25">
        <v>-0.101541778606752</v>
      </c>
      <c r="V105" s="25">
        <v>0.3979618687654</v>
      </c>
      <c r="W105" s="25">
        <v>0.114479191660668</v>
      </c>
      <c r="X105" s="25">
        <v>0.0725744188041521</v>
      </c>
      <c r="Y105" s="25">
        <v>0.705320134588189</v>
      </c>
      <c r="Z105" s="25">
        <v>0.0165063943689899</v>
      </c>
      <c r="AA105" s="25">
        <v>0.450010781283691</v>
      </c>
      <c r="AB105" s="25">
        <v>-0.272142296625687</v>
      </c>
      <c r="AC105" s="25">
        <v>0.29619583644131</v>
      </c>
      <c r="AD105" s="25">
        <v>1.19058229352347</v>
      </c>
      <c r="AE105" s="25">
        <v>-0.584598296927064</v>
      </c>
      <c r="AF105" s="25">
        <v>0.544605413648494</v>
      </c>
      <c r="AG105" s="25">
        <v>0.0492000000000001</v>
      </c>
      <c r="AH105" s="25" t="s">
        <v>113</v>
      </c>
      <c r="AI105" s="25" t="s">
        <v>113</v>
      </c>
      <c r="AJ105" s="25" t="s">
        <v>113</v>
      </c>
      <c r="AK105" s="25" t="s">
        <v>113</v>
      </c>
      <c r="AL105" s="25" t="s">
        <v>113</v>
      </c>
      <c r="AM105" s="365" t="s">
        <v>113</v>
      </c>
      <c r="AS105" s="384" t="s">
        <v>268</v>
      </c>
      <c r="AT105" s="369" t="s">
        <v>16</v>
      </c>
      <c r="AU105" s="370" t="s">
        <v>99</v>
      </c>
      <c r="AV105" s="371"/>
      <c r="AW105" s="386"/>
      <c r="AX105" s="360" t="s">
        <v>102</v>
      </c>
      <c r="AY105" s="361"/>
      <c r="AZ105" s="361"/>
      <c r="BA105" s="361"/>
      <c r="BB105" s="361"/>
      <c r="BC105" s="361"/>
      <c r="BD105" s="364"/>
      <c r="BE105" s="386"/>
      <c r="BF105" s="398" t="s">
        <v>103</v>
      </c>
      <c r="BG105" s="399"/>
      <c r="BH105" s="399"/>
      <c r="BI105" s="399"/>
      <c r="BJ105" s="399"/>
      <c r="BK105" s="399"/>
      <c r="BL105" s="399"/>
      <c r="BM105" s="399"/>
      <c r="BN105" s="399"/>
      <c r="BO105" s="399"/>
      <c r="BP105" s="399"/>
      <c r="BQ105" s="399"/>
      <c r="BR105" s="399"/>
      <c r="BS105" s="399"/>
      <c r="BT105" s="399"/>
      <c r="BU105" s="401"/>
    </row>
    <row r="106" ht="14.55" spans="2:73">
      <c r="B106" s="339" t="s">
        <v>269</v>
      </c>
      <c r="C106" s="343">
        <v>1.69</v>
      </c>
      <c r="D106" s="344">
        <v>45838</v>
      </c>
      <c r="E106" s="345">
        <v>10988.162</v>
      </c>
      <c r="F106" s="10">
        <v>-0.04037</v>
      </c>
      <c r="G106" s="10">
        <v>0.070286</v>
      </c>
      <c r="H106" s="10">
        <v>0.079011</v>
      </c>
      <c r="I106" s="10">
        <v>0.033263</v>
      </c>
      <c r="J106" s="10">
        <v>0.256162</v>
      </c>
      <c r="K106" s="10">
        <v>0.311428</v>
      </c>
      <c r="L106" s="23">
        <v>0.171302</v>
      </c>
      <c r="M106" s="20"/>
      <c r="N106" s="24">
        <v>-0.012129</v>
      </c>
      <c r="O106" s="25">
        <v>0.388946330838055</v>
      </c>
      <c r="P106" s="25">
        <v>0.38421464419976</v>
      </c>
      <c r="Q106" s="25">
        <v>0.0236360439903893</v>
      </c>
      <c r="R106" s="25">
        <v>0.502627021632569</v>
      </c>
      <c r="S106" s="25">
        <v>0.264343501818452</v>
      </c>
      <c r="T106" s="25">
        <v>0.0515101849683915</v>
      </c>
      <c r="U106" s="25">
        <v>-0.156956278580123</v>
      </c>
      <c r="V106" s="25">
        <v>0.522514400200351</v>
      </c>
      <c r="W106" s="25">
        <v>0.0249499460957955</v>
      </c>
      <c r="X106" s="25">
        <v>0.0938342318059299</v>
      </c>
      <c r="Y106" s="25">
        <v>0.833607907742998</v>
      </c>
      <c r="Z106" s="25">
        <v>0.0680743429011327</v>
      </c>
      <c r="AA106" s="25">
        <v>0.446547884187083</v>
      </c>
      <c r="AB106" s="25">
        <v>-0.247816201986359</v>
      </c>
      <c r="AC106" s="25">
        <v>0.26124358587383</v>
      </c>
      <c r="AD106" s="25">
        <v>0.886674259681093</v>
      </c>
      <c r="AE106" s="25">
        <v>-0.65949195268567</v>
      </c>
      <c r="AF106" s="25">
        <v>0.0314</v>
      </c>
      <c r="AG106" s="25" t="s">
        <v>113</v>
      </c>
      <c r="AH106" s="25" t="s">
        <v>113</v>
      </c>
      <c r="AI106" s="25" t="s">
        <v>113</v>
      </c>
      <c r="AJ106" s="25" t="s">
        <v>113</v>
      </c>
      <c r="AK106" s="25" t="s">
        <v>113</v>
      </c>
      <c r="AL106" s="25" t="s">
        <v>113</v>
      </c>
      <c r="AM106" s="365" t="s">
        <v>113</v>
      </c>
      <c r="AS106" s="385"/>
      <c r="AT106" s="373" t="s">
        <v>110</v>
      </c>
      <c r="AU106" s="374" t="s">
        <v>104</v>
      </c>
      <c r="AV106" s="375" t="s">
        <v>105</v>
      </c>
      <c r="AW106" s="387"/>
      <c r="AX106" s="16" t="s">
        <v>89</v>
      </c>
      <c r="AY106" s="18" t="s">
        <v>90</v>
      </c>
      <c r="AZ106" s="18" t="s">
        <v>91</v>
      </c>
      <c r="BA106" s="18" t="s">
        <v>20</v>
      </c>
      <c r="BB106" s="18" t="s">
        <v>92</v>
      </c>
      <c r="BC106" s="18" t="s">
        <v>93</v>
      </c>
      <c r="BD106" s="273" t="s">
        <v>111</v>
      </c>
      <c r="BE106" s="387"/>
      <c r="BF106" s="16">
        <v>2025</v>
      </c>
      <c r="BG106" s="16">
        <v>2024</v>
      </c>
      <c r="BH106" s="16">
        <v>2023</v>
      </c>
      <c r="BI106" s="18">
        <v>2022</v>
      </c>
      <c r="BJ106" s="18">
        <v>2021</v>
      </c>
      <c r="BK106" s="18">
        <v>2020</v>
      </c>
      <c r="BL106" s="18">
        <v>2019</v>
      </c>
      <c r="BM106" s="18">
        <v>2018</v>
      </c>
      <c r="BN106" s="18">
        <v>2017</v>
      </c>
      <c r="BO106" s="18">
        <v>2016</v>
      </c>
      <c r="BP106" s="18">
        <v>2015</v>
      </c>
      <c r="BQ106" s="18">
        <v>2014</v>
      </c>
      <c r="BR106" s="18">
        <v>2013</v>
      </c>
      <c r="BS106" s="18">
        <v>2012</v>
      </c>
      <c r="BT106" s="18">
        <v>2011</v>
      </c>
      <c r="BU106" s="273">
        <v>2010</v>
      </c>
    </row>
    <row r="107" spans="2:73">
      <c r="B107" s="339" t="s">
        <v>270</v>
      </c>
      <c r="C107" s="343">
        <v>1.76</v>
      </c>
      <c r="D107" s="344">
        <v>45838</v>
      </c>
      <c r="E107" s="345">
        <v>12784.807552444</v>
      </c>
      <c r="F107" s="10">
        <v>-0.022641</v>
      </c>
      <c r="G107" s="10">
        <v>0.068047</v>
      </c>
      <c r="H107" s="10">
        <v>0.074587</v>
      </c>
      <c r="I107" s="10">
        <v>0.007311</v>
      </c>
      <c r="J107" s="10">
        <v>0.240182</v>
      </c>
      <c r="K107" s="10">
        <v>0.265035</v>
      </c>
      <c r="L107" s="23">
        <v>0.148034</v>
      </c>
      <c r="M107" s="20"/>
      <c r="N107" s="24">
        <v>-0.003739</v>
      </c>
      <c r="O107" s="25">
        <v>0.318250201782713</v>
      </c>
      <c r="P107" s="25">
        <v>0.367527515691457</v>
      </c>
      <c r="Q107" s="25">
        <v>0.0217143736647208</v>
      </c>
      <c r="R107" s="25">
        <v>0.326186648667517</v>
      </c>
      <c r="S107" s="25">
        <v>0.17778890235713</v>
      </c>
      <c r="T107" s="25">
        <v>0.0353360865042357</v>
      </c>
      <c r="U107" s="25">
        <v>-0.0939445448490855</v>
      </c>
      <c r="V107" s="25">
        <v>0.396987795980406</v>
      </c>
      <c r="W107" s="25">
        <v>0.0845480440986604</v>
      </c>
      <c r="X107" s="25">
        <v>0.0681057953611432</v>
      </c>
      <c r="Y107" s="25">
        <v>0.781443857708899</v>
      </c>
      <c r="Z107" s="25">
        <v>0.0740133191178837</v>
      </c>
      <c r="AA107" s="25">
        <v>0.444233158964554</v>
      </c>
      <c r="AB107" s="25">
        <v>-0.220580492546148</v>
      </c>
      <c r="AC107" s="25">
        <v>0.191109557039586</v>
      </c>
      <c r="AD107" s="25">
        <v>1.07460104133618</v>
      </c>
      <c r="AE107" s="25">
        <v>-0.624560273841894</v>
      </c>
      <c r="AF107" s="25">
        <v>0.476505877962306</v>
      </c>
      <c r="AG107" s="25">
        <v>0.231741653737861</v>
      </c>
      <c r="AH107" s="25">
        <v>0.583098335304284</v>
      </c>
      <c r="AI107" s="25">
        <v>0.364065020474004</v>
      </c>
      <c r="AJ107" s="25">
        <v>1.77132049518569</v>
      </c>
      <c r="AK107" s="25">
        <v>0.457644110275689</v>
      </c>
      <c r="AL107" s="25">
        <v>0.0157841140529531</v>
      </c>
      <c r="AM107" s="365">
        <v>-0.44877911872018</v>
      </c>
      <c r="AS107" s="379" t="s">
        <v>271</v>
      </c>
      <c r="AT107" s="382">
        <v>0.52</v>
      </c>
      <c r="AU107" s="383">
        <v>45716</v>
      </c>
      <c r="AV107" s="382">
        <v>714.741580435375</v>
      </c>
      <c r="AW107" s="33"/>
      <c r="AX107" s="394">
        <v>0.013018</v>
      </c>
      <c r="AY107" s="394">
        <v>0.025195</v>
      </c>
      <c r="AZ107" s="394">
        <v>0.037703</v>
      </c>
      <c r="BA107" s="394">
        <v>0.090404</v>
      </c>
      <c r="BB107" s="394">
        <v>0.069252</v>
      </c>
      <c r="BC107" s="394">
        <v>0.067707</v>
      </c>
      <c r="BD107" s="394">
        <v>0.067626</v>
      </c>
      <c r="BE107" s="34"/>
      <c r="BF107" s="394">
        <v>0.025195</v>
      </c>
      <c r="BG107" s="394">
        <v>0.0955497115365012</v>
      </c>
      <c r="BH107" s="394">
        <v>0.0677681093170947</v>
      </c>
      <c r="BI107" s="394">
        <v>0.0355478413759292</v>
      </c>
      <c r="BJ107" s="394">
        <v>0.0560987948221992</v>
      </c>
      <c r="BK107" s="394">
        <v>0.0816456592550629</v>
      </c>
      <c r="BL107" s="394">
        <v>0.0776263943615073</v>
      </c>
      <c r="BM107" s="394">
        <v>0.0516133268163149</v>
      </c>
      <c r="BN107" s="394">
        <v>0.0744648330028141</v>
      </c>
      <c r="BO107" s="394">
        <v>0.0783372355442105</v>
      </c>
      <c r="BP107" s="394">
        <v>0.0634038919599118</v>
      </c>
      <c r="BQ107" s="394">
        <v>0.153140547263682</v>
      </c>
      <c r="BR107" s="394">
        <v>-0.0352</v>
      </c>
      <c r="BS107" s="394" t="s">
        <v>113</v>
      </c>
      <c r="BT107" s="394" t="s">
        <v>113</v>
      </c>
      <c r="BU107" s="394" t="s">
        <v>113</v>
      </c>
    </row>
    <row r="108" spans="2:73">
      <c r="B108" s="339" t="s">
        <v>272</v>
      </c>
      <c r="C108" s="343">
        <v>1.38</v>
      </c>
      <c r="D108" s="344">
        <v>45838</v>
      </c>
      <c r="E108" s="345">
        <v>84061.4276</v>
      </c>
      <c r="F108" s="10">
        <v>-0.014066</v>
      </c>
      <c r="G108" s="10">
        <v>0.090842</v>
      </c>
      <c r="H108" s="10">
        <v>0.090106</v>
      </c>
      <c r="I108" s="10">
        <v>0.016559</v>
      </c>
      <c r="J108" s="10">
        <v>0.276427</v>
      </c>
      <c r="K108" s="10">
        <v>0.313366</v>
      </c>
      <c r="L108" s="23">
        <v>0.173633</v>
      </c>
      <c r="M108" s="20"/>
      <c r="N108" s="24">
        <v>0.01777</v>
      </c>
      <c r="O108" s="25">
        <v>0.286179213115197</v>
      </c>
      <c r="P108" s="25">
        <v>0.444681805766905</v>
      </c>
      <c r="Q108" s="25">
        <v>0.122860053231689</v>
      </c>
      <c r="R108" s="25">
        <v>0.399089738874586</v>
      </c>
      <c r="S108" s="25">
        <v>0.217485400847031</v>
      </c>
      <c r="T108" s="25">
        <v>0.00203776406805</v>
      </c>
      <c r="U108" s="25">
        <v>-0.112022311497726</v>
      </c>
      <c r="V108" s="25">
        <v>0.416564763427711</v>
      </c>
      <c r="W108" s="25">
        <v>0.113485205551191</v>
      </c>
      <c r="X108" s="25">
        <v>0.0580999085695285</v>
      </c>
      <c r="Y108" s="25">
        <v>0.766320837819321</v>
      </c>
      <c r="Z108" s="25">
        <v>0.0964210978161722</v>
      </c>
      <c r="AA108" s="25">
        <v>0.396239136949356</v>
      </c>
      <c r="AB108" s="25">
        <v>-0.183058938735541</v>
      </c>
      <c r="AC108" s="25">
        <v>0.321284166262332</v>
      </c>
      <c r="AD108" s="25">
        <v>0.944033956925012</v>
      </c>
      <c r="AE108" s="25">
        <v>-0.515130726427319</v>
      </c>
      <c r="AF108" s="25">
        <v>0.3119</v>
      </c>
      <c r="AG108" s="25" t="s">
        <v>113</v>
      </c>
      <c r="AH108" s="25" t="s">
        <v>113</v>
      </c>
      <c r="AI108" s="25" t="s">
        <v>113</v>
      </c>
      <c r="AJ108" s="25" t="s">
        <v>113</v>
      </c>
      <c r="AK108" s="25" t="s">
        <v>113</v>
      </c>
      <c r="AL108" s="25" t="s">
        <v>113</v>
      </c>
      <c r="AM108" s="365" t="s">
        <v>113</v>
      </c>
      <c r="AS108" s="379" t="s">
        <v>273</v>
      </c>
      <c r="AT108" s="382">
        <v>1.23</v>
      </c>
      <c r="AU108" s="383">
        <v>45716</v>
      </c>
      <c r="AV108" s="382">
        <v>1737.5376</v>
      </c>
      <c r="AW108" s="33"/>
      <c r="AX108" s="394">
        <v>0.021731</v>
      </c>
      <c r="AY108" s="394">
        <v>0.027734</v>
      </c>
      <c r="AZ108" s="394">
        <v>0.037409</v>
      </c>
      <c r="BA108" s="394">
        <v>0.091871</v>
      </c>
      <c r="BB108" s="394">
        <v>0.079865</v>
      </c>
      <c r="BC108" s="394">
        <v>0.073808</v>
      </c>
      <c r="BD108" s="394">
        <v>0.064053</v>
      </c>
      <c r="BE108" s="34"/>
      <c r="BF108" s="394">
        <v>0.027734</v>
      </c>
      <c r="BG108" s="394">
        <v>0.0881457248266555</v>
      </c>
      <c r="BH108" s="394">
        <v>0.0688326222651899</v>
      </c>
      <c r="BI108" s="394">
        <v>0.0595747760587453</v>
      </c>
      <c r="BJ108" s="394">
        <v>0.0494848191827804</v>
      </c>
      <c r="BK108" s="394">
        <v>0.0973382957783954</v>
      </c>
      <c r="BL108" s="394">
        <v>-0.00861266220248975</v>
      </c>
      <c r="BM108" s="394">
        <v>0.0566342498690343</v>
      </c>
      <c r="BN108" s="394">
        <v>0.0215816972387366</v>
      </c>
      <c r="BO108" s="394">
        <v>0.140410865117152</v>
      </c>
      <c r="BP108" s="394">
        <v>0.0743897876919326</v>
      </c>
      <c r="BQ108" s="394">
        <v>0.1484644274308</v>
      </c>
      <c r="BR108" s="394">
        <v>0.0679472506624598</v>
      </c>
      <c r="BS108" s="394">
        <v>0.105290149063226</v>
      </c>
      <c r="BT108" s="394">
        <v>0.0923916764704052</v>
      </c>
      <c r="BU108" s="394">
        <v>0.0555457000374509</v>
      </c>
    </row>
    <row r="109" spans="2:73">
      <c r="B109" s="339" t="s">
        <v>274</v>
      </c>
      <c r="C109" s="343">
        <v>1.71</v>
      </c>
      <c r="D109" s="344">
        <v>45838</v>
      </c>
      <c r="E109" s="345">
        <v>12146.017</v>
      </c>
      <c r="F109" s="10">
        <v>-0.025677</v>
      </c>
      <c r="G109" s="10">
        <v>0.103011</v>
      </c>
      <c r="H109" s="10">
        <v>0.095459</v>
      </c>
      <c r="I109" s="10">
        <v>-0.007012</v>
      </c>
      <c r="J109" s="10">
        <v>0.240341</v>
      </c>
      <c r="K109" s="10">
        <v>0.253485</v>
      </c>
      <c r="L109" s="23">
        <v>0.153364</v>
      </c>
      <c r="M109" s="20"/>
      <c r="N109" s="24">
        <v>-0.054533</v>
      </c>
      <c r="O109" s="25">
        <v>0.397293127509653</v>
      </c>
      <c r="P109" s="25">
        <v>0.400146633050073</v>
      </c>
      <c r="Q109" s="25">
        <v>0.0106508359583232</v>
      </c>
      <c r="R109" s="25">
        <v>0.303949447077409</v>
      </c>
      <c r="S109" s="25">
        <v>0.19047619047619</v>
      </c>
      <c r="T109" s="25">
        <v>-0.00150229099376541</v>
      </c>
      <c r="U109" s="25">
        <v>-0.120325095810757</v>
      </c>
      <c r="V109" s="25">
        <v>0.523301459486663</v>
      </c>
      <c r="W109" s="25">
        <v>0.0979113714222566</v>
      </c>
      <c r="X109" s="25">
        <v>0.107724323662627</v>
      </c>
      <c r="Y109" s="25">
        <v>0.816140506891952</v>
      </c>
      <c r="Z109" s="25">
        <v>0.0558685446009389</v>
      </c>
      <c r="AA109" s="25">
        <v>0.381322957198444</v>
      </c>
      <c r="AB109" s="25">
        <v>-0.293632615666514</v>
      </c>
      <c r="AC109" s="25">
        <v>0.220575901593514</v>
      </c>
      <c r="AD109" s="25">
        <v>1.11281748375665</v>
      </c>
      <c r="AE109" s="25">
        <v>-0.614175022789426</v>
      </c>
      <c r="AF109" s="25">
        <v>0.645911477869467</v>
      </c>
      <c r="AG109" s="25">
        <v>0.251055842327546</v>
      </c>
      <c r="AH109" s="25">
        <v>0.533093525179856</v>
      </c>
      <c r="AI109" s="25">
        <v>0.39</v>
      </c>
      <c r="AJ109" s="25" t="s">
        <v>113</v>
      </c>
      <c r="AK109" s="25" t="s">
        <v>113</v>
      </c>
      <c r="AL109" s="25" t="s">
        <v>113</v>
      </c>
      <c r="AM109" s="365" t="s">
        <v>113</v>
      </c>
      <c r="AS109" s="379" t="s">
        <v>275</v>
      </c>
      <c r="AT109" s="382">
        <v>0.64</v>
      </c>
      <c r="AU109" s="383">
        <v>45716</v>
      </c>
      <c r="AV109" s="382">
        <v>1360.226001</v>
      </c>
      <c r="AW109" s="33"/>
      <c r="AX109" s="394">
        <v>0.022985</v>
      </c>
      <c r="AY109" s="394">
        <v>0.026913</v>
      </c>
      <c r="AZ109" s="394">
        <v>0.035404</v>
      </c>
      <c r="BA109" s="394">
        <v>0.087631</v>
      </c>
      <c r="BB109" s="394">
        <v>0.065504</v>
      </c>
      <c r="BC109" s="394">
        <v>0.063955</v>
      </c>
      <c r="BD109" s="394">
        <v>0.073697</v>
      </c>
      <c r="BE109" s="34"/>
      <c r="BF109" s="394">
        <v>0.026913</v>
      </c>
      <c r="BG109" s="394">
        <v>0.0857161499312981</v>
      </c>
      <c r="BH109" s="394">
        <v>0.0656670388685064</v>
      </c>
      <c r="BI109" s="394">
        <v>0.0210652044084912</v>
      </c>
      <c r="BJ109" s="394">
        <v>0.0389508395886667</v>
      </c>
      <c r="BK109" s="394">
        <v>0.123372603687871</v>
      </c>
      <c r="BL109" s="394">
        <v>0.109657354571761</v>
      </c>
      <c r="BM109" s="394">
        <v>0.0621911984373204</v>
      </c>
      <c r="BN109" s="394">
        <v>0.0338130393723235</v>
      </c>
      <c r="BO109" s="394">
        <v>0.134028881644529</v>
      </c>
      <c r="BP109" s="394">
        <v>0.0674776931760172</v>
      </c>
      <c r="BQ109" s="394">
        <v>0.140576180283908</v>
      </c>
      <c r="BR109" s="394">
        <v>0.049225606608157</v>
      </c>
      <c r="BS109" s="394">
        <v>0.108134135527608</v>
      </c>
      <c r="BT109" s="394">
        <v>0.04879</v>
      </c>
      <c r="BU109" s="394" t="s">
        <v>113</v>
      </c>
    </row>
    <row r="110" spans="2:73">
      <c r="B110" s="339" t="s">
        <v>276</v>
      </c>
      <c r="C110" s="343">
        <v>1.86</v>
      </c>
      <c r="D110" s="344">
        <v>45838</v>
      </c>
      <c r="E110" s="345">
        <v>6824.4417662422</v>
      </c>
      <c r="F110" s="10">
        <v>-0.026185</v>
      </c>
      <c r="G110" s="10">
        <v>0.120225</v>
      </c>
      <c r="H110" s="10">
        <v>0.10913</v>
      </c>
      <c r="I110" s="10">
        <v>0.001891</v>
      </c>
      <c r="J110" s="10">
        <v>0.226218</v>
      </c>
      <c r="K110" s="10">
        <v>0.283868</v>
      </c>
      <c r="L110" s="23">
        <v>0.147617</v>
      </c>
      <c r="M110" s="20"/>
      <c r="N110" s="24">
        <v>0.045333</v>
      </c>
      <c r="O110" s="25">
        <v>0.270246085011186</v>
      </c>
      <c r="P110" s="25">
        <v>0.327512473271561</v>
      </c>
      <c r="Q110" s="25">
        <v>0.0311121999020089</v>
      </c>
      <c r="R110" s="25">
        <v>0.448159645232816</v>
      </c>
      <c r="S110" s="25">
        <v>0.191105007394887</v>
      </c>
      <c r="T110" s="25">
        <v>-0.00608987820243593</v>
      </c>
      <c r="U110" s="25">
        <v>-0.107822014051522</v>
      </c>
      <c r="V110" s="25">
        <v>0.42904953145917</v>
      </c>
      <c r="W110" s="25">
        <v>0.0482739264664608</v>
      </c>
      <c r="X110" s="25">
        <v>0.0508774517032886</v>
      </c>
      <c r="Y110" s="25">
        <v>0.869589192169837</v>
      </c>
      <c r="Z110" s="25">
        <v>0.0749851807943095</v>
      </c>
      <c r="AA110" s="25">
        <v>0.40466278101582</v>
      </c>
      <c r="AB110" s="25">
        <v>-0.326038159371493</v>
      </c>
      <c r="AC110" s="25">
        <v>0.195571955719557</v>
      </c>
      <c r="AD110" s="25">
        <v>1.00740740740741</v>
      </c>
      <c r="AE110" s="25">
        <v>-0.678013876843018</v>
      </c>
      <c r="AF110" s="25">
        <v>0.623372052094333</v>
      </c>
      <c r="AG110" s="25">
        <v>0.402962962962963</v>
      </c>
      <c r="AH110" s="25">
        <v>0.697401508801341</v>
      </c>
      <c r="AI110" s="25">
        <v>0.193</v>
      </c>
      <c r="AJ110" s="25" t="s">
        <v>113</v>
      </c>
      <c r="AK110" s="25" t="s">
        <v>113</v>
      </c>
      <c r="AL110" s="25" t="s">
        <v>113</v>
      </c>
      <c r="AM110" s="365" t="s">
        <v>113</v>
      </c>
      <c r="AS110" s="379" t="s">
        <v>277</v>
      </c>
      <c r="AT110" s="382">
        <v>1.57</v>
      </c>
      <c r="AU110" s="383">
        <v>45716</v>
      </c>
      <c r="AV110" s="382">
        <v>3029.8473</v>
      </c>
      <c r="AW110" s="33"/>
      <c r="AX110" s="394">
        <v>0.030244</v>
      </c>
      <c r="AY110" s="394">
        <v>0.026492</v>
      </c>
      <c r="AZ110" s="394">
        <v>0.024693</v>
      </c>
      <c r="BA110" s="394">
        <v>0.082192</v>
      </c>
      <c r="BB110" s="394">
        <v>0.063155</v>
      </c>
      <c r="BC110" s="394">
        <v>0.060609</v>
      </c>
      <c r="BD110" s="394">
        <v>0.071308</v>
      </c>
      <c r="BE110" s="34"/>
      <c r="BF110" s="394">
        <v>0.026492</v>
      </c>
      <c r="BG110" s="394">
        <v>0.0999021124337255</v>
      </c>
      <c r="BH110" s="394">
        <v>0.0636620138730954</v>
      </c>
      <c r="BI110" s="394">
        <v>0.00989047270430491</v>
      </c>
      <c r="BJ110" s="394">
        <v>0.0175165689872378</v>
      </c>
      <c r="BK110" s="394">
        <v>0.129485275921802</v>
      </c>
      <c r="BL110" s="394">
        <v>0.109798967373393</v>
      </c>
      <c r="BM110" s="394">
        <v>0.0680354916770551</v>
      </c>
      <c r="BN110" s="394">
        <v>0.0347679606640969</v>
      </c>
      <c r="BO110" s="394">
        <v>0.131331051770119</v>
      </c>
      <c r="BP110" s="394">
        <v>0.0610581798529261</v>
      </c>
      <c r="BQ110" s="394">
        <v>0.158226779761151</v>
      </c>
      <c r="BR110" s="394">
        <v>0.0471806504831487</v>
      </c>
      <c r="BS110" s="394">
        <v>0.112462105694388</v>
      </c>
      <c r="BT110" s="394">
        <v>0.113066793127348</v>
      </c>
      <c r="BU110" s="394">
        <v>0.0388335717601583</v>
      </c>
    </row>
    <row r="111" spans="2:73">
      <c r="B111" s="339" t="s">
        <v>278</v>
      </c>
      <c r="C111" s="343">
        <v>1.78</v>
      </c>
      <c r="D111" s="344">
        <v>45838</v>
      </c>
      <c r="E111" s="345">
        <v>7405.9153</v>
      </c>
      <c r="F111" s="10">
        <v>-0.010426</v>
      </c>
      <c r="G111" s="10">
        <v>0.13884</v>
      </c>
      <c r="H111" s="10">
        <v>0.159</v>
      </c>
      <c r="I111" s="10">
        <v>0.116512</v>
      </c>
      <c r="J111" s="10">
        <v>0.286986</v>
      </c>
      <c r="K111" s="10">
        <v>0.29348</v>
      </c>
      <c r="L111" s="23">
        <v>0.173545</v>
      </c>
      <c r="M111" s="20"/>
      <c r="N111" s="24">
        <v>0.039882</v>
      </c>
      <c r="O111" s="25">
        <v>0.431499460625674</v>
      </c>
      <c r="P111" s="25">
        <v>0.341235392320534</v>
      </c>
      <c r="Q111" s="25">
        <v>0.00514598948428229</v>
      </c>
      <c r="R111" s="25">
        <v>0.431385108086469</v>
      </c>
      <c r="S111" s="25">
        <v>0.243776140211113</v>
      </c>
      <c r="T111" s="25">
        <v>0.0380401075046517</v>
      </c>
      <c r="U111" s="25">
        <v>-0.0526831179005093</v>
      </c>
      <c r="V111" s="25">
        <v>0.443188241944601</v>
      </c>
      <c r="W111" s="25">
        <v>0.0105684090259927</v>
      </c>
      <c r="X111" s="25">
        <v>0.0638103919781222</v>
      </c>
      <c r="Y111" s="25">
        <v>0.770306616460462</v>
      </c>
      <c r="Z111" s="25">
        <v>0.0622857142857143</v>
      </c>
      <c r="AA111" s="25">
        <v>0.417004048582996</v>
      </c>
      <c r="AB111" s="25">
        <v>-0.1750167000668</v>
      </c>
      <c r="AC111" s="25">
        <v>0.256926952141058</v>
      </c>
      <c r="AD111" s="25">
        <v>1.05344827586207</v>
      </c>
      <c r="AE111" s="25">
        <v>-0.641754169240272</v>
      </c>
      <c r="AF111" s="25">
        <v>0.619</v>
      </c>
      <c r="AG111" s="25" t="s">
        <v>113</v>
      </c>
      <c r="AH111" s="25" t="s">
        <v>113</v>
      </c>
      <c r="AI111" s="25" t="s">
        <v>113</v>
      </c>
      <c r="AJ111" s="25" t="s">
        <v>113</v>
      </c>
      <c r="AK111" s="25" t="s">
        <v>113</v>
      </c>
      <c r="AL111" s="25" t="s">
        <v>113</v>
      </c>
      <c r="AM111" s="365" t="s">
        <v>113</v>
      </c>
      <c r="AS111" s="379" t="s">
        <v>279</v>
      </c>
      <c r="AT111" s="382">
        <v>1.69</v>
      </c>
      <c r="AU111" s="383">
        <v>45716</v>
      </c>
      <c r="AV111" s="382">
        <v>178.1811</v>
      </c>
      <c r="AW111" s="33"/>
      <c r="AX111" s="394">
        <v>0.017074</v>
      </c>
      <c r="AY111" s="394">
        <v>0.025564</v>
      </c>
      <c r="AZ111" s="394">
        <v>0.033963</v>
      </c>
      <c r="BA111" s="394">
        <v>0.084082</v>
      </c>
      <c r="BB111" s="394">
        <v>0.068055</v>
      </c>
      <c r="BC111" s="394">
        <v>0.055845</v>
      </c>
      <c r="BD111" s="394">
        <v>0.064406</v>
      </c>
      <c r="BE111" s="34"/>
      <c r="BF111" s="394">
        <v>0.025564</v>
      </c>
      <c r="BG111" s="394">
        <v>0.0827747651059578</v>
      </c>
      <c r="BH111" s="394">
        <v>0.0693468315512947</v>
      </c>
      <c r="BI111" s="394">
        <v>0.0319610144077189</v>
      </c>
      <c r="BJ111" s="394">
        <v>0.0136712457767828</v>
      </c>
      <c r="BK111" s="394">
        <v>0.0941390197756114</v>
      </c>
      <c r="BL111" s="394">
        <v>0.0793363813141002</v>
      </c>
      <c r="BM111" s="394">
        <v>0.0472784980401372</v>
      </c>
      <c r="BN111" s="394">
        <v>0.0343840046216385</v>
      </c>
      <c r="BO111" s="394">
        <v>0.137160963143074</v>
      </c>
      <c r="BP111" s="394">
        <v>0.0642449407642035</v>
      </c>
      <c r="BQ111" s="394">
        <v>0.142866191144372</v>
      </c>
      <c r="BR111" s="394">
        <v>0.0741413327332387</v>
      </c>
      <c r="BS111" s="394">
        <v>0.102939733444158</v>
      </c>
      <c r="BT111" s="394">
        <v>0.0619984920279771</v>
      </c>
      <c r="BU111" s="394">
        <v>0.0379332065075619</v>
      </c>
    </row>
    <row r="112" spans="2:73">
      <c r="B112" s="339" t="s">
        <v>280</v>
      </c>
      <c r="C112" s="343">
        <v>1.4</v>
      </c>
      <c r="D112" s="344">
        <v>45838</v>
      </c>
      <c r="E112" s="345">
        <v>57101.9619</v>
      </c>
      <c r="F112" s="10">
        <v>-0.005472</v>
      </c>
      <c r="G112" s="10">
        <v>0.127071</v>
      </c>
      <c r="H112" s="10">
        <v>0.110793</v>
      </c>
      <c r="I112" s="10">
        <v>0.025832</v>
      </c>
      <c r="J112" s="10">
        <v>0.230646</v>
      </c>
      <c r="K112" s="10">
        <v>0.293672</v>
      </c>
      <c r="L112" s="23">
        <v>0.17394</v>
      </c>
      <c r="M112" s="20"/>
      <c r="N112" s="24">
        <v>0.015032</v>
      </c>
      <c r="O112" s="25">
        <v>0.335514130369839</v>
      </c>
      <c r="P112" s="25">
        <v>0.314957639880056</v>
      </c>
      <c r="Q112" s="25">
        <v>0.0512774626947854</v>
      </c>
      <c r="R112" s="25">
        <v>0.473060934806854</v>
      </c>
      <c r="S112" s="25">
        <v>0.218888257248078</v>
      </c>
      <c r="T112" s="25">
        <v>0.0885731966529449</v>
      </c>
      <c r="U112" s="25">
        <v>-0.1172153341884</v>
      </c>
      <c r="V112" s="25">
        <v>0.430046533745457</v>
      </c>
      <c r="W112" s="25">
        <v>0.103568483394557</v>
      </c>
      <c r="X112" s="25">
        <v>0.0842071039583841</v>
      </c>
      <c r="Y112" s="25">
        <v>0.873172959805116</v>
      </c>
      <c r="Z112" s="25">
        <v>-0.0506612705066128</v>
      </c>
      <c r="AA112" s="25">
        <v>0.479893048128342</v>
      </c>
      <c r="AB112" s="25">
        <v>-0.266436529107171</v>
      </c>
      <c r="AC112" s="25">
        <v>0.211712139937256</v>
      </c>
      <c r="AD112" s="25">
        <v>0.776558013849012</v>
      </c>
      <c r="AE112" s="25">
        <v>-0.652176467132703</v>
      </c>
      <c r="AF112" s="25">
        <v>0.7023</v>
      </c>
      <c r="AG112" s="25" t="s">
        <v>113</v>
      </c>
      <c r="AH112" s="25" t="s">
        <v>113</v>
      </c>
      <c r="AI112" s="25" t="s">
        <v>113</v>
      </c>
      <c r="AJ112" s="25" t="s">
        <v>113</v>
      </c>
      <c r="AK112" s="25" t="s">
        <v>113</v>
      </c>
      <c r="AL112" s="25" t="s">
        <v>113</v>
      </c>
      <c r="AM112" s="365" t="s">
        <v>113</v>
      </c>
      <c r="AS112" s="379" t="s">
        <v>281</v>
      </c>
      <c r="AT112" s="382">
        <v>1.75</v>
      </c>
      <c r="AU112" s="383">
        <v>45716</v>
      </c>
      <c r="AV112" s="382">
        <v>123.1905</v>
      </c>
      <c r="AW112" s="33"/>
      <c r="AX112" s="394">
        <v>0.026295</v>
      </c>
      <c r="AY112" s="394">
        <v>0.026527</v>
      </c>
      <c r="AZ112" s="394">
        <v>0.028862</v>
      </c>
      <c r="BA112" s="394">
        <v>0.075494</v>
      </c>
      <c r="BB112" s="394">
        <v>0.060876</v>
      </c>
      <c r="BC112" s="394">
        <v>0.052154</v>
      </c>
      <c r="BD112" s="394">
        <v>0.06247</v>
      </c>
      <c r="BE112" s="34"/>
      <c r="BF112" s="394">
        <v>0.026527</v>
      </c>
      <c r="BG112" s="394">
        <v>0.0769814845046146</v>
      </c>
      <c r="BH112" s="394">
        <v>0.0566132344918328</v>
      </c>
      <c r="BI112" s="394">
        <v>0.0248348386619362</v>
      </c>
      <c r="BJ112" s="394">
        <v>0.0120069395617425</v>
      </c>
      <c r="BK112" s="394">
        <v>0.0961923482115576</v>
      </c>
      <c r="BL112" s="394">
        <v>0.0893297166249355</v>
      </c>
      <c r="BM112" s="394">
        <v>0.0415183376107293</v>
      </c>
      <c r="BN112" s="394">
        <v>0.0327352007609358</v>
      </c>
      <c r="BO112" s="394">
        <v>0.148445219056269</v>
      </c>
      <c r="BP112" s="394">
        <v>0.0583371761481356</v>
      </c>
      <c r="BQ112" s="394">
        <v>0.143307987049633</v>
      </c>
      <c r="BR112" s="394">
        <v>0.0759323767217409</v>
      </c>
      <c r="BS112" s="394">
        <v>0.0948182358909767</v>
      </c>
      <c r="BT112" s="394">
        <v>0.0849355628523165</v>
      </c>
      <c r="BU112" s="394">
        <v>0.0296965847461768</v>
      </c>
    </row>
    <row r="113" spans="2:73">
      <c r="B113" s="339" t="s">
        <v>282</v>
      </c>
      <c r="C113" s="343">
        <v>1.56</v>
      </c>
      <c r="D113" s="344">
        <v>45838</v>
      </c>
      <c r="E113" s="345">
        <v>33053.1257</v>
      </c>
      <c r="F113" s="10">
        <v>-0.025866</v>
      </c>
      <c r="G113" s="10">
        <v>0.077367</v>
      </c>
      <c r="H113" s="10">
        <v>0.060307</v>
      </c>
      <c r="I113" s="10">
        <v>0.015928</v>
      </c>
      <c r="J113" s="10">
        <v>0.294017</v>
      </c>
      <c r="K113" s="10">
        <v>0.349839</v>
      </c>
      <c r="L113" s="23">
        <v>0.169498</v>
      </c>
      <c r="M113" s="20"/>
      <c r="N113" s="24">
        <v>-0.094323</v>
      </c>
      <c r="O113" s="25">
        <v>0.571301328649948</v>
      </c>
      <c r="P113" s="25">
        <v>0.416798860691892</v>
      </c>
      <c r="Q113" s="25">
        <v>0.107052844326784</v>
      </c>
      <c r="R113" s="25">
        <v>0.558329750424831</v>
      </c>
      <c r="S113" s="25">
        <v>0.0931614462685065</v>
      </c>
      <c r="T113" s="25">
        <v>0.0971764638473595</v>
      </c>
      <c r="U113" s="25">
        <v>-0.127036470689113</v>
      </c>
      <c r="V113" s="25">
        <v>0.307839674040016</v>
      </c>
      <c r="W113" s="25">
        <v>0.0518312461910471</v>
      </c>
      <c r="X113" s="25">
        <v>0.164797545239608</v>
      </c>
      <c r="Y113" s="25">
        <v>0.74681</v>
      </c>
      <c r="Z113" s="25" t="s">
        <v>113</v>
      </c>
      <c r="AA113" s="25" t="s">
        <v>113</v>
      </c>
      <c r="AB113" s="25" t="s">
        <v>113</v>
      </c>
      <c r="AC113" s="25" t="s">
        <v>113</v>
      </c>
      <c r="AD113" s="25" t="s">
        <v>113</v>
      </c>
      <c r="AE113" s="25" t="s">
        <v>113</v>
      </c>
      <c r="AF113" s="25" t="s">
        <v>113</v>
      </c>
      <c r="AG113" s="25" t="s">
        <v>113</v>
      </c>
      <c r="AH113" s="25" t="s">
        <v>113</v>
      </c>
      <c r="AI113" s="25" t="s">
        <v>113</v>
      </c>
      <c r="AJ113" s="25" t="s">
        <v>113</v>
      </c>
      <c r="AK113" s="25" t="s">
        <v>113</v>
      </c>
      <c r="AL113" s="25" t="s">
        <v>113</v>
      </c>
      <c r="AM113" s="365" t="s">
        <v>113</v>
      </c>
      <c r="AS113" s="379" t="s">
        <v>283</v>
      </c>
      <c r="AT113" s="382">
        <v>1.2</v>
      </c>
      <c r="AU113" s="383">
        <v>45716</v>
      </c>
      <c r="AV113" s="382">
        <v>1678.4808</v>
      </c>
      <c r="AW113" s="33"/>
      <c r="AX113" s="394">
        <v>0.028812</v>
      </c>
      <c r="AY113" s="394">
        <v>0.026934</v>
      </c>
      <c r="AZ113" s="394">
        <v>0.03062</v>
      </c>
      <c r="BA113" s="394">
        <v>0.089267</v>
      </c>
      <c r="BB113" s="394">
        <v>0.072496</v>
      </c>
      <c r="BC113" s="394">
        <v>0.064898</v>
      </c>
      <c r="BD113" s="394">
        <v>0.071612</v>
      </c>
      <c r="BE113" s="34"/>
      <c r="BF113" s="394">
        <v>0.026934</v>
      </c>
      <c r="BG113" s="394">
        <v>0.0992842867356173</v>
      </c>
      <c r="BH113" s="394">
        <v>0.0792369781129136</v>
      </c>
      <c r="BI113" s="394">
        <v>0.0159853651373751</v>
      </c>
      <c r="BJ113" s="394">
        <v>0.0236199671269282</v>
      </c>
      <c r="BK113" s="394">
        <v>0.123245176156962</v>
      </c>
      <c r="BL113" s="394">
        <v>0.103014451278054</v>
      </c>
      <c r="BM113" s="394">
        <v>0.0652838023132246</v>
      </c>
      <c r="BN113" s="394">
        <v>0.0182289664819843</v>
      </c>
      <c r="BO113" s="394">
        <v>0.130008132547673</v>
      </c>
      <c r="BP113" s="394">
        <v>0.0685787061412207</v>
      </c>
      <c r="BQ113" s="394">
        <v>0.145422979682177</v>
      </c>
      <c r="BR113" s="394">
        <v>0.0626037177976293</v>
      </c>
      <c r="BS113" s="394">
        <v>0.099835870743387</v>
      </c>
      <c r="BT113" s="394">
        <v>0.0906070317188636</v>
      </c>
      <c r="BU113" s="394">
        <v>0.0476713025660349</v>
      </c>
    </row>
    <row r="114" spans="2:73">
      <c r="B114" s="339" t="s">
        <v>284</v>
      </c>
      <c r="C114" s="343">
        <v>1.55</v>
      </c>
      <c r="D114" s="344">
        <v>45838</v>
      </c>
      <c r="E114" s="345">
        <v>39065.5498</v>
      </c>
      <c r="F114" s="10">
        <v>-0.027448</v>
      </c>
      <c r="G114" s="10">
        <v>0.073108</v>
      </c>
      <c r="H114" s="10">
        <v>0.093228</v>
      </c>
      <c r="I114" s="10">
        <v>0.007485</v>
      </c>
      <c r="J114" s="10">
        <v>0.264815</v>
      </c>
      <c r="K114" s="10">
        <v>0.310133</v>
      </c>
      <c r="L114" s="23">
        <v>0.169852</v>
      </c>
      <c r="M114" s="20"/>
      <c r="N114" s="24">
        <v>0.009463</v>
      </c>
      <c r="O114" s="25">
        <v>0.268985814880924</v>
      </c>
      <c r="P114" s="25">
        <v>0.486128838977084</v>
      </c>
      <c r="Q114" s="25">
        <v>0.058108604655271</v>
      </c>
      <c r="R114" s="25">
        <v>0.464622736167595</v>
      </c>
      <c r="S114" s="25">
        <v>0.220528308515084</v>
      </c>
      <c r="T114" s="25">
        <v>0.0678394691666459</v>
      </c>
      <c r="U114" s="25">
        <v>-0.108985202218153</v>
      </c>
      <c r="V114" s="25">
        <v>0.442194903375096</v>
      </c>
      <c r="W114" s="25">
        <v>0.0351132400999246</v>
      </c>
      <c r="X114" s="25">
        <v>0.0634861740404676</v>
      </c>
      <c r="Y114" s="25">
        <v>0.548714771031787</v>
      </c>
      <c r="Z114" s="25">
        <v>-0.0246957612345904</v>
      </c>
      <c r="AA114" s="25">
        <v>0.378175997817088</v>
      </c>
      <c r="AB114" s="25">
        <v>-0.274033357022945</v>
      </c>
      <c r="AC114" s="25">
        <v>0.171825253268849</v>
      </c>
      <c r="AD114" s="25">
        <v>0.973993400193634</v>
      </c>
      <c r="AE114" s="25">
        <v>-0.541069679689653</v>
      </c>
      <c r="AF114" s="25">
        <v>0.7685011621804</v>
      </c>
      <c r="AG114" s="25">
        <v>0.409979913310075</v>
      </c>
      <c r="AH114" s="25">
        <v>0.687299322154834</v>
      </c>
      <c r="AI114" s="25">
        <v>0.425737538148525</v>
      </c>
      <c r="AJ114" s="25">
        <v>1.55656697009103</v>
      </c>
      <c r="AK114" s="25">
        <v>0.55746835443038</v>
      </c>
      <c r="AL114" s="25">
        <v>-0.183884297520661</v>
      </c>
      <c r="AM114" s="365">
        <v>-0.402616637867193</v>
      </c>
      <c r="AS114" s="379" t="s">
        <v>285</v>
      </c>
      <c r="AT114" s="382">
        <v>1.45</v>
      </c>
      <c r="AU114" s="383">
        <v>45716</v>
      </c>
      <c r="AV114" s="382">
        <v>60.853876887</v>
      </c>
      <c r="AW114" s="33"/>
      <c r="AX114" s="394">
        <v>0.023669</v>
      </c>
      <c r="AY114" s="394">
        <v>0.023201</v>
      </c>
      <c r="AZ114" s="394">
        <v>0.031587</v>
      </c>
      <c r="BA114" s="394">
        <v>0.074263</v>
      </c>
      <c r="BB114" s="394">
        <v>0.05565</v>
      </c>
      <c r="BC114" s="394">
        <v>0.053332</v>
      </c>
      <c r="BD114" s="394" t="s">
        <v>113</v>
      </c>
      <c r="BE114" s="34"/>
      <c r="BF114" s="394">
        <v>0.023201</v>
      </c>
      <c r="BG114" s="394">
        <v>0.0682349375865773</v>
      </c>
      <c r="BH114" s="394">
        <v>0.0546810061743821</v>
      </c>
      <c r="BI114" s="394">
        <v>0.0274071005027867</v>
      </c>
      <c r="BJ114" s="394">
        <v>0.0352751364647812</v>
      </c>
      <c r="BK114" s="394">
        <v>0.0728346186739955</v>
      </c>
      <c r="BL114" s="394">
        <v>0.0955005215362017</v>
      </c>
      <c r="BM114" s="394">
        <v>0.00510760000000005</v>
      </c>
      <c r="BN114" s="394" t="s">
        <v>113</v>
      </c>
      <c r="BO114" s="394" t="s">
        <v>113</v>
      </c>
      <c r="BP114" s="394" t="s">
        <v>113</v>
      </c>
      <c r="BQ114" s="394" t="s">
        <v>113</v>
      </c>
      <c r="BR114" s="394" t="s">
        <v>113</v>
      </c>
      <c r="BS114" s="394" t="s">
        <v>113</v>
      </c>
      <c r="BT114" s="394" t="s">
        <v>113</v>
      </c>
      <c r="BU114" s="394" t="s">
        <v>113</v>
      </c>
    </row>
    <row r="115" spans="2:73">
      <c r="B115" s="339" t="s">
        <v>286</v>
      </c>
      <c r="C115" s="343">
        <v>1.74</v>
      </c>
      <c r="D115" s="344">
        <v>45838</v>
      </c>
      <c r="E115" s="345">
        <v>9140.4137</v>
      </c>
      <c r="F115" s="10">
        <v>-0.031842</v>
      </c>
      <c r="G115" s="10">
        <v>0.013009</v>
      </c>
      <c r="H115" s="10">
        <v>0.000348</v>
      </c>
      <c r="I115" s="10">
        <v>-0.146075</v>
      </c>
      <c r="J115" s="10">
        <v>0.20074</v>
      </c>
      <c r="K115" s="10">
        <v>0.296029</v>
      </c>
      <c r="L115" s="23">
        <v>0.163498</v>
      </c>
      <c r="M115" s="20"/>
      <c r="N115" s="24">
        <v>-0.032039</v>
      </c>
      <c r="O115" s="25">
        <v>0.189406378445846</v>
      </c>
      <c r="P115" s="25">
        <v>0.346058450666997</v>
      </c>
      <c r="Q115" s="25">
        <v>0.17129680679796</v>
      </c>
      <c r="R115" s="25">
        <v>0.503863806250973</v>
      </c>
      <c r="S115" s="25">
        <v>0.420269690035817</v>
      </c>
      <c r="T115" s="25">
        <v>-0.0259858512457362</v>
      </c>
      <c r="U115" s="25">
        <v>-0.0165865221925863</v>
      </c>
      <c r="V115" s="25">
        <v>0.308367863589406</v>
      </c>
      <c r="W115" s="25">
        <v>-0.0255992177094994</v>
      </c>
      <c r="X115" s="25">
        <v>0.0802944480294448</v>
      </c>
      <c r="Y115" s="25">
        <v>0.262472806490838</v>
      </c>
      <c r="Z115" s="25">
        <v>0.0861953126792321</v>
      </c>
      <c r="AA115" s="25">
        <v>0.194599419772372</v>
      </c>
      <c r="AB115" s="25">
        <v>-0.0990613789722083</v>
      </c>
      <c r="AC115" s="25">
        <v>0.0918750914706947</v>
      </c>
      <c r="AD115" s="25">
        <v>0.0868578795793985</v>
      </c>
      <c r="AE115" s="25">
        <v>-0.323736974854144</v>
      </c>
      <c r="AF115" s="25">
        <v>0.40161007467128</v>
      </c>
      <c r="AG115" s="25">
        <v>0.154083557704636</v>
      </c>
      <c r="AH115" s="25">
        <v>0.146423790650673</v>
      </c>
      <c r="AI115" s="25">
        <v>0.107889778067278</v>
      </c>
      <c r="AJ115" s="25">
        <v>0.41306027185615</v>
      </c>
      <c r="AK115" s="25">
        <v>0.167773512476008</v>
      </c>
      <c r="AL115" s="25">
        <v>0.042</v>
      </c>
      <c r="AM115" s="365" t="s">
        <v>113</v>
      </c>
      <c r="AS115" s="379" t="s">
        <v>287</v>
      </c>
      <c r="AT115" s="382">
        <v>1.52</v>
      </c>
      <c r="AU115" s="383">
        <v>45716</v>
      </c>
      <c r="AV115" s="382">
        <v>803.6263</v>
      </c>
      <c r="AW115" s="33"/>
      <c r="AX115" s="394">
        <v>0.018705</v>
      </c>
      <c r="AY115" s="394">
        <v>0.024968</v>
      </c>
      <c r="AZ115" s="394">
        <v>0.031337</v>
      </c>
      <c r="BA115" s="394">
        <v>0.083665</v>
      </c>
      <c r="BB115" s="394">
        <v>0.065603</v>
      </c>
      <c r="BC115" s="394">
        <v>0.067766</v>
      </c>
      <c r="BD115" s="394">
        <v>0.062417</v>
      </c>
      <c r="BE115" s="34"/>
      <c r="BF115" s="394">
        <v>0.024968</v>
      </c>
      <c r="BG115" s="394">
        <v>0.0854904310586824</v>
      </c>
      <c r="BH115" s="394">
        <v>0.0672017948063464</v>
      </c>
      <c r="BI115" s="394">
        <v>0.0157360835546191</v>
      </c>
      <c r="BJ115" s="394">
        <v>0.0743251365559461</v>
      </c>
      <c r="BK115" s="394">
        <v>0.0894963137114602</v>
      </c>
      <c r="BL115" s="394">
        <v>0.0323486978243485</v>
      </c>
      <c r="BM115" s="394">
        <v>0.041136643766244</v>
      </c>
      <c r="BN115" s="394">
        <v>0.0269373565427101</v>
      </c>
      <c r="BO115" s="394">
        <v>0.147371274151267</v>
      </c>
      <c r="BP115" s="394">
        <v>0.0551022803666515</v>
      </c>
      <c r="BQ115" s="394">
        <v>0.161418493860332</v>
      </c>
      <c r="BR115" s="394">
        <v>0.0533403653149248</v>
      </c>
      <c r="BS115" s="394">
        <v>0.106235739248477</v>
      </c>
      <c r="BT115" s="394">
        <v>0.0618337279340505</v>
      </c>
      <c r="BU115" s="394">
        <v>0.0567341409506031</v>
      </c>
    </row>
    <row r="116" spans="2:73">
      <c r="B116" s="339" t="s">
        <v>288</v>
      </c>
      <c r="C116" s="343">
        <v>1.66</v>
      </c>
      <c r="D116" s="344">
        <v>45838</v>
      </c>
      <c r="E116" s="345">
        <v>23269.0012</v>
      </c>
      <c r="F116" s="10">
        <v>-0.038342</v>
      </c>
      <c r="G116" s="10">
        <v>0.03073</v>
      </c>
      <c r="H116" s="10">
        <v>0.022948</v>
      </c>
      <c r="I116" s="10">
        <v>-0.036897</v>
      </c>
      <c r="J116" s="10">
        <v>0.177255</v>
      </c>
      <c r="K116" s="10">
        <v>0.272802</v>
      </c>
      <c r="L116" s="23">
        <v>0.140184</v>
      </c>
      <c r="M116" s="20"/>
      <c r="N116" s="24">
        <v>-0.016885</v>
      </c>
      <c r="O116" s="25">
        <v>0.203429409546074</v>
      </c>
      <c r="P116" s="25">
        <v>0.34456881419517</v>
      </c>
      <c r="Q116" s="25">
        <v>0.030422383818216</v>
      </c>
      <c r="R116" s="25">
        <v>0.52249890970642</v>
      </c>
      <c r="S116" s="25">
        <v>0.304489747637401</v>
      </c>
      <c r="T116" s="25">
        <v>0.000717285307629416</v>
      </c>
      <c r="U116" s="25">
        <v>-0.179796943049738</v>
      </c>
      <c r="V116" s="25">
        <v>0.334888586478555</v>
      </c>
      <c r="W116" s="25">
        <v>0.0498296788113315</v>
      </c>
      <c r="X116" s="25">
        <v>0.149195942763857</v>
      </c>
      <c r="Y116" s="25">
        <v>0.719433740029958</v>
      </c>
      <c r="Z116" s="25">
        <v>0.135717920756089</v>
      </c>
      <c r="AA116" s="25">
        <v>0.479827864443249</v>
      </c>
      <c r="AB116" s="25">
        <v>-0.257884231536926</v>
      </c>
      <c r="AC116" s="25">
        <v>0.146978021978022</v>
      </c>
      <c r="AD116" s="25">
        <v>1.0411214953271</v>
      </c>
      <c r="AE116" s="25">
        <v>-0.717379820390914</v>
      </c>
      <c r="AF116" s="25">
        <v>0.706943192064923</v>
      </c>
      <c r="AG116" s="25">
        <v>0.466931216931217</v>
      </c>
      <c r="AH116" s="25">
        <v>0.512</v>
      </c>
      <c r="AI116" s="25" t="s">
        <v>113</v>
      </c>
      <c r="AJ116" s="25" t="s">
        <v>113</v>
      </c>
      <c r="AK116" s="25" t="s">
        <v>113</v>
      </c>
      <c r="AL116" s="25" t="s">
        <v>113</v>
      </c>
      <c r="AM116" s="365" t="s">
        <v>113</v>
      </c>
      <c r="AS116" s="379" t="s">
        <v>289</v>
      </c>
      <c r="AT116" s="382">
        <v>0.76</v>
      </c>
      <c r="AU116" s="383">
        <v>45716</v>
      </c>
      <c r="AV116" s="382">
        <v>151.5412</v>
      </c>
      <c r="AW116" s="33"/>
      <c r="AX116" s="394">
        <v>0.022908</v>
      </c>
      <c r="AY116" s="394">
        <v>0.028452</v>
      </c>
      <c r="AZ116" s="394">
        <v>0.036068</v>
      </c>
      <c r="BA116" s="394">
        <v>0.090392</v>
      </c>
      <c r="BB116" s="394">
        <v>0.068935</v>
      </c>
      <c r="BC116" s="394">
        <v>0.057956</v>
      </c>
      <c r="BD116" s="394">
        <v>0.069116</v>
      </c>
      <c r="BE116" s="34"/>
      <c r="BF116" s="394">
        <v>0.028452</v>
      </c>
      <c r="BG116" s="394">
        <v>0.0871897232747292</v>
      </c>
      <c r="BH116" s="394">
        <v>0.065388555778234</v>
      </c>
      <c r="BI116" s="394">
        <v>0.0258388952626599</v>
      </c>
      <c r="BJ116" s="394">
        <v>0.010497366138484</v>
      </c>
      <c r="BK116" s="394">
        <v>0.108009151172494</v>
      </c>
      <c r="BL116" s="394">
        <v>0.0950112424152198</v>
      </c>
      <c r="BM116" s="394">
        <v>0.0606388944849479</v>
      </c>
      <c r="BN116" s="394">
        <v>0.0285155878119942</v>
      </c>
      <c r="BO116" s="394">
        <v>0.148235551325909</v>
      </c>
      <c r="BP116" s="394">
        <v>0.074718045112782</v>
      </c>
      <c r="BQ116" s="394">
        <v>0.140047901172318</v>
      </c>
      <c r="BR116" s="394">
        <v>0.0561139585968182</v>
      </c>
      <c r="BS116" s="394">
        <v>0.106676857061299</v>
      </c>
      <c r="BT116" s="394">
        <v>0.0729960182193635</v>
      </c>
      <c r="BU116" s="394">
        <v>0.01211</v>
      </c>
    </row>
    <row r="117" spans="2:73">
      <c r="B117" s="339" t="s">
        <v>290</v>
      </c>
      <c r="C117" s="343">
        <v>1.73</v>
      </c>
      <c r="D117" s="344">
        <v>45838</v>
      </c>
      <c r="E117" s="345">
        <v>12818.0990967133</v>
      </c>
      <c r="F117" s="10">
        <v>-0.015017</v>
      </c>
      <c r="G117" s="10">
        <v>0.078763</v>
      </c>
      <c r="H117" s="10">
        <v>0.080249</v>
      </c>
      <c r="I117" s="10">
        <v>0.014235</v>
      </c>
      <c r="J117" s="10">
        <v>0.246984</v>
      </c>
      <c r="K117" s="10">
        <v>0.28224</v>
      </c>
      <c r="L117" s="23">
        <v>0.142524</v>
      </c>
      <c r="M117" s="20"/>
      <c r="N117" s="24">
        <v>-0.005188</v>
      </c>
      <c r="O117" s="25">
        <v>0.320110060838101</v>
      </c>
      <c r="P117" s="25">
        <v>0.403519651499444</v>
      </c>
      <c r="Q117" s="25">
        <v>0.0483911386623974</v>
      </c>
      <c r="R117" s="25">
        <v>0.374888047748228</v>
      </c>
      <c r="S117" s="25">
        <v>0.117901871167011</v>
      </c>
      <c r="T117" s="25">
        <v>-0.00299894612964215</v>
      </c>
      <c r="U117" s="25">
        <v>-0.154052633010142</v>
      </c>
      <c r="V117" s="25">
        <v>0.407710817001625</v>
      </c>
      <c r="W117" s="25">
        <v>0.113293470445194</v>
      </c>
      <c r="X117" s="25">
        <v>0.111508213794546</v>
      </c>
      <c r="Y117" s="25">
        <v>0.750344720133993</v>
      </c>
      <c r="Z117" s="25">
        <v>0.0463949040135552</v>
      </c>
      <c r="AA117" s="25">
        <v>0.380192407065266</v>
      </c>
      <c r="AB117" s="25">
        <v>-0.236691461261666</v>
      </c>
      <c r="AC117" s="25">
        <v>0.207596731432076</v>
      </c>
      <c r="AD117" s="25">
        <v>1.14626472234235</v>
      </c>
      <c r="AE117" s="25">
        <v>-0.583443602469499</v>
      </c>
      <c r="AF117" s="25">
        <v>0.63131158167675</v>
      </c>
      <c r="AG117" s="25">
        <v>0.632451499118166</v>
      </c>
      <c r="AH117" s="25">
        <v>0.589147829986407</v>
      </c>
      <c r="AI117" s="25">
        <v>0.35724909750039</v>
      </c>
      <c r="AJ117" s="25">
        <v>1.57726470588235</v>
      </c>
      <c r="AK117" s="25">
        <v>0.0199999999999999</v>
      </c>
      <c r="AL117" s="25" t="s">
        <v>113</v>
      </c>
      <c r="AM117" s="365" t="s">
        <v>113</v>
      </c>
      <c r="AS117" s="379" t="s">
        <v>291</v>
      </c>
      <c r="AT117" s="382">
        <v>1.29</v>
      </c>
      <c r="AU117" s="383">
        <v>45716</v>
      </c>
      <c r="AV117" s="382">
        <v>13643.9310374665</v>
      </c>
      <c r="AW117" s="33"/>
      <c r="AX117" s="394">
        <v>0.014947</v>
      </c>
      <c r="AY117" s="394">
        <v>0.025313</v>
      </c>
      <c r="AZ117" s="394">
        <v>0.041661</v>
      </c>
      <c r="BA117" s="394">
        <v>0.087239</v>
      </c>
      <c r="BB117" s="394">
        <v>0.074723</v>
      </c>
      <c r="BC117" s="394">
        <v>0.071427</v>
      </c>
      <c r="BD117" s="394">
        <v>0.079543</v>
      </c>
      <c r="BE117" s="34"/>
      <c r="BF117" s="394">
        <v>0.025313</v>
      </c>
      <c r="BG117" s="394">
        <v>0.0821345423354982</v>
      </c>
      <c r="BH117" s="394">
        <v>0.0758187942023636</v>
      </c>
      <c r="BI117" s="394">
        <v>0.0454949522792268</v>
      </c>
      <c r="BJ117" s="394">
        <v>0.0428674092705714</v>
      </c>
      <c r="BK117" s="394">
        <v>0.117742505542525</v>
      </c>
      <c r="BL117" s="394">
        <v>0.1016211241682</v>
      </c>
      <c r="BM117" s="394">
        <v>0.0622150786265498</v>
      </c>
      <c r="BN117" s="394">
        <v>0.0510306401181542</v>
      </c>
      <c r="BO117" s="394">
        <v>0.168639924263853</v>
      </c>
      <c r="BP117" s="394">
        <v>0.0573884063455635</v>
      </c>
      <c r="BQ117" s="394">
        <v>0.193877253581683</v>
      </c>
      <c r="BR117" s="394">
        <v>0.0963170088679396</v>
      </c>
      <c r="BS117" s="394">
        <v>0.0994290733421168</v>
      </c>
      <c r="BT117" s="394">
        <v>0.0890151515151515</v>
      </c>
      <c r="BU117" s="394">
        <v>0.04544</v>
      </c>
    </row>
    <row r="118" spans="2:73">
      <c r="B118" s="339" t="s">
        <v>292</v>
      </c>
      <c r="C118" s="343">
        <v>1.85</v>
      </c>
      <c r="D118" s="344">
        <v>45838</v>
      </c>
      <c r="E118" s="345">
        <v>4985.200206577</v>
      </c>
      <c r="F118" s="10">
        <v>-0.011692</v>
      </c>
      <c r="G118" s="10">
        <v>0.075573</v>
      </c>
      <c r="H118" s="10">
        <v>0.067996</v>
      </c>
      <c r="I118" s="10">
        <v>-0.052983</v>
      </c>
      <c r="J118" s="10">
        <v>0.216404</v>
      </c>
      <c r="K118" s="10">
        <v>0.264669</v>
      </c>
      <c r="L118" s="23">
        <v>0.149132</v>
      </c>
      <c r="M118" s="20"/>
      <c r="N118" s="24">
        <v>0.008076</v>
      </c>
      <c r="O118" s="25">
        <v>0.226994426475493</v>
      </c>
      <c r="P118" s="25">
        <v>0.405441665099367</v>
      </c>
      <c r="Q118" s="25">
        <v>0.00604668480129556</v>
      </c>
      <c r="R118" s="25">
        <v>0.400150979945305</v>
      </c>
      <c r="S118" s="25">
        <v>0.242553492734899</v>
      </c>
      <c r="T118" s="25">
        <v>0.0650542036682665</v>
      </c>
      <c r="U118" s="25">
        <v>-0.130128464531734</v>
      </c>
      <c r="V118" s="25">
        <v>0.497837288235497</v>
      </c>
      <c r="W118" s="25">
        <v>-0.0221622161639799</v>
      </c>
      <c r="X118" s="25">
        <v>0.108297383964807</v>
      </c>
      <c r="Y118" s="25">
        <v>0.800363797369848</v>
      </c>
      <c r="Z118" s="25">
        <v>0.0655350662029161</v>
      </c>
      <c r="AA118" s="25">
        <v>0.376872481447424</v>
      </c>
      <c r="AB118" s="25">
        <v>-0.226949414143171</v>
      </c>
      <c r="AC118" s="25">
        <v>0.166714856015299</v>
      </c>
      <c r="AD118" s="25">
        <v>0.916454822512674</v>
      </c>
      <c r="AE118" s="25">
        <v>-0.602338423950966</v>
      </c>
      <c r="AF118" s="25">
        <v>0.650235243457042</v>
      </c>
      <c r="AG118" s="25">
        <v>0.27002228073729</v>
      </c>
      <c r="AH118" s="25">
        <v>0.423340829152972</v>
      </c>
      <c r="AI118" s="25">
        <v>0.296314290626145</v>
      </c>
      <c r="AJ118" s="25">
        <v>1.08157518048295</v>
      </c>
      <c r="AK118" s="25">
        <v>0.143752001993095</v>
      </c>
      <c r="AL118" s="25">
        <v>-0.0936451612903226</v>
      </c>
      <c r="AM118" s="365">
        <v>0.208576998050682</v>
      </c>
      <c r="AS118" s="379" t="s">
        <v>293</v>
      </c>
      <c r="AT118" s="382">
        <v>1.2</v>
      </c>
      <c r="AU118" s="383">
        <v>45716</v>
      </c>
      <c r="AV118" s="382">
        <v>44.1815</v>
      </c>
      <c r="AW118" s="33"/>
      <c r="AX118" s="394">
        <v>0.014126</v>
      </c>
      <c r="AY118" s="394">
        <v>0.024915</v>
      </c>
      <c r="AZ118" s="394">
        <v>0.036264</v>
      </c>
      <c r="BA118" s="394">
        <v>0.078861</v>
      </c>
      <c r="BB118" s="394">
        <v>0.067026</v>
      </c>
      <c r="BC118" s="394" t="s">
        <v>113</v>
      </c>
      <c r="BD118" s="394" t="s">
        <v>113</v>
      </c>
      <c r="BE118" s="34"/>
      <c r="BF118" s="394">
        <v>0.024915</v>
      </c>
      <c r="BG118" s="394">
        <v>0.0865353596903115</v>
      </c>
      <c r="BH118" s="394">
        <v>0.0569104151079204</v>
      </c>
      <c r="BI118" s="394">
        <v>0.0371290775683401</v>
      </c>
      <c r="BJ118" s="394">
        <v>0.01807</v>
      </c>
      <c r="BK118" s="394" t="s">
        <v>113</v>
      </c>
      <c r="BL118" s="394" t="s">
        <v>113</v>
      </c>
      <c r="BM118" s="394" t="s">
        <v>113</v>
      </c>
      <c r="BN118" s="394" t="s">
        <v>113</v>
      </c>
      <c r="BO118" s="394" t="s">
        <v>113</v>
      </c>
      <c r="BP118" s="394" t="s">
        <v>113</v>
      </c>
      <c r="BQ118" s="394" t="s">
        <v>113</v>
      </c>
      <c r="BR118" s="394" t="s">
        <v>113</v>
      </c>
      <c r="BS118" s="394" t="s">
        <v>113</v>
      </c>
      <c r="BT118" s="394" t="s">
        <v>113</v>
      </c>
      <c r="BU118" s="394" t="s">
        <v>113</v>
      </c>
    </row>
    <row r="119" ht="14.55" spans="2:73">
      <c r="B119" s="339" t="s">
        <v>294</v>
      </c>
      <c r="C119" s="346">
        <v>1.75</v>
      </c>
      <c r="D119" s="347">
        <v>45838</v>
      </c>
      <c r="E119" s="348">
        <v>12224.2714</v>
      </c>
      <c r="F119" s="10">
        <v>-0.031632</v>
      </c>
      <c r="G119" s="10">
        <v>0.084987</v>
      </c>
      <c r="H119" s="10">
        <v>0.062859</v>
      </c>
      <c r="I119" s="10">
        <v>-0.048763</v>
      </c>
      <c r="J119" s="10">
        <v>0.178245</v>
      </c>
      <c r="K119" s="10">
        <v>0.247023</v>
      </c>
      <c r="L119" s="23">
        <v>0.136419</v>
      </c>
      <c r="M119" s="20"/>
      <c r="N119" s="24">
        <v>-0.015412</v>
      </c>
      <c r="O119" s="25">
        <v>0.232814304927263</v>
      </c>
      <c r="P119" s="25">
        <v>0.305422687626072</v>
      </c>
      <c r="Q119" s="25">
        <v>-0.00750633539119727</v>
      </c>
      <c r="R119" s="25">
        <v>0.430654739984398</v>
      </c>
      <c r="S119" s="25">
        <v>0.326771472958501</v>
      </c>
      <c r="T119" s="25">
        <v>-0.00194462689834988</v>
      </c>
      <c r="U119" s="25">
        <v>-0.149494810988972</v>
      </c>
      <c r="V119" s="25">
        <v>0.419881043519227</v>
      </c>
      <c r="W119" s="25">
        <v>0.0347919954532623</v>
      </c>
      <c r="X119" s="25">
        <v>0.0659584960587959</v>
      </c>
      <c r="Y119" s="25">
        <v>0.904417834935206</v>
      </c>
      <c r="Z119" s="25">
        <v>0.0969232899473831</v>
      </c>
      <c r="AA119" s="25">
        <v>0.415523324186593</v>
      </c>
      <c r="AB119" s="25">
        <v>-0.239188786161646</v>
      </c>
      <c r="AC119" s="25">
        <v>0.189428875487762</v>
      </c>
      <c r="AD119" s="25">
        <v>1.10687593423019</v>
      </c>
      <c r="AE119" s="25">
        <v>-0.611159546643418</v>
      </c>
      <c r="AF119" s="25">
        <v>0.52797513321492</v>
      </c>
      <c r="AG119" s="25">
        <v>0.117617866004963</v>
      </c>
      <c r="AH119" s="25">
        <v>0.28099173553719</v>
      </c>
      <c r="AI119" s="25" t="s">
        <v>113</v>
      </c>
      <c r="AJ119" s="25" t="s">
        <v>113</v>
      </c>
      <c r="AK119" s="25" t="s">
        <v>113</v>
      </c>
      <c r="AL119" s="25" t="s">
        <v>113</v>
      </c>
      <c r="AM119" s="365" t="s">
        <v>113</v>
      </c>
      <c r="AS119" s="379" t="s">
        <v>295</v>
      </c>
      <c r="AT119" s="382">
        <v>0.92</v>
      </c>
      <c r="AU119" s="383">
        <v>45716</v>
      </c>
      <c r="AV119" s="382">
        <v>44.028268712</v>
      </c>
      <c r="AW119" s="33"/>
      <c r="AX119" s="394">
        <v>0.018962</v>
      </c>
      <c r="AY119" s="394">
        <v>0.029127</v>
      </c>
      <c r="AZ119" s="394">
        <v>0.038294</v>
      </c>
      <c r="BA119" s="394">
        <v>0.086607</v>
      </c>
      <c r="BB119" s="394">
        <v>0.067949</v>
      </c>
      <c r="BC119" s="394">
        <v>0.060803</v>
      </c>
      <c r="BD119" s="394">
        <v>0.067597</v>
      </c>
      <c r="BE119" s="34"/>
      <c r="BF119" s="394">
        <v>0.029127</v>
      </c>
      <c r="BG119" s="394">
        <v>0.0803651947896261</v>
      </c>
      <c r="BH119" s="394">
        <v>0.0629048839465415</v>
      </c>
      <c r="BI119" s="394">
        <v>0.0382915388778639</v>
      </c>
      <c r="BJ119" s="394">
        <v>0.0268935066539044</v>
      </c>
      <c r="BK119" s="394">
        <v>0.0777703826955075</v>
      </c>
      <c r="BL119" s="394">
        <v>0.0616873940079142</v>
      </c>
      <c r="BM119" s="394">
        <v>0.0744369493339812</v>
      </c>
      <c r="BN119" s="394">
        <v>0.0749916344968863</v>
      </c>
      <c r="BO119" s="394">
        <v>0.0832552382636372</v>
      </c>
      <c r="BP119" s="394">
        <v>0.0897389578546276</v>
      </c>
      <c r="BQ119" s="394">
        <v>0.0881913538505088</v>
      </c>
      <c r="BR119" s="394">
        <v>0.0816969930652816</v>
      </c>
      <c r="BS119" s="394">
        <v>0.0793546847172154</v>
      </c>
      <c r="BT119" s="394">
        <v>0.0812780009397066</v>
      </c>
      <c r="BU119" s="394">
        <v>0.0524296051761003</v>
      </c>
    </row>
    <row r="120" spans="2:73">
      <c r="B120" s="4" t="s">
        <v>296</v>
      </c>
      <c r="F120" s="6">
        <v>-0.022897</v>
      </c>
      <c r="G120" s="7">
        <v>0.067576</v>
      </c>
      <c r="H120" s="7">
        <v>0.062307</v>
      </c>
      <c r="I120" s="7">
        <v>-0.058658</v>
      </c>
      <c r="J120" s="7">
        <v>0.238603</v>
      </c>
      <c r="K120" s="7">
        <v>0.271637</v>
      </c>
      <c r="L120" s="19">
        <v>0.150311</v>
      </c>
      <c r="M120" s="20"/>
      <c r="N120" s="21">
        <v>-0.014275</v>
      </c>
      <c r="O120" s="22">
        <v>0.260739505342404</v>
      </c>
      <c r="P120" s="22">
        <v>0.455261608959292</v>
      </c>
      <c r="Q120" s="22">
        <v>0.0137933078308118</v>
      </c>
      <c r="R120" s="22">
        <v>0.391755283720417</v>
      </c>
      <c r="S120" s="22">
        <v>0.198666072503496</v>
      </c>
      <c r="T120" s="22">
        <v>-0.0304836301571726</v>
      </c>
      <c r="U120" s="22">
        <v>-0.133761446269863</v>
      </c>
      <c r="V120" s="22">
        <v>0.481331256535016</v>
      </c>
      <c r="W120" s="22">
        <v>0.0797140467447062</v>
      </c>
      <c r="X120" s="22">
        <v>0.0742823868314344</v>
      </c>
      <c r="Y120" s="22">
        <v>0.546862603570768</v>
      </c>
      <c r="Z120" s="22">
        <v>-0.0572664556881942</v>
      </c>
      <c r="AA120" s="22">
        <v>0.385164701414787</v>
      </c>
      <c r="AB120" s="22">
        <v>-0.341888907828178</v>
      </c>
      <c r="AC120" s="22">
        <v>0.161494353823115</v>
      </c>
      <c r="AD120" s="22">
        <v>1.0765737778396</v>
      </c>
      <c r="AE120" s="22">
        <v>-0.66953845399505</v>
      </c>
      <c r="AF120" s="22">
        <v>0.686337030031799</v>
      </c>
      <c r="AG120" s="22">
        <v>0.31130351499764</v>
      </c>
      <c r="AH120" s="22">
        <v>0.466316678535349</v>
      </c>
      <c r="AI120" s="22">
        <v>0.255530881447843</v>
      </c>
      <c r="AJ120" s="22" t="s">
        <v>113</v>
      </c>
      <c r="AK120" s="22" t="s">
        <v>113</v>
      </c>
      <c r="AL120" s="22" t="s">
        <v>113</v>
      </c>
      <c r="AM120" s="366" t="s">
        <v>113</v>
      </c>
      <c r="AS120" s="379" t="s">
        <v>297</v>
      </c>
      <c r="AT120" s="382">
        <v>1.33</v>
      </c>
      <c r="AU120" s="383">
        <v>45716</v>
      </c>
      <c r="AV120" s="382">
        <v>3001.1309</v>
      </c>
      <c r="AW120" s="33"/>
      <c r="AX120" s="394">
        <v>0.020264</v>
      </c>
      <c r="AY120" s="394">
        <v>0.024921</v>
      </c>
      <c r="AZ120" s="394">
        <v>0.027881</v>
      </c>
      <c r="BA120" s="394">
        <v>0.084927</v>
      </c>
      <c r="BB120" s="394">
        <v>0.067004</v>
      </c>
      <c r="BC120" s="394">
        <v>0.065272</v>
      </c>
      <c r="BD120" s="394">
        <v>0.077794</v>
      </c>
      <c r="BE120" s="34"/>
      <c r="BF120" s="394">
        <v>0.024921</v>
      </c>
      <c r="BG120" s="394">
        <v>0.0927197176339083</v>
      </c>
      <c r="BH120" s="394">
        <v>0.0651477601413216</v>
      </c>
      <c r="BI120" s="394">
        <v>0.0250116070836374</v>
      </c>
      <c r="BJ120" s="394">
        <v>0.0318408130442965</v>
      </c>
      <c r="BK120" s="394">
        <v>0.117084918101718</v>
      </c>
      <c r="BL120" s="394">
        <v>0.110764357713635</v>
      </c>
      <c r="BM120" s="394">
        <v>0.0730482720914869</v>
      </c>
      <c r="BN120" s="394">
        <v>0.0561048959461085</v>
      </c>
      <c r="BO120" s="394">
        <v>0.133648622111671</v>
      </c>
      <c r="BP120" s="394">
        <v>0.074590120692384</v>
      </c>
      <c r="BQ120" s="394">
        <v>0.104858556551474</v>
      </c>
      <c r="BR120" s="394">
        <v>0.0882769605942925</v>
      </c>
      <c r="BS120" s="394">
        <v>0.0965869568577745</v>
      </c>
      <c r="BT120" s="394">
        <v>0.0929256240233137</v>
      </c>
      <c r="BU120" s="394">
        <v>0.0574621266256967</v>
      </c>
    </row>
    <row r="121" spans="2:73">
      <c r="B121" s="8" t="s">
        <v>298</v>
      </c>
      <c r="F121" s="9">
        <v>-0.03918</v>
      </c>
      <c r="G121" s="10">
        <v>0.06052</v>
      </c>
      <c r="H121" s="10">
        <v>0.068669</v>
      </c>
      <c r="I121" s="10">
        <v>-0.026959</v>
      </c>
      <c r="J121" s="10">
        <v>0.245793</v>
      </c>
      <c r="K121" s="10">
        <v>0.299617</v>
      </c>
      <c r="L121" s="23">
        <v>0.15366</v>
      </c>
      <c r="M121" s="20"/>
      <c r="N121" s="24">
        <v>0.003516</v>
      </c>
      <c r="O121" s="25">
        <v>0.238575320181802</v>
      </c>
      <c r="P121" s="25">
        <v>0.465660664300155</v>
      </c>
      <c r="Q121" s="25">
        <v>0.0350229445946344</v>
      </c>
      <c r="R121" s="25">
        <v>0.46061652872736</v>
      </c>
      <c r="S121" s="25">
        <v>0.21868147931589</v>
      </c>
      <c r="T121" s="25">
        <v>-0.0432435456350871</v>
      </c>
      <c r="U121" s="25">
        <v>-0.154162822059763</v>
      </c>
      <c r="V121" s="25">
        <v>0.472568973866752</v>
      </c>
      <c r="W121" s="25">
        <v>0.0712675509640434</v>
      </c>
      <c r="X121" s="25">
        <v>0.0645946987607132</v>
      </c>
      <c r="Y121" s="25">
        <v>0.559085896943491</v>
      </c>
      <c r="Z121" s="25">
        <v>-0.0510046913028654</v>
      </c>
      <c r="AA121" s="25">
        <v>0.391575382249237</v>
      </c>
      <c r="AB121" s="25">
        <v>-0.309956871245992</v>
      </c>
      <c r="AC121" s="25">
        <v>0.191637068130449</v>
      </c>
      <c r="AD121" s="25">
        <v>0.989720526823</v>
      </c>
      <c r="AE121" s="25">
        <v>-0.593949901357087</v>
      </c>
      <c r="AF121" s="25">
        <v>0.7692869849512</v>
      </c>
      <c r="AG121" s="25">
        <v>0.290116488233324</v>
      </c>
      <c r="AH121" s="25">
        <v>0.3503883189375</v>
      </c>
      <c r="AI121" s="25">
        <v>0.249648300117233</v>
      </c>
      <c r="AJ121" s="25">
        <v>1.38258648896692</v>
      </c>
      <c r="AK121" s="25">
        <v>0.242180916976456</v>
      </c>
      <c r="AL121" s="25" t="s">
        <v>113</v>
      </c>
      <c r="AM121" s="365" t="s">
        <v>113</v>
      </c>
      <c r="AS121" s="379" t="s">
        <v>299</v>
      </c>
      <c r="AT121" s="382">
        <v>1.57</v>
      </c>
      <c r="AU121" s="383">
        <v>45716</v>
      </c>
      <c r="AV121" s="382">
        <v>75.9761</v>
      </c>
      <c r="AW121" s="33"/>
      <c r="AX121" s="394">
        <v>0.02144</v>
      </c>
      <c r="AY121" s="394">
        <v>0.024927</v>
      </c>
      <c r="AZ121" s="394">
        <v>0.030263</v>
      </c>
      <c r="BA121" s="394">
        <v>0.081794</v>
      </c>
      <c r="BB121" s="394">
        <v>0.059381</v>
      </c>
      <c r="BC121" s="394">
        <v>0.047019</v>
      </c>
      <c r="BD121" s="394" t="s">
        <v>113</v>
      </c>
      <c r="BE121" s="34"/>
      <c r="BF121" s="394">
        <v>0.024927</v>
      </c>
      <c r="BG121" s="394">
        <v>0.083301722775407</v>
      </c>
      <c r="BH121" s="394">
        <v>0.0587615150982705</v>
      </c>
      <c r="BI121" s="394">
        <v>0.00862483649099117</v>
      </c>
      <c r="BJ121" s="394">
        <v>0.0243343706777318</v>
      </c>
      <c r="BK121" s="394">
        <v>0.0570465199155678</v>
      </c>
      <c r="BL121" s="394">
        <v>0.0731432269705229</v>
      </c>
      <c r="BM121" s="394">
        <v>0.0197800000000001</v>
      </c>
      <c r="BN121" s="394" t="s">
        <v>113</v>
      </c>
      <c r="BO121" s="394" t="s">
        <v>113</v>
      </c>
      <c r="BP121" s="394" t="s">
        <v>113</v>
      </c>
      <c r="BQ121" s="394" t="s">
        <v>113</v>
      </c>
      <c r="BR121" s="394" t="s">
        <v>113</v>
      </c>
      <c r="BS121" s="394" t="s">
        <v>113</v>
      </c>
      <c r="BT121" s="394" t="s">
        <v>113</v>
      </c>
      <c r="BU121" s="394" t="s">
        <v>113</v>
      </c>
    </row>
    <row r="122" ht="14.55" spans="2:73">
      <c r="B122" s="11" t="s">
        <v>300</v>
      </c>
      <c r="F122" s="9">
        <v>-0.028531</v>
      </c>
      <c r="G122" s="10">
        <v>0.074882</v>
      </c>
      <c r="H122" s="10">
        <v>0.076085</v>
      </c>
      <c r="I122" s="10">
        <v>-0.022856</v>
      </c>
      <c r="J122" s="10">
        <v>0.239604</v>
      </c>
      <c r="K122" s="10">
        <v>0.294748</v>
      </c>
      <c r="L122" s="23" t="s">
        <v>113</v>
      </c>
      <c r="M122" s="20"/>
      <c r="N122" s="26">
        <v>0.010411</v>
      </c>
      <c r="O122" s="27">
        <v>0.237988996928627</v>
      </c>
      <c r="P122" s="27">
        <v>0.436766716446164</v>
      </c>
      <c r="Q122" s="27">
        <v>0.0296442602145788</v>
      </c>
      <c r="R122" s="27">
        <v>0.468103371529588</v>
      </c>
      <c r="S122" s="27">
        <v>0.243814856998228</v>
      </c>
      <c r="T122" s="27">
        <v>-0.00279210638398558</v>
      </c>
      <c r="U122" s="27">
        <v>-0.133283931442572</v>
      </c>
      <c r="V122" s="27" t="s">
        <v>113</v>
      </c>
      <c r="W122" s="27" t="s">
        <v>113</v>
      </c>
      <c r="X122" s="27" t="s">
        <v>113</v>
      </c>
      <c r="Y122" s="27" t="s">
        <v>113</v>
      </c>
      <c r="Z122" s="27" t="s">
        <v>113</v>
      </c>
      <c r="AA122" s="27" t="s">
        <v>113</v>
      </c>
      <c r="AB122" s="27" t="s">
        <v>113</v>
      </c>
      <c r="AC122" s="27" t="s">
        <v>113</v>
      </c>
      <c r="AD122" s="27" t="s">
        <v>113</v>
      </c>
      <c r="AE122" s="27" t="s">
        <v>113</v>
      </c>
      <c r="AF122" s="27" t="s">
        <v>113</v>
      </c>
      <c r="AG122" s="27" t="s">
        <v>113</v>
      </c>
      <c r="AH122" s="27" t="s">
        <v>113</v>
      </c>
      <c r="AI122" s="27" t="s">
        <v>113</v>
      </c>
      <c r="AJ122" s="27" t="s">
        <v>113</v>
      </c>
      <c r="AK122" s="27" t="s">
        <v>113</v>
      </c>
      <c r="AL122" s="27" t="s">
        <v>113</v>
      </c>
      <c r="AM122" s="367" t="s">
        <v>113</v>
      </c>
      <c r="AS122" s="379" t="s">
        <v>301</v>
      </c>
      <c r="AT122" s="382">
        <v>1.03</v>
      </c>
      <c r="AU122" s="383">
        <v>45716</v>
      </c>
      <c r="AV122" s="382">
        <v>118.666179908</v>
      </c>
      <c r="AW122" s="33"/>
      <c r="AX122" s="394">
        <v>0.008234</v>
      </c>
      <c r="AY122" s="394">
        <v>0.01905</v>
      </c>
      <c r="AZ122" s="394">
        <v>0.033359</v>
      </c>
      <c r="BA122" s="394">
        <v>0.072016</v>
      </c>
      <c r="BB122" s="394">
        <v>0.050593</v>
      </c>
      <c r="BC122" s="394">
        <v>0.046967</v>
      </c>
      <c r="BD122" s="394" t="s">
        <v>113</v>
      </c>
      <c r="BE122" s="34"/>
      <c r="BF122" s="394">
        <v>0.01905</v>
      </c>
      <c r="BG122" s="394">
        <v>0.0706875487482484</v>
      </c>
      <c r="BH122" s="394">
        <v>0.057921063200555</v>
      </c>
      <c r="BI122" s="394">
        <v>0.0137540992101387</v>
      </c>
      <c r="BJ122" s="394">
        <v>0.0243330957400021</v>
      </c>
      <c r="BK122" s="394">
        <v>0.0979677131986245</v>
      </c>
      <c r="BL122" s="394">
        <v>0.110822358686002</v>
      </c>
      <c r="BM122" s="394">
        <v>0.0463932490758124</v>
      </c>
      <c r="BN122" s="394">
        <v>0.0333399999999999</v>
      </c>
      <c r="BO122" s="394" t="s">
        <v>113</v>
      </c>
      <c r="BP122" s="394" t="s">
        <v>113</v>
      </c>
      <c r="BQ122" s="394" t="s">
        <v>113</v>
      </c>
      <c r="BR122" s="394" t="s">
        <v>113</v>
      </c>
      <c r="BS122" s="394" t="s">
        <v>113</v>
      </c>
      <c r="BT122" s="394" t="s">
        <v>113</v>
      </c>
      <c r="BU122" s="394" t="s">
        <v>113</v>
      </c>
    </row>
    <row r="123" ht="14.55" spans="2:73">
      <c r="B123" s="12" t="s">
        <v>146</v>
      </c>
      <c r="F123" s="29">
        <f>AVERAGE(F103:F119)</f>
        <v>-0.0223054705882353</v>
      </c>
      <c r="G123" s="30">
        <f t="shared" ref="G123:L123" si="13">AVERAGE(G103:G119)</f>
        <v>0.083207</v>
      </c>
      <c r="H123" s="30">
        <f t="shared" si="13"/>
        <v>0.0814724117647059</v>
      </c>
      <c r="I123" s="30">
        <f t="shared" si="13"/>
        <v>-0.00432288235294118</v>
      </c>
      <c r="J123" s="30">
        <f t="shared" si="13"/>
        <v>0.230845529411765</v>
      </c>
      <c r="K123" s="30">
        <f t="shared" si="13"/>
        <v>0.279178647058824</v>
      </c>
      <c r="L123" s="362">
        <f t="shared" si="13"/>
        <v>0.155150588235294</v>
      </c>
      <c r="M123" s="20"/>
      <c r="N123" s="13">
        <f t="shared" ref="N123:AM123" si="14">AVERAGE(N103:N119)</f>
        <v>-0.00410047058823529</v>
      </c>
      <c r="O123" s="14">
        <f t="shared" si="14"/>
        <v>0.305022016621935</v>
      </c>
      <c r="P123" s="14">
        <f t="shared" si="14"/>
        <v>0.374546384590483</v>
      </c>
      <c r="Q123" s="14">
        <f t="shared" si="14"/>
        <v>0.0309925548957103</v>
      </c>
      <c r="R123" s="14">
        <f t="shared" si="14"/>
        <v>0.430925970122389</v>
      </c>
      <c r="S123" s="14">
        <f t="shared" si="14"/>
        <v>0.22832419267559</v>
      </c>
      <c r="T123" s="14">
        <f t="shared" si="14"/>
        <v>0.033865059809274</v>
      </c>
      <c r="U123" s="14">
        <f t="shared" si="14"/>
        <v>-0.109052655104676</v>
      </c>
      <c r="V123" s="14">
        <f t="shared" si="14"/>
        <v>0.42039238149028</v>
      </c>
      <c r="W123" s="14">
        <f t="shared" si="14"/>
        <v>0.0506101043188337</v>
      </c>
      <c r="X123" s="14">
        <f t="shared" si="14"/>
        <v>0.0855817783963769</v>
      </c>
      <c r="Y123" s="14">
        <f t="shared" si="14"/>
        <v>0.743515488748053</v>
      </c>
      <c r="Z123" s="14">
        <f t="shared" si="14"/>
        <v>0.0515041429991196</v>
      </c>
      <c r="AA123" s="14">
        <f t="shared" si="14"/>
        <v>0.408284833311299</v>
      </c>
      <c r="AB123" s="14">
        <f t="shared" si="14"/>
        <v>-0.231065825632158</v>
      </c>
      <c r="AC123" s="14">
        <f t="shared" si="14"/>
        <v>0.204133562801395</v>
      </c>
      <c r="AD123" s="14">
        <f t="shared" si="14"/>
        <v>0.967706303364503</v>
      </c>
      <c r="AE123" s="14">
        <f t="shared" si="14"/>
        <v>-0.59554409023349</v>
      </c>
      <c r="AF123" s="14">
        <f t="shared" si="14"/>
        <v>0.561490039394896</v>
      </c>
      <c r="AG123" s="14">
        <f t="shared" si="14"/>
        <v>0.303357060483449</v>
      </c>
      <c r="AH123" s="14">
        <f t="shared" si="14"/>
        <v>0.500235813773603</v>
      </c>
      <c r="AI123" s="14">
        <f t="shared" si="14"/>
        <v>0.307998473812933</v>
      </c>
      <c r="AJ123" s="14">
        <f t="shared" si="14"/>
        <v>1.25607417609242</v>
      </c>
      <c r="AK123" s="14">
        <f t="shared" si="14"/>
        <v>0.238272996529195</v>
      </c>
      <c r="AL123" s="14">
        <f t="shared" si="14"/>
        <v>-0.0549363361895076</v>
      </c>
      <c r="AM123" s="28">
        <f t="shared" si="14"/>
        <v>-0.21427291951223</v>
      </c>
      <c r="AS123" s="379" t="s">
        <v>302</v>
      </c>
      <c r="AT123" s="382">
        <v>0.71</v>
      </c>
      <c r="AU123" s="383">
        <v>45716</v>
      </c>
      <c r="AV123" s="382">
        <v>4312.2077</v>
      </c>
      <c r="AW123" s="33"/>
      <c r="AX123" s="394">
        <v>0.010966</v>
      </c>
      <c r="AY123" s="394">
        <v>0.024086</v>
      </c>
      <c r="AZ123" s="394">
        <v>0.038373</v>
      </c>
      <c r="BA123" s="394">
        <v>0.088128</v>
      </c>
      <c r="BB123" s="394">
        <v>0.067113</v>
      </c>
      <c r="BC123" s="394">
        <v>0.063137</v>
      </c>
      <c r="BD123" s="394">
        <v>0.067161</v>
      </c>
      <c r="BE123" s="34"/>
      <c r="BF123" s="394">
        <v>0.024086</v>
      </c>
      <c r="BG123" s="394">
        <v>0.0897145238080649</v>
      </c>
      <c r="BH123" s="394">
        <v>0.0670114382663786</v>
      </c>
      <c r="BI123" s="394">
        <v>0.0240836399305009</v>
      </c>
      <c r="BJ123" s="394">
        <v>0.0273634321915853</v>
      </c>
      <c r="BK123" s="394">
        <v>0.113369098630273</v>
      </c>
      <c r="BL123" s="394">
        <v>0.0843579107340831</v>
      </c>
      <c r="BM123" s="394">
        <v>0.0473736398507424</v>
      </c>
      <c r="BN123" s="394">
        <v>0.0311860940695296</v>
      </c>
      <c r="BO123" s="394">
        <v>0.139330148430115</v>
      </c>
      <c r="BP123" s="394">
        <v>0.0572902598454973</v>
      </c>
      <c r="BQ123" s="394">
        <v>0.15284490060286</v>
      </c>
      <c r="BR123" s="394">
        <v>0.0482171534514499</v>
      </c>
      <c r="BS123" s="394">
        <v>0.122237118764515</v>
      </c>
      <c r="BT123" s="394">
        <v>0.0831547874113221</v>
      </c>
      <c r="BU123" s="394">
        <v>0.0595891735544139</v>
      </c>
    </row>
    <row r="124" spans="13:73">
      <c r="M124" s="20"/>
      <c r="O124" s="5"/>
      <c r="AS124" s="379" t="s">
        <v>303</v>
      </c>
      <c r="AT124" s="382">
        <v>1.64</v>
      </c>
      <c r="AU124" s="383">
        <v>45716</v>
      </c>
      <c r="AV124" s="382">
        <v>105.276</v>
      </c>
      <c r="AW124" s="33"/>
      <c r="AX124" s="394">
        <v>0.019856</v>
      </c>
      <c r="AY124" s="394">
        <v>0.025702</v>
      </c>
      <c r="AZ124" s="394">
        <v>0.03316</v>
      </c>
      <c r="BA124" s="394">
        <v>0.086953</v>
      </c>
      <c r="BB124" s="394">
        <v>0.066407</v>
      </c>
      <c r="BC124" s="394">
        <v>0.057027</v>
      </c>
      <c r="BD124" s="394">
        <v>0.069915</v>
      </c>
      <c r="BE124" s="34"/>
      <c r="BF124" s="394">
        <v>0.025702</v>
      </c>
      <c r="BG124" s="394">
        <v>0.0895593103527848</v>
      </c>
      <c r="BH124" s="394">
        <v>0.0612077624917796</v>
      </c>
      <c r="BI124" s="394">
        <v>0.0235377955668843</v>
      </c>
      <c r="BJ124" s="394">
        <v>0.0236783236018411</v>
      </c>
      <c r="BK124" s="394">
        <v>0.0888037108395178</v>
      </c>
      <c r="BL124" s="394">
        <v>0.106770554665485</v>
      </c>
      <c r="BM124" s="394">
        <v>0.0693425544148533</v>
      </c>
      <c r="BN124" s="394">
        <v>0.0456429739378908</v>
      </c>
      <c r="BO124" s="394">
        <v>0.135401250517045</v>
      </c>
      <c r="BP124" s="394">
        <v>0.0652218346217348</v>
      </c>
      <c r="BQ124" s="394">
        <v>0.134601808073949</v>
      </c>
      <c r="BR124" s="394">
        <v>0.0382055161658941</v>
      </c>
      <c r="BS124" s="394">
        <v>0.0882014999999999</v>
      </c>
      <c r="BT124" s="394" t="s">
        <v>113</v>
      </c>
      <c r="BU124" s="394" t="s">
        <v>113</v>
      </c>
    </row>
    <row r="125" ht="14.55" spans="13:73">
      <c r="M125" s="20"/>
      <c r="O125" s="5"/>
      <c r="AS125" s="379" t="s">
        <v>304</v>
      </c>
      <c r="AT125" s="382">
        <v>0.96</v>
      </c>
      <c r="AU125" s="383">
        <v>45716</v>
      </c>
      <c r="AV125" s="382">
        <v>132.4742</v>
      </c>
      <c r="AW125" s="33"/>
      <c r="AX125" s="394">
        <v>0.026099</v>
      </c>
      <c r="AY125" s="394">
        <v>0.027543</v>
      </c>
      <c r="AZ125" s="394">
        <v>0.034803</v>
      </c>
      <c r="BA125" s="394">
        <v>0.088574</v>
      </c>
      <c r="BB125" s="394">
        <v>0.076427</v>
      </c>
      <c r="BC125" s="394">
        <v>0.065097</v>
      </c>
      <c r="BD125" s="394" t="s">
        <v>113</v>
      </c>
      <c r="BE125" s="34"/>
      <c r="BF125" s="394">
        <v>0.027543</v>
      </c>
      <c r="BG125" s="394">
        <v>0.0917175174877214</v>
      </c>
      <c r="BH125" s="394">
        <v>0.0721849247147594</v>
      </c>
      <c r="BI125" s="394">
        <v>0.0443037221316258</v>
      </c>
      <c r="BJ125" s="394">
        <v>0.0316135885014705</v>
      </c>
      <c r="BK125" s="394">
        <v>0.0972164212284931</v>
      </c>
      <c r="BL125" s="394">
        <v>0.111417255037024</v>
      </c>
      <c r="BM125" s="394">
        <v>0.0402757224082872</v>
      </c>
      <c r="BN125" s="394">
        <v>0.0494523459212032</v>
      </c>
      <c r="BO125" s="394">
        <v>0.158040210518345</v>
      </c>
      <c r="BP125" s="394">
        <v>0.0544681445696546</v>
      </c>
      <c r="BQ125" s="394" t="s">
        <v>113</v>
      </c>
      <c r="BR125" s="394" t="s">
        <v>113</v>
      </c>
      <c r="BS125" s="394" t="s">
        <v>113</v>
      </c>
      <c r="BT125" s="394" t="s">
        <v>113</v>
      </c>
      <c r="BU125" s="394" t="s">
        <v>113</v>
      </c>
    </row>
    <row r="126" ht="15.75" customHeight="1" spans="2:73">
      <c r="B126" s="349" t="s">
        <v>305</v>
      </c>
      <c r="C126" s="350" t="s">
        <v>16</v>
      </c>
      <c r="D126" s="332" t="s">
        <v>99</v>
      </c>
      <c r="E126" s="333"/>
      <c r="F126" s="361" t="s">
        <v>10</v>
      </c>
      <c r="G126" s="361"/>
      <c r="H126" s="361"/>
      <c r="I126" s="361"/>
      <c r="J126" s="361"/>
      <c r="K126" s="361"/>
      <c r="L126" s="364"/>
      <c r="M126" s="20"/>
      <c r="N126" s="360" t="s">
        <v>100</v>
      </c>
      <c r="O126" s="361"/>
      <c r="P126" s="361"/>
      <c r="Q126" s="361"/>
      <c r="R126" s="361"/>
      <c r="S126" s="361"/>
      <c r="T126" s="361"/>
      <c r="U126" s="361"/>
      <c r="V126" s="361"/>
      <c r="W126" s="361"/>
      <c r="X126" s="361"/>
      <c r="Y126" s="361"/>
      <c r="Z126" s="361"/>
      <c r="AA126" s="361"/>
      <c r="AB126" s="361"/>
      <c r="AC126" s="361"/>
      <c r="AD126" s="361"/>
      <c r="AE126" s="361"/>
      <c r="AF126" s="361"/>
      <c r="AG126" s="361"/>
      <c r="AH126" s="361"/>
      <c r="AI126" s="361"/>
      <c r="AJ126" s="361"/>
      <c r="AK126" s="361"/>
      <c r="AL126" s="361"/>
      <c r="AM126" s="361"/>
      <c r="AN126" s="364"/>
      <c r="AS126" s="379" t="s">
        <v>306</v>
      </c>
      <c r="AT126" s="382">
        <v>1.39</v>
      </c>
      <c r="AU126" s="383">
        <v>45716</v>
      </c>
      <c r="AV126" s="382">
        <v>3324.2392</v>
      </c>
      <c r="AW126" s="33"/>
      <c r="AX126" s="394">
        <v>0.019687</v>
      </c>
      <c r="AY126" s="394">
        <v>0.024131</v>
      </c>
      <c r="AZ126" s="394">
        <v>0.029486</v>
      </c>
      <c r="BA126" s="394">
        <v>0.081828</v>
      </c>
      <c r="BB126" s="394">
        <v>0.073406</v>
      </c>
      <c r="BC126" s="394">
        <v>0.061722</v>
      </c>
      <c r="BD126" s="394">
        <v>0.074126</v>
      </c>
      <c r="BE126" s="34"/>
      <c r="BF126" s="394">
        <v>0.024131</v>
      </c>
      <c r="BG126" s="394">
        <v>0.0863445611034571</v>
      </c>
      <c r="BH126" s="394">
        <v>0.0711087137942967</v>
      </c>
      <c r="BI126" s="394">
        <v>0.0419171836063836</v>
      </c>
      <c r="BJ126" s="394">
        <v>0.0195245354003827</v>
      </c>
      <c r="BK126" s="394">
        <v>0.103692537764591</v>
      </c>
      <c r="BL126" s="394">
        <v>0.127197898266788</v>
      </c>
      <c r="BM126" s="394">
        <v>0.0514025519799763</v>
      </c>
      <c r="BN126" s="394">
        <v>0.0390954463747815</v>
      </c>
      <c r="BO126" s="394">
        <v>0.153414194598076</v>
      </c>
      <c r="BP126" s="394">
        <v>0.0582731490338626</v>
      </c>
      <c r="BQ126" s="394">
        <v>0.128416166876927</v>
      </c>
      <c r="BR126" s="394">
        <v>0.0377129975777433</v>
      </c>
      <c r="BS126" s="394">
        <v>0.109969694614966</v>
      </c>
      <c r="BT126" s="394">
        <v>0.115483630500923</v>
      </c>
      <c r="BU126" s="394">
        <v>0.0757531960127934</v>
      </c>
    </row>
    <row r="127" ht="15" customHeight="1" spans="2:73">
      <c r="B127" s="351"/>
      <c r="C127" s="352"/>
      <c r="D127" s="337" t="s">
        <v>104</v>
      </c>
      <c r="E127" s="338" t="s">
        <v>105</v>
      </c>
      <c r="F127" s="2" t="s">
        <v>17</v>
      </c>
      <c r="G127" s="3" t="s">
        <v>18</v>
      </c>
      <c r="H127" s="3" t="s">
        <v>19</v>
      </c>
      <c r="I127" s="3" t="s">
        <v>20</v>
      </c>
      <c r="J127" s="3" t="s">
        <v>22</v>
      </c>
      <c r="K127" s="3" t="s">
        <v>23</v>
      </c>
      <c r="L127" s="15" t="s">
        <v>24</v>
      </c>
      <c r="M127" s="20"/>
      <c r="N127" s="16" t="s">
        <v>25</v>
      </c>
      <c r="O127" s="17">
        <v>2024</v>
      </c>
      <c r="P127" s="17">
        <v>2023</v>
      </c>
      <c r="Q127" s="18">
        <v>2022</v>
      </c>
      <c r="R127" s="18">
        <v>2021</v>
      </c>
      <c r="S127" s="18">
        <v>2020</v>
      </c>
      <c r="T127" s="18">
        <v>2019</v>
      </c>
      <c r="U127" s="18">
        <v>2018</v>
      </c>
      <c r="V127" s="18">
        <v>2017</v>
      </c>
      <c r="W127" s="18">
        <v>2016</v>
      </c>
      <c r="X127" s="18">
        <v>2015</v>
      </c>
      <c r="Y127" s="18">
        <v>2014</v>
      </c>
      <c r="Z127" s="18">
        <v>2013</v>
      </c>
      <c r="AA127" s="18">
        <v>2012</v>
      </c>
      <c r="AB127" s="18">
        <v>2011</v>
      </c>
      <c r="AC127" s="18">
        <v>2010</v>
      </c>
      <c r="AD127" s="18">
        <v>2009</v>
      </c>
      <c r="AE127" s="18">
        <v>2008</v>
      </c>
      <c r="AF127" s="18">
        <v>2007</v>
      </c>
      <c r="AG127" s="18">
        <v>2006</v>
      </c>
      <c r="AH127" s="18">
        <v>2005</v>
      </c>
      <c r="AI127" s="18">
        <v>2004</v>
      </c>
      <c r="AJ127" s="18">
        <v>2003</v>
      </c>
      <c r="AK127" s="18">
        <v>2002</v>
      </c>
      <c r="AL127" s="18">
        <v>2001</v>
      </c>
      <c r="AM127" s="273">
        <v>2000</v>
      </c>
      <c r="AS127" s="379" t="s">
        <v>307</v>
      </c>
      <c r="AT127" s="382">
        <v>1.5</v>
      </c>
      <c r="AU127" s="383">
        <v>45716</v>
      </c>
      <c r="AV127" s="382">
        <v>79.4428</v>
      </c>
      <c r="AW127" s="33"/>
      <c r="AX127" s="394">
        <v>0.023235</v>
      </c>
      <c r="AY127" s="394">
        <v>0.026456</v>
      </c>
      <c r="AZ127" s="394">
        <v>0.032917</v>
      </c>
      <c r="BA127" s="394">
        <v>0.084395</v>
      </c>
      <c r="BB127" s="394">
        <v>0.06181</v>
      </c>
      <c r="BC127" s="394">
        <v>0.054076</v>
      </c>
      <c r="BD127" s="394">
        <v>0.059842</v>
      </c>
      <c r="BE127" s="34"/>
      <c r="BF127" s="394">
        <v>0.026456</v>
      </c>
      <c r="BG127" s="394">
        <v>0.0851807054042286</v>
      </c>
      <c r="BH127" s="394">
        <v>0.0651707860072974</v>
      </c>
      <c r="BI127" s="394">
        <v>0.00285283112480099</v>
      </c>
      <c r="BJ127" s="394">
        <v>0.0199948339211066</v>
      </c>
      <c r="BK127" s="394">
        <v>0.107770199247857</v>
      </c>
      <c r="BL127" s="394">
        <v>0.101523854857489</v>
      </c>
      <c r="BM127" s="394">
        <v>0.0406107340321566</v>
      </c>
      <c r="BN127" s="394">
        <v>0.0125935364927881</v>
      </c>
      <c r="BO127" s="394">
        <v>0.117951049480943</v>
      </c>
      <c r="BP127" s="394">
        <v>0.0526273809143987</v>
      </c>
      <c r="BQ127" s="394">
        <v>0.131904443762301</v>
      </c>
      <c r="BR127" s="394">
        <v>0.0279154370139392</v>
      </c>
      <c r="BS127" s="394">
        <v>0.0775399999999999</v>
      </c>
      <c r="BT127" s="394" t="s">
        <v>113</v>
      </c>
      <c r="BU127" s="394" t="s">
        <v>113</v>
      </c>
    </row>
    <row r="128" ht="14.55" spans="2:73">
      <c r="B128" s="339" t="s">
        <v>308</v>
      </c>
      <c r="C128" s="340">
        <v>1.89</v>
      </c>
      <c r="D128" s="341">
        <v>45838</v>
      </c>
      <c r="E128" s="342">
        <v>5134.1382</v>
      </c>
      <c r="F128" s="10">
        <v>-0.024367</v>
      </c>
      <c r="G128" s="10">
        <v>0.106878</v>
      </c>
      <c r="H128" s="10">
        <v>0.085879</v>
      </c>
      <c r="I128" s="10">
        <v>-0.054633</v>
      </c>
      <c r="J128" s="10">
        <v>0.194338</v>
      </c>
      <c r="K128" s="10">
        <v>0.270012</v>
      </c>
      <c r="L128" s="23">
        <v>0.128936</v>
      </c>
      <c r="M128" s="20"/>
      <c r="N128" s="21">
        <v>-0.026743</v>
      </c>
      <c r="O128" s="22">
        <v>0.214579770988679</v>
      </c>
      <c r="P128" s="22">
        <v>0.393876962142198</v>
      </c>
      <c r="Q128" s="22">
        <v>-0.0646120183968274</v>
      </c>
      <c r="R128" s="22">
        <v>0.513635707496167</v>
      </c>
      <c r="S128" s="22">
        <v>0.197876088871489</v>
      </c>
      <c r="T128" s="25">
        <v>-0.115378066132351</v>
      </c>
      <c r="U128" s="25">
        <v>-0.226467200085728</v>
      </c>
      <c r="V128" s="25">
        <v>0.567009155183331</v>
      </c>
      <c r="W128" s="25">
        <v>0.0965597403693447</v>
      </c>
      <c r="X128" s="25">
        <v>0.134290040728235</v>
      </c>
      <c r="Y128" s="25">
        <v>0.662947365374318</v>
      </c>
      <c r="Z128" s="25">
        <v>0.0483125867601211</v>
      </c>
      <c r="AA128" s="25">
        <v>0.318843914444067</v>
      </c>
      <c r="AB128" s="25">
        <v>-0.233192181410906</v>
      </c>
      <c r="AC128" s="25">
        <v>0.191706434095771</v>
      </c>
      <c r="AD128" s="25">
        <v>1.07315732615659</v>
      </c>
      <c r="AE128" s="25">
        <v>-0.615121453060034</v>
      </c>
      <c r="AF128" s="25">
        <v>0.354644268774704</v>
      </c>
      <c r="AG128" s="25" t="s">
        <v>113</v>
      </c>
      <c r="AH128" s="25" t="s">
        <v>113</v>
      </c>
      <c r="AI128" s="25" t="s">
        <v>113</v>
      </c>
      <c r="AJ128" s="25" t="s">
        <v>113</v>
      </c>
      <c r="AK128" s="25" t="s">
        <v>113</v>
      </c>
      <c r="AL128" s="25" t="s">
        <v>113</v>
      </c>
      <c r="AM128" s="365" t="s">
        <v>113</v>
      </c>
      <c r="AS128" s="379" t="s">
        <v>309</v>
      </c>
      <c r="AT128" s="382">
        <v>1.53</v>
      </c>
      <c r="AU128" s="383">
        <v>45716</v>
      </c>
      <c r="AV128" s="382">
        <v>626.1504</v>
      </c>
      <c r="AW128" s="33"/>
      <c r="AX128" s="394">
        <v>0.015972</v>
      </c>
      <c r="AY128" s="394">
        <v>0.023308</v>
      </c>
      <c r="AZ128" s="394">
        <v>0.034086</v>
      </c>
      <c r="BA128" s="394">
        <v>0.081049</v>
      </c>
      <c r="BB128" s="394">
        <v>0.091996</v>
      </c>
      <c r="BC128" s="394">
        <v>0.090918</v>
      </c>
      <c r="BD128" s="394">
        <v>0.067637</v>
      </c>
      <c r="BE128" s="34"/>
      <c r="BF128" s="394">
        <v>0.023308</v>
      </c>
      <c r="BG128" s="394">
        <v>0.0860545411985018</v>
      </c>
      <c r="BH128" s="394">
        <v>0.0619724765296967</v>
      </c>
      <c r="BI128" s="394">
        <v>0.100687467400877</v>
      </c>
      <c r="BJ128" s="394">
        <v>0.107952177043465</v>
      </c>
      <c r="BK128" s="394">
        <v>0.0585716363052885</v>
      </c>
      <c r="BL128" s="394">
        <v>-0.0385021478470907</v>
      </c>
      <c r="BM128" s="394">
        <v>0.0523066151887047</v>
      </c>
      <c r="BN128" s="394">
        <v>0.0416100785803744</v>
      </c>
      <c r="BO128" s="394">
        <v>0.14901846488272</v>
      </c>
      <c r="BP128" s="394">
        <v>0.0690610962532132</v>
      </c>
      <c r="BQ128" s="394">
        <v>0.147432555229484</v>
      </c>
      <c r="BR128" s="394">
        <v>0.0761905525318028</v>
      </c>
      <c r="BS128" s="394">
        <v>0.11212837084912</v>
      </c>
      <c r="BT128" s="394">
        <v>0.083659373037724</v>
      </c>
      <c r="BU128" s="394">
        <v>0.03515</v>
      </c>
    </row>
    <row r="129" ht="14.55" spans="2:73">
      <c r="B129" s="339" t="s">
        <v>310</v>
      </c>
      <c r="C129" s="343">
        <v>1.59</v>
      </c>
      <c r="D129" s="344">
        <v>45838</v>
      </c>
      <c r="E129" s="345">
        <v>26379.202203</v>
      </c>
      <c r="F129" s="10">
        <v>-0.018404</v>
      </c>
      <c r="G129" s="10">
        <v>0.097315</v>
      </c>
      <c r="H129" s="10">
        <v>0.078455</v>
      </c>
      <c r="I129" s="10">
        <v>0.020766</v>
      </c>
      <c r="J129" s="10">
        <v>0.211262</v>
      </c>
      <c r="K129" s="10">
        <v>0.294095</v>
      </c>
      <c r="L129" s="23">
        <v>0.179613</v>
      </c>
      <c r="M129" s="20"/>
      <c r="N129" s="24">
        <v>-0.001965</v>
      </c>
      <c r="O129" s="25">
        <v>0.250204702304363</v>
      </c>
      <c r="P129" s="25">
        <v>0.340388836625901</v>
      </c>
      <c r="Q129" s="25">
        <v>0.0262268704746581</v>
      </c>
      <c r="R129" s="25">
        <v>0.582230142566191</v>
      </c>
      <c r="S129" s="25">
        <v>0.223676012461059</v>
      </c>
      <c r="T129" s="25">
        <v>0.193752324284121</v>
      </c>
      <c r="U129" s="25">
        <v>-0.0894006095496106</v>
      </c>
      <c r="V129" s="25">
        <v>0.383138173302108</v>
      </c>
      <c r="W129" s="25">
        <v>0.0399415489527521</v>
      </c>
      <c r="X129" s="25">
        <v>0.0972741849278461</v>
      </c>
      <c r="Y129" s="25">
        <v>0.843349753694581</v>
      </c>
      <c r="Z129" s="25">
        <v>0.015</v>
      </c>
      <c r="AA129" s="25" t="s">
        <v>113</v>
      </c>
      <c r="AB129" s="25" t="s">
        <v>113</v>
      </c>
      <c r="AC129" s="25" t="s">
        <v>113</v>
      </c>
      <c r="AD129" s="25" t="s">
        <v>113</v>
      </c>
      <c r="AE129" s="25" t="s">
        <v>113</v>
      </c>
      <c r="AF129" s="25" t="s">
        <v>113</v>
      </c>
      <c r="AG129" s="25" t="s">
        <v>113</v>
      </c>
      <c r="AH129" s="25" t="s">
        <v>113</v>
      </c>
      <c r="AI129" s="25" t="s">
        <v>113</v>
      </c>
      <c r="AJ129" s="25" t="s">
        <v>113</v>
      </c>
      <c r="AK129" s="25" t="s">
        <v>113</v>
      </c>
      <c r="AL129" s="25" t="s">
        <v>113</v>
      </c>
      <c r="AM129" s="365" t="s">
        <v>113</v>
      </c>
      <c r="AS129" s="4" t="s">
        <v>146</v>
      </c>
      <c r="AT129"/>
      <c r="AU129"/>
      <c r="AV129"/>
      <c r="AW129" s="395"/>
      <c r="AX129" s="396">
        <f t="shared" ref="AX129:BD129" si="15">AVERAGE(AX107:AX128)</f>
        <v>0.0199649545454545</v>
      </c>
      <c r="AY129" s="396">
        <f t="shared" si="15"/>
        <v>0.0255208636363636</v>
      </c>
      <c r="AZ129" s="396">
        <f t="shared" si="15"/>
        <v>0.0335542272727273</v>
      </c>
      <c r="BA129" s="396">
        <f t="shared" si="15"/>
        <v>0.0841650909090909</v>
      </c>
      <c r="BB129" s="396">
        <f t="shared" si="15"/>
        <v>0.0678739090909091</v>
      </c>
      <c r="BC129" s="396">
        <f t="shared" si="15"/>
        <v>0.0619759523809524</v>
      </c>
      <c r="BD129" s="396">
        <f t="shared" si="15"/>
        <v>0.0688423529411765</v>
      </c>
      <c r="BE129" s="395"/>
      <c r="BF129" s="396">
        <f t="shared" ref="BF129:BU129" si="16">AVERAGE(BF107:BF128)</f>
        <v>0.0255208636363636</v>
      </c>
      <c r="BG129" s="396">
        <f t="shared" si="16"/>
        <v>0.0860720260146417</v>
      </c>
      <c r="BH129" s="396">
        <f t="shared" si="16"/>
        <v>0.0652053963063669</v>
      </c>
      <c r="BI129" s="396">
        <f t="shared" si="16"/>
        <v>0.030615015606629</v>
      </c>
      <c r="BJ129" s="396">
        <f t="shared" si="16"/>
        <v>0.0331778591023594</v>
      </c>
      <c r="BK129" s="396">
        <f t="shared" si="16"/>
        <v>0.0977521002769131</v>
      </c>
      <c r="BL129" s="396">
        <f t="shared" si="16"/>
        <v>0.082562612017004</v>
      </c>
      <c r="BM129" s="396">
        <f t="shared" si="16"/>
        <v>0.0512677814294076</v>
      </c>
      <c r="BN129" s="396">
        <f t="shared" si="16"/>
        <v>0.0389724364439447</v>
      </c>
      <c r="BO129" s="396">
        <f t="shared" si="16"/>
        <v>0.135223793187034</v>
      </c>
      <c r="BP129" s="396">
        <f t="shared" si="16"/>
        <v>0.0647761139635954</v>
      </c>
      <c r="BQ129" s="396">
        <f t="shared" si="16"/>
        <v>0.142094030951621</v>
      </c>
      <c r="BR129" s="396">
        <f t="shared" si="16"/>
        <v>0.0556363457756741</v>
      </c>
      <c r="BS129" s="396">
        <f t="shared" si="16"/>
        <v>0.101365014113702</v>
      </c>
      <c r="BT129" s="396">
        <f t="shared" si="16"/>
        <v>0.0837239906984618</v>
      </c>
      <c r="BU129" s="396">
        <f t="shared" si="16"/>
        <v>0.0464883544566916</v>
      </c>
    </row>
    <row r="130" spans="2:73">
      <c r="B130" s="339" t="s">
        <v>311</v>
      </c>
      <c r="C130" s="343">
        <v>1.7</v>
      </c>
      <c r="D130" s="344">
        <v>45838</v>
      </c>
      <c r="E130" s="345">
        <v>17125.7576</v>
      </c>
      <c r="F130" s="10">
        <v>-0.011821</v>
      </c>
      <c r="G130" s="10">
        <v>0.177941</v>
      </c>
      <c r="H130" s="10">
        <v>0.107678</v>
      </c>
      <c r="I130" s="10">
        <v>0.021797</v>
      </c>
      <c r="J130" s="10">
        <v>0.221285</v>
      </c>
      <c r="K130" s="10">
        <v>0.311423</v>
      </c>
      <c r="L130" s="23">
        <v>0.167161</v>
      </c>
      <c r="M130" s="20"/>
      <c r="N130" s="24">
        <v>-0.007574</v>
      </c>
      <c r="O130" s="25">
        <v>0.255984221005786</v>
      </c>
      <c r="P130" s="25">
        <v>0.412115710054999</v>
      </c>
      <c r="Q130" s="25">
        <v>0.00455990295818171</v>
      </c>
      <c r="R130" s="25">
        <v>0.588972677903149</v>
      </c>
      <c r="S130" s="25">
        <v>0.331198261977001</v>
      </c>
      <c r="T130" s="25">
        <v>0.00743396226415091</v>
      </c>
      <c r="U130" s="25">
        <v>-0.254539572696457</v>
      </c>
      <c r="V130" s="25">
        <v>0.427736610639195</v>
      </c>
      <c r="W130" s="25">
        <v>0.127470736069916</v>
      </c>
      <c r="X130" s="25">
        <v>0.203690077126428</v>
      </c>
      <c r="Y130" s="25">
        <v>1.01798383105098</v>
      </c>
      <c r="Z130" s="25">
        <v>0.0375463623395151</v>
      </c>
      <c r="AA130" s="25">
        <v>0.404697018275088</v>
      </c>
      <c r="AB130" s="25">
        <v>-0.271644579368323</v>
      </c>
      <c r="AC130" s="25">
        <v>0.438565549676661</v>
      </c>
      <c r="AD130" s="25">
        <v>1.15823817292007</v>
      </c>
      <c r="AE130" s="25">
        <v>-0.633494984388494</v>
      </c>
      <c r="AF130" s="25">
        <v>0.5053</v>
      </c>
      <c r="AG130" s="25" t="s">
        <v>113</v>
      </c>
      <c r="AH130" s="25" t="s">
        <v>113</v>
      </c>
      <c r="AI130" s="25" t="s">
        <v>113</v>
      </c>
      <c r="AJ130" s="25" t="s">
        <v>113</v>
      </c>
      <c r="AK130" s="25" t="s">
        <v>113</v>
      </c>
      <c r="AL130" s="25" t="s">
        <v>113</v>
      </c>
      <c r="AM130" s="365" t="s">
        <v>113</v>
      </c>
      <c r="AS130" s="4" t="s">
        <v>162</v>
      </c>
      <c r="AT130"/>
      <c r="AU130"/>
      <c r="AV130"/>
      <c r="AW130"/>
      <c r="AX130" s="397">
        <v>0.0087263867959253</v>
      </c>
      <c r="AY130" s="397">
        <v>0.0207643930788102</v>
      </c>
      <c r="AZ130" s="397">
        <v>0.0377184412193585</v>
      </c>
      <c r="BA130" s="397">
        <v>0.080280059411505</v>
      </c>
      <c r="BB130" s="397">
        <v>0.0659301709109001</v>
      </c>
      <c r="BC130" s="397">
        <v>0.0655149768088614</v>
      </c>
      <c r="BD130" s="397">
        <v>0.0738047315298365</v>
      </c>
      <c r="BE130" s="400"/>
      <c r="BF130" s="397">
        <v>0.0207643930788102</v>
      </c>
      <c r="BG130" s="397">
        <v>0.0797029257152309</v>
      </c>
      <c r="BH130" s="397">
        <v>0.0725988870220093</v>
      </c>
      <c r="BI130" s="397">
        <v>0.0358682288812193</v>
      </c>
      <c r="BJ130" s="397">
        <v>0.0437965988907254</v>
      </c>
      <c r="BK130" s="397">
        <v>0.104161972570555</v>
      </c>
      <c r="BL130" s="397">
        <v>0.0953364838894115</v>
      </c>
      <c r="BM130" s="397">
        <v>0.0665068187794211</v>
      </c>
      <c r="BN130" s="397">
        <v>0.0602957159773323</v>
      </c>
      <c r="BO130" s="397">
        <v>0.0986738756953636</v>
      </c>
      <c r="BP130" s="397">
        <v>0.0865549936165921</v>
      </c>
      <c r="BQ130" s="397">
        <v>0.104681934209951</v>
      </c>
      <c r="BR130" s="397">
        <v>0.0827206164504672</v>
      </c>
      <c r="BS130" s="397">
        <v>0.0912371315059957</v>
      </c>
      <c r="BT130" s="397">
        <v>0.0786771029274067</v>
      </c>
      <c r="BU130" s="397">
        <v>0.0470040326565153</v>
      </c>
    </row>
    <row r="131" ht="14.55" spans="2:73">
      <c r="B131" s="339" t="s">
        <v>312</v>
      </c>
      <c r="C131" s="343">
        <v>1.74</v>
      </c>
      <c r="D131" s="344">
        <v>45838</v>
      </c>
      <c r="E131" s="345">
        <v>13995.274485441</v>
      </c>
      <c r="F131" s="10">
        <v>-0.016176</v>
      </c>
      <c r="G131" s="10">
        <v>0.093822</v>
      </c>
      <c r="H131" s="10">
        <v>0.056344</v>
      </c>
      <c r="I131" s="10">
        <v>-0.072116</v>
      </c>
      <c r="J131" s="10">
        <v>0.253185</v>
      </c>
      <c r="K131" s="10">
        <v>0.329442</v>
      </c>
      <c r="L131" s="23">
        <v>0.157511</v>
      </c>
      <c r="M131" s="20"/>
      <c r="N131" s="24">
        <v>-0.037185</v>
      </c>
      <c r="O131" s="25">
        <v>0.231632706252246</v>
      </c>
      <c r="P131" s="25">
        <v>0.521459460361985</v>
      </c>
      <c r="Q131" s="25">
        <v>0.0357916855372969</v>
      </c>
      <c r="R131" s="25">
        <v>0.563656061548446</v>
      </c>
      <c r="S131" s="25">
        <v>0.186869618942926</v>
      </c>
      <c r="T131" s="25">
        <v>-0.0502076744274663</v>
      </c>
      <c r="U131" s="25">
        <v>-0.174195294332367</v>
      </c>
      <c r="V131" s="25">
        <v>0.434623328254613</v>
      </c>
      <c r="W131" s="25">
        <v>0.101931629373899</v>
      </c>
      <c r="X131" s="25">
        <v>0.0956161076093384</v>
      </c>
      <c r="Y131" s="25">
        <v>0.899176582013156</v>
      </c>
      <c r="Z131" s="25">
        <v>0.13224651481679</v>
      </c>
      <c r="AA131" s="25">
        <v>0.517005653735377</v>
      </c>
      <c r="AB131" s="25">
        <v>-0.259092405980373</v>
      </c>
      <c r="AC131" s="25">
        <v>0.185949509466975</v>
      </c>
      <c r="AD131" s="25">
        <v>1.0455039304659</v>
      </c>
      <c r="AE131" s="25">
        <v>-0.631553540943074</v>
      </c>
      <c r="AF131" s="25">
        <v>0.561305147058823</v>
      </c>
      <c r="AG131" s="25">
        <v>0.0880000000000001</v>
      </c>
      <c r="AH131" s="25" t="s">
        <v>113</v>
      </c>
      <c r="AI131" s="25" t="s">
        <v>113</v>
      </c>
      <c r="AJ131" s="25" t="s">
        <v>113</v>
      </c>
      <c r="AK131" s="25" t="s">
        <v>113</v>
      </c>
      <c r="AL131" s="25" t="s">
        <v>113</v>
      </c>
      <c r="AM131" s="365" t="s">
        <v>113</v>
      </c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</row>
    <row r="132" ht="14.55" spans="2:73">
      <c r="B132" s="339" t="s">
        <v>313</v>
      </c>
      <c r="C132" s="343">
        <v>1.57</v>
      </c>
      <c r="D132" s="344">
        <v>45838</v>
      </c>
      <c r="E132" s="345">
        <v>35780.5878</v>
      </c>
      <c r="F132" s="10">
        <v>0.004435</v>
      </c>
      <c r="G132" s="10">
        <v>0.14936</v>
      </c>
      <c r="H132" s="10">
        <v>0.111308</v>
      </c>
      <c r="I132" s="10">
        <v>0.013985</v>
      </c>
      <c r="J132" s="10">
        <v>0.257333</v>
      </c>
      <c r="K132" s="10">
        <v>0.331183</v>
      </c>
      <c r="L132" s="23">
        <v>0.179806</v>
      </c>
      <c r="M132" s="20"/>
      <c r="N132" s="24">
        <v>0.015632</v>
      </c>
      <c r="O132" s="25">
        <v>0.204101942797802</v>
      </c>
      <c r="P132" s="25">
        <v>0.448384347346519</v>
      </c>
      <c r="Q132" s="25">
        <v>0.0459098059779758</v>
      </c>
      <c r="R132" s="25">
        <v>0.648833841298662</v>
      </c>
      <c r="S132" s="25">
        <v>0.201698789547509</v>
      </c>
      <c r="T132" s="25">
        <v>-0.0949313522663157</v>
      </c>
      <c r="U132" s="25">
        <v>-0.0807797035052081</v>
      </c>
      <c r="V132" s="25">
        <v>0.607517543250191</v>
      </c>
      <c r="W132" s="25">
        <v>0.0543163754898729</v>
      </c>
      <c r="X132" s="25">
        <v>0.0642369908399922</v>
      </c>
      <c r="Y132" s="25">
        <v>0.51482050070855</v>
      </c>
      <c r="Z132" s="25">
        <v>0.0751650584052818</v>
      </c>
      <c r="AA132" s="25">
        <v>0.315736719011026</v>
      </c>
      <c r="AB132" s="25">
        <v>-0.262126348228043</v>
      </c>
      <c r="AC132" s="25">
        <v>0.232715392797447</v>
      </c>
      <c r="AD132" s="25">
        <v>1.04919819399035</v>
      </c>
      <c r="AE132" s="25">
        <v>-0.3577</v>
      </c>
      <c r="AF132" s="25" t="s">
        <v>113</v>
      </c>
      <c r="AG132" s="25" t="s">
        <v>113</v>
      </c>
      <c r="AH132" s="25" t="s">
        <v>113</v>
      </c>
      <c r="AI132" s="25" t="s">
        <v>113</v>
      </c>
      <c r="AJ132" s="25" t="s">
        <v>113</v>
      </c>
      <c r="AK132" s="25" t="s">
        <v>113</v>
      </c>
      <c r="AL132" s="25" t="s">
        <v>113</v>
      </c>
      <c r="AM132" s="365" t="s">
        <v>113</v>
      </c>
      <c r="AS132" s="384" t="s">
        <v>314</v>
      </c>
      <c r="AT132" s="369" t="s">
        <v>16</v>
      </c>
      <c r="AU132" s="370" t="s">
        <v>99</v>
      </c>
      <c r="AV132" s="371"/>
      <c r="AW132" s="386"/>
      <c r="AX132" s="360" t="s">
        <v>102</v>
      </c>
      <c r="AY132" s="361"/>
      <c r="AZ132" s="361"/>
      <c r="BA132" s="361"/>
      <c r="BB132" s="361"/>
      <c r="BC132" s="361"/>
      <c r="BD132" s="364"/>
      <c r="BE132" s="386"/>
      <c r="BF132" s="398" t="s">
        <v>103</v>
      </c>
      <c r="BG132" s="399"/>
      <c r="BH132" s="399"/>
      <c r="BI132" s="399"/>
      <c r="BJ132" s="399"/>
      <c r="BK132" s="399"/>
      <c r="BL132" s="399"/>
      <c r="BM132" s="399"/>
      <c r="BN132" s="399"/>
      <c r="BO132" s="399"/>
      <c r="BP132" s="399"/>
      <c r="BQ132" s="399"/>
      <c r="BR132" s="399"/>
      <c r="BS132" s="399"/>
      <c r="BT132" s="399"/>
      <c r="BU132" s="401"/>
    </row>
    <row r="133" ht="14.55" spans="2:73">
      <c r="B133" s="339" t="s">
        <v>315</v>
      </c>
      <c r="C133" s="343">
        <v>1.67</v>
      </c>
      <c r="D133" s="344">
        <v>45838</v>
      </c>
      <c r="E133" s="345">
        <v>16909.2085</v>
      </c>
      <c r="F133" s="10">
        <v>-0.02513</v>
      </c>
      <c r="G133" s="10">
        <v>0.114839</v>
      </c>
      <c r="H133" s="10">
        <v>0.047781</v>
      </c>
      <c r="I133" s="10">
        <v>-0.064389</v>
      </c>
      <c r="J133" s="10">
        <v>0.224645</v>
      </c>
      <c r="K133" s="10">
        <v>0.338036</v>
      </c>
      <c r="L133" s="23">
        <v>0.182493</v>
      </c>
      <c r="M133" s="20"/>
      <c r="N133" s="24">
        <v>-0.075924</v>
      </c>
      <c r="O133" s="25">
        <v>0.285029445040759</v>
      </c>
      <c r="P133" s="25">
        <v>0.460545856292728</v>
      </c>
      <c r="Q133" s="25">
        <v>0.0100982217371766</v>
      </c>
      <c r="R133" s="25">
        <v>0.774145785876993</v>
      </c>
      <c r="S133" s="25">
        <v>0.154554221092312</v>
      </c>
      <c r="T133" s="25">
        <v>-0.0814880425155005</v>
      </c>
      <c r="U133" s="25">
        <v>-0.137179977072984</v>
      </c>
      <c r="V133" s="25">
        <v>0.664950838635049</v>
      </c>
      <c r="W133" s="25">
        <v>0.102116267210607</v>
      </c>
      <c r="X133" s="25">
        <v>0.123219016252595</v>
      </c>
      <c r="Y133" s="25">
        <v>0.3967</v>
      </c>
      <c r="Z133" s="25" t="s">
        <v>113</v>
      </c>
      <c r="AA133" s="25" t="s">
        <v>113</v>
      </c>
      <c r="AB133" s="25" t="s">
        <v>113</v>
      </c>
      <c r="AC133" s="25" t="s">
        <v>113</v>
      </c>
      <c r="AD133" s="25" t="s">
        <v>113</v>
      </c>
      <c r="AE133" s="25" t="s">
        <v>113</v>
      </c>
      <c r="AF133" s="25" t="s">
        <v>113</v>
      </c>
      <c r="AG133" s="25" t="s">
        <v>113</v>
      </c>
      <c r="AH133" s="25" t="s">
        <v>113</v>
      </c>
      <c r="AI133" s="25" t="s">
        <v>113</v>
      </c>
      <c r="AJ133" s="25" t="s">
        <v>113</v>
      </c>
      <c r="AK133" s="25" t="s">
        <v>113</v>
      </c>
      <c r="AL133" s="25" t="s">
        <v>113</v>
      </c>
      <c r="AM133" s="365" t="s">
        <v>113</v>
      </c>
      <c r="AS133" s="385"/>
      <c r="AT133" s="373" t="s">
        <v>110</v>
      </c>
      <c r="AU133" s="374" t="s">
        <v>104</v>
      </c>
      <c r="AV133" s="375" t="s">
        <v>105</v>
      </c>
      <c r="AW133" s="387"/>
      <c r="AX133" s="16" t="s">
        <v>89</v>
      </c>
      <c r="AY133" s="18" t="s">
        <v>90</v>
      </c>
      <c r="AZ133" s="18" t="s">
        <v>91</v>
      </c>
      <c r="BA133" s="18" t="s">
        <v>20</v>
      </c>
      <c r="BB133" s="18" t="s">
        <v>92</v>
      </c>
      <c r="BC133" s="18" t="s">
        <v>93</v>
      </c>
      <c r="BD133" s="273" t="s">
        <v>111</v>
      </c>
      <c r="BE133" s="387"/>
      <c r="BF133" s="16">
        <v>2025</v>
      </c>
      <c r="BG133" s="16">
        <v>2024</v>
      </c>
      <c r="BH133" s="16">
        <v>2023</v>
      </c>
      <c r="BI133" s="18">
        <v>2022</v>
      </c>
      <c r="BJ133" s="18">
        <v>2021</v>
      </c>
      <c r="BK133" s="18">
        <v>2020</v>
      </c>
      <c r="BL133" s="18">
        <v>2019</v>
      </c>
      <c r="BM133" s="18">
        <v>2018</v>
      </c>
      <c r="BN133" s="18">
        <v>2017</v>
      </c>
      <c r="BO133" s="18">
        <v>2016</v>
      </c>
      <c r="BP133" s="18">
        <v>2015</v>
      </c>
      <c r="BQ133" s="18">
        <v>2014</v>
      </c>
      <c r="BR133" s="18">
        <v>2013</v>
      </c>
      <c r="BS133" s="18">
        <v>2012</v>
      </c>
      <c r="BT133" s="18">
        <v>2011</v>
      </c>
      <c r="BU133" s="273">
        <v>2010</v>
      </c>
    </row>
    <row r="134" spans="2:73">
      <c r="B134" s="339" t="s">
        <v>316</v>
      </c>
      <c r="C134" s="343">
        <v>1.78</v>
      </c>
      <c r="D134" s="344">
        <v>45838</v>
      </c>
      <c r="E134" s="345">
        <v>8565.60389510969</v>
      </c>
      <c r="F134" s="10">
        <v>-0.009032</v>
      </c>
      <c r="G134" s="10">
        <v>0.11355</v>
      </c>
      <c r="H134" s="10">
        <v>0.070496</v>
      </c>
      <c r="I134" s="10">
        <v>-0.041184</v>
      </c>
      <c r="J134" s="10">
        <v>0.189011</v>
      </c>
      <c r="K134" s="10">
        <v>0.312707</v>
      </c>
      <c r="L134" s="23">
        <v>0.15307</v>
      </c>
      <c r="M134" s="20"/>
      <c r="N134" s="24">
        <v>0.017741</v>
      </c>
      <c r="O134" s="25">
        <v>0.155877228253585</v>
      </c>
      <c r="P134" s="25">
        <v>0.37936772046589</v>
      </c>
      <c r="Q134" s="25">
        <v>0.0574780058651027</v>
      </c>
      <c r="R134" s="25">
        <v>0.610009442870633</v>
      </c>
      <c r="S134" s="25">
        <v>0.227588871715611</v>
      </c>
      <c r="T134" s="25">
        <v>0.100340136054422</v>
      </c>
      <c r="U134" s="25">
        <v>-0.223506107626279</v>
      </c>
      <c r="V134" s="25">
        <v>0.427426955702168</v>
      </c>
      <c r="W134" s="25">
        <v>0.0599400599400599</v>
      </c>
      <c r="X134" s="25">
        <v>0.00451580531861515</v>
      </c>
      <c r="Y134" s="25">
        <v>0.506424792139078</v>
      </c>
      <c r="Z134" s="25">
        <v>0.0879934210526316</v>
      </c>
      <c r="AA134" s="25">
        <v>0.260103626943005</v>
      </c>
      <c r="AB134" s="25">
        <v>-0.150528169014084</v>
      </c>
      <c r="AC134" s="25">
        <v>0.173553719008264</v>
      </c>
      <c r="AD134" s="25">
        <v>0.809345794392523</v>
      </c>
      <c r="AE134" s="25">
        <v>-0.506001846722068</v>
      </c>
      <c r="AF134" s="25">
        <v>0.083</v>
      </c>
      <c r="AG134" s="25" t="s">
        <v>113</v>
      </c>
      <c r="AH134" s="25" t="s">
        <v>113</v>
      </c>
      <c r="AI134" s="25" t="s">
        <v>113</v>
      </c>
      <c r="AJ134" s="25" t="s">
        <v>113</v>
      </c>
      <c r="AK134" s="25" t="s">
        <v>113</v>
      </c>
      <c r="AL134" s="25" t="s">
        <v>113</v>
      </c>
      <c r="AM134" s="365" t="s">
        <v>113</v>
      </c>
      <c r="AS134" s="379" t="s">
        <v>317</v>
      </c>
      <c r="AT134" s="382">
        <v>0.43</v>
      </c>
      <c r="AU134" s="383">
        <v>45716</v>
      </c>
      <c r="AV134" s="382">
        <v>13190.3419</v>
      </c>
      <c r="AW134" s="33"/>
      <c r="AX134" s="394">
        <v>0.009017</v>
      </c>
      <c r="AY134" s="394">
        <v>0.020366</v>
      </c>
      <c r="AZ134" s="394">
        <v>0.039439</v>
      </c>
      <c r="BA134" s="394">
        <v>0.079298</v>
      </c>
      <c r="BB134" s="394">
        <v>0.07006</v>
      </c>
      <c r="BC134" s="394">
        <v>0.065305</v>
      </c>
      <c r="BD134" s="394">
        <v>0.073446</v>
      </c>
      <c r="BE134" s="34"/>
      <c r="BF134" s="394">
        <v>0.020366</v>
      </c>
      <c r="BG134" s="394">
        <v>0.0793884553929259</v>
      </c>
      <c r="BH134" s="394">
        <v>0.0745073279687325</v>
      </c>
      <c r="BI134" s="394">
        <v>0.0480579333300558</v>
      </c>
      <c r="BJ134" s="394">
        <v>0.0363132223470163</v>
      </c>
      <c r="BK134" s="394">
        <v>0.0863372295632424</v>
      </c>
      <c r="BL134" s="394">
        <v>0.0861178226613005</v>
      </c>
      <c r="BM134" s="394">
        <v>0.0750618981328115</v>
      </c>
      <c r="BN134" s="394">
        <v>0.0686172999165126</v>
      </c>
      <c r="BO134" s="394">
        <v>0.0952882831546218</v>
      </c>
      <c r="BP134" s="394">
        <v>0.0891151402126945</v>
      </c>
      <c r="BQ134" s="394">
        <v>0.0956791691851788</v>
      </c>
      <c r="BR134" s="394">
        <v>0.0959030183657797</v>
      </c>
      <c r="BS134" s="394">
        <v>0.101474915777902</v>
      </c>
      <c r="BT134" s="394">
        <v>0.0935349202566615</v>
      </c>
      <c r="BU134" s="394">
        <v>0.0651493358152129</v>
      </c>
    </row>
    <row r="135" spans="2:73">
      <c r="B135" s="339" t="s">
        <v>318</v>
      </c>
      <c r="C135" s="343">
        <v>1.75</v>
      </c>
      <c r="D135" s="344">
        <v>45838</v>
      </c>
      <c r="E135" s="345">
        <v>7424.6399</v>
      </c>
      <c r="F135" s="10">
        <v>-0.0274</v>
      </c>
      <c r="G135" s="10">
        <v>0.102762</v>
      </c>
      <c r="H135" s="10">
        <v>0.067609</v>
      </c>
      <c r="I135" s="10">
        <v>0.03825</v>
      </c>
      <c r="J135" s="10">
        <v>0.26719</v>
      </c>
      <c r="K135" s="10">
        <v>0.324252</v>
      </c>
      <c r="L135" s="23" t="s">
        <v>113</v>
      </c>
      <c r="M135" s="20"/>
      <c r="N135" s="24">
        <v>-0.033512</v>
      </c>
      <c r="O135" s="25">
        <v>0.374160537256156</v>
      </c>
      <c r="P135" s="25">
        <v>0.441013824884793</v>
      </c>
      <c r="Q135" s="25">
        <v>-0.0068649885583525</v>
      </c>
      <c r="R135" s="25">
        <v>0.62332838038633</v>
      </c>
      <c r="S135" s="25">
        <v>0.24860853432282</v>
      </c>
      <c r="T135" s="25">
        <v>0.0385356454720615</v>
      </c>
      <c r="U135" s="25">
        <v>0.0380000000000001</v>
      </c>
      <c r="V135" s="25" t="s">
        <v>113</v>
      </c>
      <c r="W135" s="25" t="s">
        <v>113</v>
      </c>
      <c r="X135" s="25" t="s">
        <v>113</v>
      </c>
      <c r="Y135" s="25" t="s">
        <v>113</v>
      </c>
      <c r="Z135" s="25" t="s">
        <v>113</v>
      </c>
      <c r="AA135" s="25" t="s">
        <v>113</v>
      </c>
      <c r="AB135" s="25" t="s">
        <v>113</v>
      </c>
      <c r="AC135" s="25" t="s">
        <v>113</v>
      </c>
      <c r="AD135" s="25" t="s">
        <v>113</v>
      </c>
      <c r="AE135" s="25" t="s">
        <v>113</v>
      </c>
      <c r="AF135" s="25" t="s">
        <v>113</v>
      </c>
      <c r="AG135" s="25" t="s">
        <v>113</v>
      </c>
      <c r="AH135" s="25" t="s">
        <v>113</v>
      </c>
      <c r="AI135" s="25" t="s">
        <v>113</v>
      </c>
      <c r="AJ135" s="25" t="s">
        <v>113</v>
      </c>
      <c r="AK135" s="25" t="s">
        <v>113</v>
      </c>
      <c r="AL135" s="25" t="s">
        <v>113</v>
      </c>
      <c r="AM135" s="365" t="s">
        <v>113</v>
      </c>
      <c r="AS135" s="379" t="s">
        <v>319</v>
      </c>
      <c r="AT135" s="382">
        <v>0.53</v>
      </c>
      <c r="AU135" s="383">
        <v>45716</v>
      </c>
      <c r="AV135" s="382">
        <v>165.8735</v>
      </c>
      <c r="AW135" s="33"/>
      <c r="AX135" s="394">
        <v>0.023856</v>
      </c>
      <c r="AY135" s="394">
        <v>0.029185</v>
      </c>
      <c r="AZ135" s="394">
        <v>0.037652</v>
      </c>
      <c r="BA135" s="394">
        <v>0.09721</v>
      </c>
      <c r="BB135" s="394">
        <v>0.07595</v>
      </c>
      <c r="BC135" s="394" t="s">
        <v>113</v>
      </c>
      <c r="BD135" s="394" t="s">
        <v>113</v>
      </c>
      <c r="BE135" s="34"/>
      <c r="BF135" s="394">
        <v>0.029185</v>
      </c>
      <c r="BG135" s="394">
        <v>0.0930906085200309</v>
      </c>
      <c r="BH135" s="394">
        <v>0.0714310526651638</v>
      </c>
      <c r="BI135" s="394">
        <v>0.045464158412285</v>
      </c>
      <c r="BJ135" s="394">
        <v>0.0133103</v>
      </c>
      <c r="BK135" s="394" t="s">
        <v>113</v>
      </c>
      <c r="BL135" s="394" t="s">
        <v>113</v>
      </c>
      <c r="BM135" s="394" t="s">
        <v>113</v>
      </c>
      <c r="BN135" s="394" t="s">
        <v>113</v>
      </c>
      <c r="BO135" s="394" t="s">
        <v>113</v>
      </c>
      <c r="BP135" s="394" t="s">
        <v>113</v>
      </c>
      <c r="BQ135" s="394" t="s">
        <v>113</v>
      </c>
      <c r="BR135" s="394" t="s">
        <v>113</v>
      </c>
      <c r="BS135" s="394" t="s">
        <v>113</v>
      </c>
      <c r="BT135" s="394" t="s">
        <v>113</v>
      </c>
      <c r="BU135" s="394" t="s">
        <v>113</v>
      </c>
    </row>
    <row r="136" spans="2:73">
      <c r="B136" s="339" t="s">
        <v>320</v>
      </c>
      <c r="C136" s="343">
        <v>1.65</v>
      </c>
      <c r="D136" s="344">
        <v>45838</v>
      </c>
      <c r="E136" s="345">
        <v>18031.0194</v>
      </c>
      <c r="F136" s="10">
        <v>-0.013589</v>
      </c>
      <c r="G136" s="10">
        <v>0.110807</v>
      </c>
      <c r="H136" s="10">
        <v>0.046126</v>
      </c>
      <c r="I136" s="10">
        <v>-0.050666</v>
      </c>
      <c r="J136" s="10">
        <v>0.18373</v>
      </c>
      <c r="K136" s="10">
        <v>0.310226</v>
      </c>
      <c r="L136" s="23">
        <v>0.169555</v>
      </c>
      <c r="M136" s="20"/>
      <c r="N136" s="24">
        <v>-0.041742</v>
      </c>
      <c r="O136" s="25">
        <v>0.254552762717361</v>
      </c>
      <c r="P136" s="25">
        <v>0.348342078683517</v>
      </c>
      <c r="Q136" s="25">
        <v>-0.0307190869040938</v>
      </c>
      <c r="R136" s="25">
        <v>0.709402232698626</v>
      </c>
      <c r="S136" s="25">
        <v>0.342107425566299</v>
      </c>
      <c r="T136" s="25">
        <v>0.0504373345609391</v>
      </c>
      <c r="U136" s="25">
        <v>-0.173017667003748</v>
      </c>
      <c r="V136" s="25">
        <v>0.440235084472773</v>
      </c>
      <c r="W136" s="25">
        <v>0.0886198727873012</v>
      </c>
      <c r="X136" s="25">
        <v>0.0736372011054592</v>
      </c>
      <c r="Y136" s="25">
        <v>0.740224437164564</v>
      </c>
      <c r="Z136" s="25">
        <v>-0.0491118769883351</v>
      </c>
      <c r="AA136" s="25">
        <v>0.502339938265459</v>
      </c>
      <c r="AB136" s="25">
        <v>-0.268988608654511</v>
      </c>
      <c r="AC136" s="25">
        <v>0.280024224354794</v>
      </c>
      <c r="AD136" s="25">
        <v>0.884304775280899</v>
      </c>
      <c r="AE136" s="25">
        <v>-0.629202877323178</v>
      </c>
      <c r="AF136" s="25">
        <v>0.56065224017068</v>
      </c>
      <c r="AG136" s="25">
        <v>0.309780439121757</v>
      </c>
      <c r="AH136" s="25">
        <v>0.503</v>
      </c>
      <c r="AI136" s="25" t="s">
        <v>113</v>
      </c>
      <c r="AJ136" s="25" t="s">
        <v>113</v>
      </c>
      <c r="AK136" s="25" t="s">
        <v>113</v>
      </c>
      <c r="AL136" s="25" t="s">
        <v>113</v>
      </c>
      <c r="AM136" s="365" t="s">
        <v>113</v>
      </c>
      <c r="AS136" s="379" t="s">
        <v>321</v>
      </c>
      <c r="AT136" s="382">
        <v>0.79</v>
      </c>
      <c r="AU136" s="383">
        <v>45716</v>
      </c>
      <c r="AV136" s="382">
        <v>267.4407</v>
      </c>
      <c r="AW136" s="33"/>
      <c r="AX136" s="394">
        <v>0.011155</v>
      </c>
      <c r="AY136" s="394">
        <v>0.022785</v>
      </c>
      <c r="AZ136" s="394">
        <v>0.039685</v>
      </c>
      <c r="BA136" s="394">
        <v>0.084913</v>
      </c>
      <c r="BB136" s="394">
        <v>0.065755</v>
      </c>
      <c r="BC136" s="394" t="s">
        <v>113</v>
      </c>
      <c r="BD136" s="394" t="s">
        <v>113</v>
      </c>
      <c r="BE136" s="34"/>
      <c r="BF136" s="394">
        <v>0.022785</v>
      </c>
      <c r="BG136" s="394">
        <v>0.0795250562594679</v>
      </c>
      <c r="BH136" s="394">
        <v>0.067577168283882</v>
      </c>
      <c r="BI136" s="394">
        <v>0.0371023878542274</v>
      </c>
      <c r="BJ136" s="394">
        <v>0.03147</v>
      </c>
      <c r="BK136" s="394" t="s">
        <v>113</v>
      </c>
      <c r="BL136" s="394" t="s">
        <v>113</v>
      </c>
      <c r="BM136" s="394" t="s">
        <v>113</v>
      </c>
      <c r="BN136" s="394" t="s">
        <v>113</v>
      </c>
      <c r="BO136" s="394" t="s">
        <v>113</v>
      </c>
      <c r="BP136" s="394" t="s">
        <v>113</v>
      </c>
      <c r="BQ136" s="394" t="s">
        <v>113</v>
      </c>
      <c r="BR136" s="394" t="s">
        <v>113</v>
      </c>
      <c r="BS136" s="394" t="s">
        <v>113</v>
      </c>
      <c r="BT136" s="394" t="s">
        <v>113</v>
      </c>
      <c r="BU136" s="394" t="s">
        <v>113</v>
      </c>
    </row>
    <row r="137" spans="2:73">
      <c r="B137" s="339" t="s">
        <v>322</v>
      </c>
      <c r="C137" s="343">
        <v>1.04</v>
      </c>
      <c r="D137" s="344">
        <v>45838</v>
      </c>
      <c r="E137" s="345">
        <v>978.2957</v>
      </c>
      <c r="F137" s="10">
        <v>-0.036461</v>
      </c>
      <c r="G137" s="10">
        <v>0.115579</v>
      </c>
      <c r="H137" s="10">
        <v>0.080531</v>
      </c>
      <c r="I137" s="10">
        <v>-0.049457</v>
      </c>
      <c r="J137" s="10">
        <v>0.242256</v>
      </c>
      <c r="K137" s="10">
        <v>0.307266</v>
      </c>
      <c r="L137" s="23" t="s">
        <v>113</v>
      </c>
      <c r="M137" s="20"/>
      <c r="N137" s="24">
        <v>-0.035638</v>
      </c>
      <c r="O137" s="25">
        <v>0.255979774437575</v>
      </c>
      <c r="P137" s="25">
        <v>0.472957902188776</v>
      </c>
      <c r="Q137" s="25">
        <v>-0.0411333404624304</v>
      </c>
      <c r="R137" s="25">
        <v>0.60116282532309</v>
      </c>
      <c r="S137" s="25">
        <v>0.251099023917741</v>
      </c>
      <c r="T137" s="25">
        <v>0.07368</v>
      </c>
      <c r="U137" s="25" t="s">
        <v>113</v>
      </c>
      <c r="V137" s="25" t="s">
        <v>113</v>
      </c>
      <c r="W137" s="25" t="s">
        <v>113</v>
      </c>
      <c r="X137" s="25" t="s">
        <v>113</v>
      </c>
      <c r="Y137" s="25" t="s">
        <v>113</v>
      </c>
      <c r="Z137" s="25" t="s">
        <v>113</v>
      </c>
      <c r="AA137" s="25" t="s">
        <v>113</v>
      </c>
      <c r="AB137" s="25" t="s">
        <v>113</v>
      </c>
      <c r="AC137" s="25" t="s">
        <v>113</v>
      </c>
      <c r="AD137" s="25" t="s">
        <v>113</v>
      </c>
      <c r="AE137" s="25" t="s">
        <v>113</v>
      </c>
      <c r="AF137" s="25" t="s">
        <v>113</v>
      </c>
      <c r="AG137" s="25" t="s">
        <v>113</v>
      </c>
      <c r="AH137" s="25" t="s">
        <v>113</v>
      </c>
      <c r="AI137" s="25" t="s">
        <v>113</v>
      </c>
      <c r="AJ137" s="25" t="s">
        <v>113</v>
      </c>
      <c r="AK137" s="25" t="s">
        <v>113</v>
      </c>
      <c r="AL137" s="25" t="s">
        <v>113</v>
      </c>
      <c r="AM137" s="365" t="s">
        <v>113</v>
      </c>
      <c r="AS137" s="379" t="s">
        <v>323</v>
      </c>
      <c r="AT137" s="382">
        <v>0.49</v>
      </c>
      <c r="AU137" s="383">
        <v>45716</v>
      </c>
      <c r="AV137" s="382">
        <v>575.005</v>
      </c>
      <c r="AW137" s="33"/>
      <c r="AX137" s="394">
        <v>0.011873</v>
      </c>
      <c r="AY137" s="394">
        <v>0.022995</v>
      </c>
      <c r="AZ137" s="394">
        <v>0.038584</v>
      </c>
      <c r="BA137" s="394">
        <v>0.089386</v>
      </c>
      <c r="BB137" s="394">
        <v>0.072854</v>
      </c>
      <c r="BC137" s="394" t="s">
        <v>113</v>
      </c>
      <c r="BD137" s="394" t="s">
        <v>113</v>
      </c>
      <c r="BE137" s="34"/>
      <c r="BF137" s="394">
        <v>0.022995</v>
      </c>
      <c r="BG137" s="394">
        <v>0.0904996117007507</v>
      </c>
      <c r="BH137" s="394">
        <v>0.0788594196557407</v>
      </c>
      <c r="BI137" s="394">
        <v>0.0304672735819191</v>
      </c>
      <c r="BJ137" s="394">
        <v>0.0424300000000001</v>
      </c>
      <c r="BK137" s="394" t="s">
        <v>113</v>
      </c>
      <c r="BL137" s="394" t="s">
        <v>113</v>
      </c>
      <c r="BM137" s="394" t="s">
        <v>113</v>
      </c>
      <c r="BN137" s="394" t="s">
        <v>113</v>
      </c>
      <c r="BO137" s="394" t="s">
        <v>113</v>
      </c>
      <c r="BP137" s="394" t="s">
        <v>113</v>
      </c>
      <c r="BQ137" s="394" t="s">
        <v>113</v>
      </c>
      <c r="BR137" s="394" t="s">
        <v>113</v>
      </c>
      <c r="BS137" s="394" t="s">
        <v>113</v>
      </c>
      <c r="BT137" s="394" t="s">
        <v>113</v>
      </c>
      <c r="BU137" s="394" t="s">
        <v>113</v>
      </c>
    </row>
    <row r="138" spans="2:73">
      <c r="B138" s="339" t="s">
        <v>324</v>
      </c>
      <c r="C138" s="343">
        <v>1.4</v>
      </c>
      <c r="D138" s="344">
        <v>45838</v>
      </c>
      <c r="E138" s="345">
        <v>66601.7954</v>
      </c>
      <c r="F138" s="10">
        <v>-0.022688</v>
      </c>
      <c r="G138" s="10">
        <v>0.097094</v>
      </c>
      <c r="H138" s="10">
        <v>0.069341</v>
      </c>
      <c r="I138" s="10">
        <v>-0.058962</v>
      </c>
      <c r="J138" s="10">
        <v>0.256801</v>
      </c>
      <c r="K138" s="10">
        <v>0.361313</v>
      </c>
      <c r="L138" s="23">
        <v>0.205669</v>
      </c>
      <c r="M138" s="20"/>
      <c r="N138" s="24">
        <v>-0.029795</v>
      </c>
      <c r="O138" s="25">
        <v>0.260709564368574</v>
      </c>
      <c r="P138" s="25">
        <v>0.489195367200537</v>
      </c>
      <c r="Q138" s="25">
        <v>0.0654117819561447</v>
      </c>
      <c r="R138" s="25">
        <v>0.74337518547883</v>
      </c>
      <c r="S138" s="25">
        <v>0.292375790424571</v>
      </c>
      <c r="T138" s="25">
        <v>-0.025160397534281</v>
      </c>
      <c r="U138" s="25">
        <v>-0.166902478645915</v>
      </c>
      <c r="V138" s="25">
        <v>0.629682893752498</v>
      </c>
      <c r="W138" s="25">
        <v>0.0556376932840988</v>
      </c>
      <c r="X138" s="25">
        <v>0.151068625294189</v>
      </c>
      <c r="Y138" s="25">
        <v>0.976025262467192</v>
      </c>
      <c r="Z138" s="25">
        <v>0.118870850808043</v>
      </c>
      <c r="AA138" s="25">
        <v>0.418915047658732</v>
      </c>
      <c r="AB138" s="25">
        <v>-0.250397758884909</v>
      </c>
      <c r="AC138" s="25">
        <v>0.0244899999999999</v>
      </c>
      <c r="AD138" s="25" t="s">
        <v>113</v>
      </c>
      <c r="AE138" s="25" t="s">
        <v>113</v>
      </c>
      <c r="AF138" s="25" t="s">
        <v>113</v>
      </c>
      <c r="AG138" s="25" t="s">
        <v>113</v>
      </c>
      <c r="AH138" s="25" t="s">
        <v>113</v>
      </c>
      <c r="AI138" s="25" t="s">
        <v>113</v>
      </c>
      <c r="AJ138" s="25" t="s">
        <v>113</v>
      </c>
      <c r="AK138" s="25" t="s">
        <v>113</v>
      </c>
      <c r="AL138" s="25" t="s">
        <v>113</v>
      </c>
      <c r="AM138" s="365" t="s">
        <v>113</v>
      </c>
      <c r="AS138" s="379" t="s">
        <v>325</v>
      </c>
      <c r="AT138" s="382">
        <v>0.98</v>
      </c>
      <c r="AU138" s="383">
        <v>45716</v>
      </c>
      <c r="AV138" s="382">
        <v>323.197973043</v>
      </c>
      <c r="AW138" s="33"/>
      <c r="AX138" s="394">
        <v>0.010212</v>
      </c>
      <c r="AY138" s="394">
        <v>0.02147</v>
      </c>
      <c r="AZ138" s="394">
        <v>0.037466</v>
      </c>
      <c r="BA138" s="394">
        <v>0.082942</v>
      </c>
      <c r="BB138" s="394">
        <v>0.070033</v>
      </c>
      <c r="BC138" s="394">
        <v>0.059181</v>
      </c>
      <c r="BD138" s="394">
        <v>0.061815</v>
      </c>
      <c r="BE138" s="34"/>
      <c r="BF138" s="394">
        <v>0.02147</v>
      </c>
      <c r="BG138" s="394">
        <v>0.0811189626364842</v>
      </c>
      <c r="BH138" s="394">
        <v>0.0736639469810298</v>
      </c>
      <c r="BI138" s="394">
        <v>0.0419088425235967</v>
      </c>
      <c r="BJ138" s="394">
        <v>0.0332581573434537</v>
      </c>
      <c r="BK138" s="394">
        <v>0.0594014988019779</v>
      </c>
      <c r="BL138" s="394">
        <v>0.0743483293351298</v>
      </c>
      <c r="BM138" s="394">
        <v>0.0670445911986442</v>
      </c>
      <c r="BN138" s="394">
        <v>0.0593559624242624</v>
      </c>
      <c r="BO138" s="394">
        <v>0.0634046998305814</v>
      </c>
      <c r="BP138" s="394">
        <v>0.0602984907925782</v>
      </c>
      <c r="BQ138" s="394">
        <v>0.0681615954744517</v>
      </c>
      <c r="BR138" s="394">
        <v>0.0712672936214627</v>
      </c>
      <c r="BS138" s="394">
        <v>0.0735536245140636</v>
      </c>
      <c r="BT138" s="394">
        <v>0.0670212830851629</v>
      </c>
      <c r="BU138" s="394">
        <v>0.0364616921462262</v>
      </c>
    </row>
    <row r="139" spans="2:73">
      <c r="B139" s="339" t="s">
        <v>326</v>
      </c>
      <c r="C139" s="343">
        <v>1.58</v>
      </c>
      <c r="D139" s="344">
        <v>45838</v>
      </c>
      <c r="E139" s="345">
        <v>29629.0886</v>
      </c>
      <c r="F139" s="10">
        <v>-0.018306</v>
      </c>
      <c r="G139" s="10">
        <v>0.084816</v>
      </c>
      <c r="H139" s="10">
        <v>0.0661</v>
      </c>
      <c r="I139" s="10">
        <v>-0.074073</v>
      </c>
      <c r="J139" s="10">
        <v>0.272221</v>
      </c>
      <c r="K139" s="10">
        <v>0.383773</v>
      </c>
      <c r="L139" s="23">
        <v>0.195824</v>
      </c>
      <c r="M139" s="20"/>
      <c r="N139" s="24">
        <v>-0.011622</v>
      </c>
      <c r="O139" s="25">
        <v>0.223450116858935</v>
      </c>
      <c r="P139" s="25">
        <v>0.463789342388295</v>
      </c>
      <c r="Q139" s="25">
        <v>0.0949757892112838</v>
      </c>
      <c r="R139" s="25">
        <v>0.880471669836792</v>
      </c>
      <c r="S139" s="25">
        <v>0.751035373070102</v>
      </c>
      <c r="T139" s="25">
        <v>-0.235113373896036</v>
      </c>
      <c r="U139" s="25">
        <v>0.026708573192195</v>
      </c>
      <c r="V139" s="25">
        <v>0.05247003048862</v>
      </c>
      <c r="W139" s="25">
        <v>0.102125576937456</v>
      </c>
      <c r="X139" s="25">
        <v>0.082432203743171</v>
      </c>
      <c r="Y139" s="25">
        <v>0.114059319371015</v>
      </c>
      <c r="Z139" s="25">
        <v>0.0755565351553874</v>
      </c>
      <c r="AA139" s="25">
        <v>0.132102778396975</v>
      </c>
      <c r="AB139" s="25">
        <v>-0.0505329062501971</v>
      </c>
      <c r="AC139" s="25">
        <v>0.409066719758397</v>
      </c>
      <c r="AD139" s="25">
        <v>0.0988786153337164</v>
      </c>
      <c r="AE139" s="25">
        <v>-0.0793831455090493</v>
      </c>
      <c r="AF139" s="25">
        <v>0.242822704361166</v>
      </c>
      <c r="AG139" s="25">
        <v>0.226185895674161</v>
      </c>
      <c r="AH139" s="25">
        <v>0.0814861294583883</v>
      </c>
      <c r="AI139" s="25">
        <v>0.117821650595827</v>
      </c>
      <c r="AJ139" s="25">
        <v>0.205783115368522</v>
      </c>
      <c r="AK139" s="25">
        <v>1.01664272890485</v>
      </c>
      <c r="AL139" s="25">
        <v>-0.665465465465465</v>
      </c>
      <c r="AM139" s="365">
        <v>0.0127737226277371</v>
      </c>
      <c r="AS139" s="379" t="s">
        <v>327</v>
      </c>
      <c r="AT139" s="382">
        <v>0.49</v>
      </c>
      <c r="AU139" s="383">
        <v>45716</v>
      </c>
      <c r="AV139" s="382">
        <v>15117.7761</v>
      </c>
      <c r="AW139" s="33"/>
      <c r="AX139" s="394">
        <v>0.00866</v>
      </c>
      <c r="AY139" s="394">
        <v>0.020926</v>
      </c>
      <c r="AZ139" s="394">
        <v>0.039194</v>
      </c>
      <c r="BA139" s="394">
        <v>0.083227</v>
      </c>
      <c r="BB139" s="394">
        <v>0.072318</v>
      </c>
      <c r="BC139" s="394">
        <v>0.068168</v>
      </c>
      <c r="BD139" s="394">
        <v>0.073754</v>
      </c>
      <c r="BE139" s="34"/>
      <c r="BF139" s="394">
        <v>0.020926</v>
      </c>
      <c r="BG139" s="394">
        <v>0.0828645485517663</v>
      </c>
      <c r="BH139" s="394">
        <v>0.076329498218889</v>
      </c>
      <c r="BI139" s="394">
        <v>0.0458721207287146</v>
      </c>
      <c r="BJ139" s="394">
        <v>0.0410264436851377</v>
      </c>
      <c r="BK139" s="394">
        <v>0.0914882034769918</v>
      </c>
      <c r="BL139" s="394">
        <v>0.085550655531073</v>
      </c>
      <c r="BM139" s="394">
        <v>0.0720233181136589</v>
      </c>
      <c r="BN139" s="394">
        <v>0.0683146860195545</v>
      </c>
      <c r="BO139" s="394">
        <v>0.0898519338057013</v>
      </c>
      <c r="BP139" s="394">
        <v>0.0883494523794275</v>
      </c>
      <c r="BQ139" s="394">
        <v>0.0941339712024519</v>
      </c>
      <c r="BR139" s="394">
        <v>0.0907525084464193</v>
      </c>
      <c r="BS139" s="394">
        <v>0.0983885502549549</v>
      </c>
      <c r="BT139" s="394">
        <v>0.0897894948730931</v>
      </c>
      <c r="BU139" s="394">
        <v>0.0572548867864904</v>
      </c>
    </row>
    <row r="140" ht="14.55" spans="2:73">
      <c r="B140" s="407" t="s">
        <v>328</v>
      </c>
      <c r="C140" s="346">
        <v>1.57</v>
      </c>
      <c r="D140" s="347">
        <v>45838</v>
      </c>
      <c r="E140" s="348">
        <v>35696.1889</v>
      </c>
      <c r="F140" s="10">
        <v>-0.014812</v>
      </c>
      <c r="G140" s="10">
        <v>0.083668</v>
      </c>
      <c r="H140" s="10">
        <v>0.057931</v>
      </c>
      <c r="I140" s="10">
        <v>-0.060788</v>
      </c>
      <c r="J140" s="10">
        <v>0.182575</v>
      </c>
      <c r="K140" s="10">
        <v>0.276984</v>
      </c>
      <c r="L140" s="23">
        <v>0.180129</v>
      </c>
      <c r="M140" s="20"/>
      <c r="N140" s="24">
        <v>-0.027283</v>
      </c>
      <c r="O140" s="25">
        <v>0.241381530736728</v>
      </c>
      <c r="P140" s="25">
        <v>0.253039277764817</v>
      </c>
      <c r="Q140" s="25">
        <v>0.0814267680719435</v>
      </c>
      <c r="R140" s="25">
        <v>0.475645990401989</v>
      </c>
      <c r="S140" s="25">
        <v>0.336166401124999</v>
      </c>
      <c r="T140" s="25">
        <v>0.0609922323740365</v>
      </c>
      <c r="U140" s="25">
        <v>-0.196223959786878</v>
      </c>
      <c r="V140" s="25">
        <v>0.786620129638863</v>
      </c>
      <c r="W140" s="25">
        <v>0.0128914772530504</v>
      </c>
      <c r="X140" s="25">
        <v>0.205635214173628</v>
      </c>
      <c r="Y140" s="25">
        <v>1.10662610862713</v>
      </c>
      <c r="Z140" s="25">
        <v>0.078498023715415</v>
      </c>
      <c r="AA140" s="25">
        <v>0.319082377476538</v>
      </c>
      <c r="AB140" s="25">
        <v>-0.243093922651934</v>
      </c>
      <c r="AC140" s="25">
        <v>0.189671361502347</v>
      </c>
      <c r="AD140" s="25">
        <v>0.065</v>
      </c>
      <c r="AE140" s="25" t="s">
        <v>113</v>
      </c>
      <c r="AF140" s="25" t="s">
        <v>113</v>
      </c>
      <c r="AG140" s="25" t="s">
        <v>113</v>
      </c>
      <c r="AH140" s="25" t="s">
        <v>113</v>
      </c>
      <c r="AI140" s="25" t="s">
        <v>113</v>
      </c>
      <c r="AJ140" s="25" t="s">
        <v>113</v>
      </c>
      <c r="AK140" s="25" t="s">
        <v>113</v>
      </c>
      <c r="AL140" s="25" t="s">
        <v>113</v>
      </c>
      <c r="AM140" s="365" t="s">
        <v>113</v>
      </c>
      <c r="AS140" s="379" t="s">
        <v>329</v>
      </c>
      <c r="AT140" s="382">
        <v>1.18</v>
      </c>
      <c r="AU140" s="383">
        <v>45716</v>
      </c>
      <c r="AV140" s="382">
        <v>7218.9092057368</v>
      </c>
      <c r="AW140" s="33"/>
      <c r="AX140" s="394">
        <v>0.007895</v>
      </c>
      <c r="AY140" s="394">
        <v>0.019196</v>
      </c>
      <c r="AZ140" s="394">
        <v>0.036997</v>
      </c>
      <c r="BA140" s="394">
        <v>0.07939</v>
      </c>
      <c r="BB140" s="394">
        <v>0.071597</v>
      </c>
      <c r="BC140" s="394">
        <v>0.06698</v>
      </c>
      <c r="BD140" s="394">
        <v>0.071574</v>
      </c>
      <c r="BE140" s="34"/>
      <c r="BF140" s="394">
        <v>0.019196</v>
      </c>
      <c r="BG140" s="394">
        <v>0.079905879558495</v>
      </c>
      <c r="BH140" s="394">
        <v>0.0774598464839056</v>
      </c>
      <c r="BI140" s="394">
        <v>0.0426177709547202</v>
      </c>
      <c r="BJ140" s="394">
        <v>0.0379298247240883</v>
      </c>
      <c r="BK140" s="394">
        <v>0.094782433316842</v>
      </c>
      <c r="BL140" s="394">
        <v>0.0842245032813718</v>
      </c>
      <c r="BM140" s="394">
        <v>0.0660996264497076</v>
      </c>
      <c r="BN140" s="394">
        <v>0.0676001286189746</v>
      </c>
      <c r="BO140" s="394">
        <v>0.0887526131390313</v>
      </c>
      <c r="BP140" s="394">
        <v>0.0808432639622595</v>
      </c>
      <c r="BQ140" s="394">
        <v>0.0924639075414609</v>
      </c>
      <c r="BR140" s="394">
        <v>0.0924885969146421</v>
      </c>
      <c r="BS140" s="394">
        <v>0.0965660861047816</v>
      </c>
      <c r="BT140" s="394">
        <v>0.0914644718600284</v>
      </c>
      <c r="BU140" s="394">
        <v>0.0564701589775956</v>
      </c>
    </row>
    <row r="141" spans="2:73">
      <c r="B141" s="4" t="s">
        <v>330</v>
      </c>
      <c r="F141" s="6">
        <v>-0.023141</v>
      </c>
      <c r="G141" s="7">
        <v>0.127108</v>
      </c>
      <c r="H141" s="7">
        <v>0.069396</v>
      </c>
      <c r="I141" s="7">
        <v>-0.034464</v>
      </c>
      <c r="J141" s="7">
        <v>0.253786</v>
      </c>
      <c r="K141" s="7">
        <v>0.326015</v>
      </c>
      <c r="L141" s="19">
        <v>0.162571</v>
      </c>
      <c r="M141" s="20"/>
      <c r="N141" s="21">
        <v>-0.03181</v>
      </c>
      <c r="O141" s="22">
        <v>0.293080337893825</v>
      </c>
      <c r="P141" s="22">
        <v>0.475233166210285</v>
      </c>
      <c r="Q141" s="22">
        <v>-0.018024792109108</v>
      </c>
      <c r="R141" s="22">
        <v>0.627670513661371</v>
      </c>
      <c r="S141" s="22">
        <v>0.321090677892487</v>
      </c>
      <c r="T141" s="22">
        <v>-0.0684939983096128</v>
      </c>
      <c r="U141" s="22">
        <v>-0.235250162240415</v>
      </c>
      <c r="V141" s="22">
        <v>0.596423083596143</v>
      </c>
      <c r="W141" s="22">
        <v>0.0176924162203856</v>
      </c>
      <c r="X141" s="22">
        <v>0.0676138961871801</v>
      </c>
      <c r="Y141" s="22">
        <v>0.692390473093955</v>
      </c>
      <c r="Z141" s="22">
        <v>-0.112305791103993</v>
      </c>
      <c r="AA141" s="22">
        <v>0.329685377305798</v>
      </c>
      <c r="AB141" s="22">
        <v>-0.426063900743616</v>
      </c>
      <c r="AC141" s="22">
        <v>0.157065049619389</v>
      </c>
      <c r="AD141" s="22">
        <v>1.26917469204015</v>
      </c>
      <c r="AE141" s="22">
        <v>-0.724077921124452</v>
      </c>
      <c r="AF141" s="22">
        <v>0.936702010353553</v>
      </c>
      <c r="AG141" s="22">
        <v>0.159716040928066</v>
      </c>
      <c r="AH141" s="22">
        <v>0.731761188636966</v>
      </c>
      <c r="AI141" s="22">
        <v>0.410685071154336</v>
      </c>
      <c r="AJ141" s="22" t="s">
        <v>113</v>
      </c>
      <c r="AK141" s="22" t="s">
        <v>113</v>
      </c>
      <c r="AL141" s="22" t="s">
        <v>113</v>
      </c>
      <c r="AM141" s="366" t="s">
        <v>113</v>
      </c>
      <c r="AS141" s="379" t="s">
        <v>331</v>
      </c>
      <c r="AT141" s="382">
        <v>0.63</v>
      </c>
      <c r="AU141" s="383">
        <v>45716</v>
      </c>
      <c r="AV141" s="382">
        <v>3264.1568</v>
      </c>
      <c r="AW141" s="33"/>
      <c r="AX141" s="394">
        <v>0.008899</v>
      </c>
      <c r="AY141" s="394">
        <v>0.020746</v>
      </c>
      <c r="AZ141" s="394">
        <v>0.039559</v>
      </c>
      <c r="BA141" s="394">
        <v>0.084575</v>
      </c>
      <c r="BB141" s="394">
        <v>0.066814</v>
      </c>
      <c r="BC141" s="394">
        <v>0.067719</v>
      </c>
      <c r="BD141" s="394" t="s">
        <v>113</v>
      </c>
      <c r="BE141" s="34"/>
      <c r="BF141" s="394">
        <v>0.020746</v>
      </c>
      <c r="BG141" s="394">
        <v>0.0819611049098369</v>
      </c>
      <c r="BH141" s="394">
        <v>0.0723066658649602</v>
      </c>
      <c r="BI141" s="394">
        <v>0.0347143853204487</v>
      </c>
      <c r="BJ141" s="394">
        <v>0.0420092147056184</v>
      </c>
      <c r="BK141" s="394">
        <v>0.112094431908684</v>
      </c>
      <c r="BL141" s="394">
        <v>0.0388946000000001</v>
      </c>
      <c r="BM141" s="394" t="s">
        <v>113</v>
      </c>
      <c r="BN141" s="394" t="s">
        <v>113</v>
      </c>
      <c r="BO141" s="394" t="s">
        <v>113</v>
      </c>
      <c r="BP141" s="394" t="s">
        <v>113</v>
      </c>
      <c r="BQ141" s="394" t="s">
        <v>113</v>
      </c>
      <c r="BR141" s="394" t="s">
        <v>113</v>
      </c>
      <c r="BS141" s="394" t="s">
        <v>113</v>
      </c>
      <c r="BT141" s="394" t="s">
        <v>113</v>
      </c>
      <c r="BU141" s="394" t="s">
        <v>113</v>
      </c>
    </row>
    <row r="142" spans="2:73">
      <c r="B142" s="8" t="s">
        <v>332</v>
      </c>
      <c r="F142" s="9">
        <v>-0.058099</v>
      </c>
      <c r="G142" s="10">
        <v>0.092286</v>
      </c>
      <c r="H142" s="10">
        <v>0.062467</v>
      </c>
      <c r="I142" s="10">
        <v>-0.061178</v>
      </c>
      <c r="J142" s="10">
        <v>0.250497</v>
      </c>
      <c r="K142" s="10">
        <v>0.29079</v>
      </c>
      <c r="L142" s="23">
        <v>0.121101</v>
      </c>
      <c r="M142" s="20"/>
      <c r="N142" s="24">
        <v>-0.042748</v>
      </c>
      <c r="O142" s="25">
        <v>0.239410546060907</v>
      </c>
      <c r="P142" s="25">
        <v>0.55617958449796</v>
      </c>
      <c r="Q142" s="25">
        <v>-0.137983878111436</v>
      </c>
      <c r="R142" s="25">
        <v>0.592781759692985</v>
      </c>
      <c r="S142" s="25">
        <v>0.214722138909122</v>
      </c>
      <c r="T142" s="25">
        <v>-0.0952683686997511</v>
      </c>
      <c r="U142" s="25">
        <v>-0.290776125147774</v>
      </c>
      <c r="V142" s="25">
        <v>0.572995320757328</v>
      </c>
      <c r="W142" s="25">
        <v>0.0225620434082748</v>
      </c>
      <c r="X142" s="25">
        <v>0.0721424642985834</v>
      </c>
      <c r="Y142" s="25">
        <v>0.549531282141703</v>
      </c>
      <c r="Z142" s="25">
        <v>-0.0828133633411048</v>
      </c>
      <c r="AA142" s="25">
        <v>0.368125080664491</v>
      </c>
      <c r="AB142" s="25">
        <v>-0.338736067456553</v>
      </c>
      <c r="AC142" s="25">
        <v>0.176341846803433</v>
      </c>
      <c r="AD142" s="25">
        <v>1.07012772628216</v>
      </c>
      <c r="AE142" s="25">
        <v>-0.709680144257457</v>
      </c>
      <c r="AF142" s="25">
        <v>0.872704615305147</v>
      </c>
      <c r="AG142" s="25">
        <v>0.415918524071602</v>
      </c>
      <c r="AH142" s="25">
        <v>0.622024008126283</v>
      </c>
      <c r="AI142" s="25" t="s">
        <v>113</v>
      </c>
      <c r="AJ142" s="25" t="s">
        <v>113</v>
      </c>
      <c r="AK142" s="25" t="s">
        <v>113</v>
      </c>
      <c r="AL142" s="25" t="s">
        <v>113</v>
      </c>
      <c r="AM142" s="365" t="s">
        <v>113</v>
      </c>
      <c r="AS142" s="379" t="s">
        <v>333</v>
      </c>
      <c r="AT142" s="382">
        <v>0.6</v>
      </c>
      <c r="AU142" s="383">
        <v>45716</v>
      </c>
      <c r="AV142" s="382">
        <v>7624.3185</v>
      </c>
      <c r="AW142" s="33"/>
      <c r="AX142" s="394">
        <v>0.010339</v>
      </c>
      <c r="AY142" s="394">
        <v>0.02175</v>
      </c>
      <c r="AZ142" s="394">
        <v>0.039171</v>
      </c>
      <c r="BA142" s="394">
        <v>0.083012</v>
      </c>
      <c r="BB142" s="394">
        <v>0.067905</v>
      </c>
      <c r="BC142" s="394">
        <v>0.067856</v>
      </c>
      <c r="BD142" s="394">
        <v>0.071971</v>
      </c>
      <c r="BE142" s="34"/>
      <c r="BF142" s="394">
        <v>0.02175</v>
      </c>
      <c r="BG142" s="394">
        <v>0.0822633831474076</v>
      </c>
      <c r="BH142" s="394">
        <v>0.0717289606685751</v>
      </c>
      <c r="BI142" s="394">
        <v>0.0376668143578083</v>
      </c>
      <c r="BJ142" s="394">
        <v>0.0373448421393428</v>
      </c>
      <c r="BK142" s="394">
        <v>0.113131839667416</v>
      </c>
      <c r="BL142" s="394">
        <v>0.0902001641725075</v>
      </c>
      <c r="BM142" s="394">
        <v>0.0584028871001277</v>
      </c>
      <c r="BN142" s="394">
        <v>0.0594894832286311</v>
      </c>
      <c r="BO142" s="394">
        <v>0.0903737191337505</v>
      </c>
      <c r="BP142" s="394">
        <v>0.0862807221898661</v>
      </c>
      <c r="BQ142" s="394">
        <v>0.0975285472480606</v>
      </c>
      <c r="BR142" s="394">
        <v>0.0794073975944845</v>
      </c>
      <c r="BS142" s="394">
        <v>0.0970111295459775</v>
      </c>
      <c r="BT142" s="394">
        <v>0.0920837714338618</v>
      </c>
      <c r="BU142" s="394">
        <v>0.0544809215664398</v>
      </c>
    </row>
    <row r="143" ht="14.55" spans="2:73">
      <c r="B143" s="11" t="s">
        <v>334</v>
      </c>
      <c r="F143" s="9">
        <v>-0.036721</v>
      </c>
      <c r="G143" s="10">
        <v>0.116202</v>
      </c>
      <c r="H143" s="10">
        <v>0.081585</v>
      </c>
      <c r="I143" s="10">
        <v>-0.044782</v>
      </c>
      <c r="J143" s="10">
        <v>0.248638</v>
      </c>
      <c r="K143" s="10">
        <v>0.317205</v>
      </c>
      <c r="L143" s="23" t="s">
        <v>113</v>
      </c>
      <c r="M143" s="20"/>
      <c r="N143" s="26">
        <v>-0.034249</v>
      </c>
      <c r="O143" s="27">
        <v>0.264288206932407</v>
      </c>
      <c r="P143" s="27">
        <v>0.480954515491101</v>
      </c>
      <c r="Q143" s="27">
        <v>-0.0364583333333333</v>
      </c>
      <c r="R143" s="27">
        <v>0.619433198380567</v>
      </c>
      <c r="S143" s="27">
        <v>0.250916127969696</v>
      </c>
      <c r="T143" s="27">
        <v>-0.0827271559896364</v>
      </c>
      <c r="U143" s="27">
        <v>-0.268007862500242</v>
      </c>
      <c r="V143" s="27" t="s">
        <v>113</v>
      </c>
      <c r="W143" s="27" t="s">
        <v>113</v>
      </c>
      <c r="X143" s="27" t="s">
        <v>113</v>
      </c>
      <c r="Y143" s="27" t="s">
        <v>113</v>
      </c>
      <c r="Z143" s="27" t="s">
        <v>113</v>
      </c>
      <c r="AA143" s="27" t="s">
        <v>113</v>
      </c>
      <c r="AB143" s="27" t="s">
        <v>113</v>
      </c>
      <c r="AC143" s="27" t="s">
        <v>113</v>
      </c>
      <c r="AD143" s="27" t="s">
        <v>113</v>
      </c>
      <c r="AE143" s="27" t="s">
        <v>113</v>
      </c>
      <c r="AF143" s="27" t="s">
        <v>113</v>
      </c>
      <c r="AG143" s="27" t="s">
        <v>113</v>
      </c>
      <c r="AH143" s="27" t="s">
        <v>113</v>
      </c>
      <c r="AI143" s="27" t="s">
        <v>113</v>
      </c>
      <c r="AJ143" s="27" t="s">
        <v>113</v>
      </c>
      <c r="AK143" s="27" t="s">
        <v>113</v>
      </c>
      <c r="AL143" s="27" t="s">
        <v>113</v>
      </c>
      <c r="AM143" s="367" t="s">
        <v>113</v>
      </c>
      <c r="AS143" s="379" t="s">
        <v>335</v>
      </c>
      <c r="AT143" s="382">
        <v>0.42</v>
      </c>
      <c r="AU143" s="383">
        <v>45716</v>
      </c>
      <c r="AV143" s="382">
        <v>1241.3381</v>
      </c>
      <c r="AW143" s="33"/>
      <c r="AX143" s="394">
        <v>0.007963</v>
      </c>
      <c r="AY143" s="394">
        <v>0.020656</v>
      </c>
      <c r="AZ143" s="394">
        <v>0.036444</v>
      </c>
      <c r="BA143" s="394">
        <v>0.080445</v>
      </c>
      <c r="BB143" s="394">
        <v>0.070321</v>
      </c>
      <c r="BC143" s="394" t="s">
        <v>113</v>
      </c>
      <c r="BD143" s="394" t="s">
        <v>113</v>
      </c>
      <c r="BE143" s="34"/>
      <c r="BF143" s="394">
        <v>0.020656</v>
      </c>
      <c r="BG143" s="394">
        <v>0.0818490857147702</v>
      </c>
      <c r="BH143" s="394">
        <v>0.0754034096088978</v>
      </c>
      <c r="BI143" s="394">
        <v>0.0432458651550744</v>
      </c>
      <c r="BJ143" s="394">
        <v>0.0350452339466249</v>
      </c>
      <c r="BK143" s="394">
        <v>0.0158300000000001</v>
      </c>
      <c r="BL143" s="394" t="s">
        <v>113</v>
      </c>
      <c r="BM143" s="394" t="s">
        <v>113</v>
      </c>
      <c r="BN143" s="394" t="s">
        <v>113</v>
      </c>
      <c r="BO143" s="394" t="s">
        <v>113</v>
      </c>
      <c r="BP143" s="394" t="s">
        <v>113</v>
      </c>
      <c r="BQ143" s="394" t="s">
        <v>113</v>
      </c>
      <c r="BR143" s="394" t="s">
        <v>113</v>
      </c>
      <c r="BS143" s="394" t="s">
        <v>113</v>
      </c>
      <c r="BT143" s="394" t="s">
        <v>113</v>
      </c>
      <c r="BU143" s="394" t="s">
        <v>113</v>
      </c>
    </row>
    <row r="144" ht="14.55" spans="2:73">
      <c r="B144" s="12" t="s">
        <v>146</v>
      </c>
      <c r="F144" s="29">
        <f>AVERAGE(F128:F140)</f>
        <v>-0.0179808461538462</v>
      </c>
      <c r="G144" s="30">
        <f t="shared" ref="G144:L144" si="17">AVERAGE(G128:G140)</f>
        <v>0.111417769230769</v>
      </c>
      <c r="H144" s="30">
        <f t="shared" si="17"/>
        <v>0.0727368461538462</v>
      </c>
      <c r="I144" s="30">
        <f t="shared" si="17"/>
        <v>-0.03319</v>
      </c>
      <c r="J144" s="30">
        <f t="shared" si="17"/>
        <v>0.227371692307692</v>
      </c>
      <c r="K144" s="30">
        <f t="shared" si="17"/>
        <v>0.319285538461539</v>
      </c>
      <c r="L144" s="362">
        <f t="shared" si="17"/>
        <v>0.172706090909091</v>
      </c>
      <c r="M144" s="20"/>
      <c r="N144" s="13">
        <f t="shared" ref="N144:AM144" si="18">AVERAGE(N128:N140)</f>
        <v>-0.0227392307692308</v>
      </c>
      <c r="O144" s="14">
        <f t="shared" si="18"/>
        <v>0.246741869462965</v>
      </c>
      <c r="P144" s="14">
        <f t="shared" si="18"/>
        <v>0.417267437415458</v>
      </c>
      <c r="Q144" s="14">
        <f t="shared" si="18"/>
        <v>0.0214268767283123</v>
      </c>
      <c r="R144" s="14">
        <f t="shared" si="18"/>
        <v>0.639605380283531</v>
      </c>
      <c r="S144" s="14">
        <f t="shared" si="18"/>
        <v>0.288065724079572</v>
      </c>
      <c r="T144" s="14">
        <f t="shared" si="18"/>
        <v>-0.00593132859709381</v>
      </c>
      <c r="U144" s="14">
        <f t="shared" si="18"/>
        <v>-0.138125333092748</v>
      </c>
      <c r="V144" s="14">
        <f t="shared" si="18"/>
        <v>0.492855522119946</v>
      </c>
      <c r="W144" s="14">
        <f t="shared" si="18"/>
        <v>0.0765046343334871</v>
      </c>
      <c r="X144" s="14">
        <f t="shared" si="18"/>
        <v>0.112328678829045</v>
      </c>
      <c r="Y144" s="14">
        <f t="shared" si="18"/>
        <v>0.707121632055506</v>
      </c>
      <c r="Z144" s="14">
        <f t="shared" si="18"/>
        <v>0.062007747606485</v>
      </c>
      <c r="AA144" s="14">
        <f t="shared" si="18"/>
        <v>0.354314119356252</v>
      </c>
      <c r="AB144" s="14">
        <f t="shared" si="18"/>
        <v>-0.221066320049253</v>
      </c>
      <c r="AC144" s="14">
        <f t="shared" si="18"/>
        <v>0.236193656740073</v>
      </c>
      <c r="AD144" s="14">
        <f t="shared" si="18"/>
        <v>0.772953351067506</v>
      </c>
      <c r="AE144" s="14">
        <f t="shared" si="18"/>
        <v>-0.493208263992271</v>
      </c>
      <c r="AF144" s="14">
        <f t="shared" si="18"/>
        <v>0.384620726727562</v>
      </c>
      <c r="AG144" s="14">
        <f t="shared" si="18"/>
        <v>0.207988778265306</v>
      </c>
      <c r="AH144" s="14">
        <f t="shared" si="18"/>
        <v>0.292243064729194</v>
      </c>
      <c r="AI144" s="14">
        <f t="shared" si="18"/>
        <v>0.117821650595827</v>
      </c>
      <c r="AJ144" s="14">
        <f t="shared" si="18"/>
        <v>0.205783115368522</v>
      </c>
      <c r="AK144" s="14">
        <f t="shared" si="18"/>
        <v>1.01664272890485</v>
      </c>
      <c r="AL144" s="14">
        <f t="shared" si="18"/>
        <v>-0.665465465465465</v>
      </c>
      <c r="AM144" s="28">
        <f t="shared" si="18"/>
        <v>0.0127737226277371</v>
      </c>
      <c r="AS144" s="379" t="s">
        <v>336</v>
      </c>
      <c r="AT144" s="382">
        <v>0.73</v>
      </c>
      <c r="AU144" s="383">
        <v>45716</v>
      </c>
      <c r="AV144" s="382">
        <v>140.9822468767</v>
      </c>
      <c r="AW144" s="33"/>
      <c r="AX144" s="394">
        <v>0.014357</v>
      </c>
      <c r="AY144" s="394">
        <v>0.022142</v>
      </c>
      <c r="AZ144" s="394">
        <v>0.040746</v>
      </c>
      <c r="BA144" s="394">
        <v>0.081865</v>
      </c>
      <c r="BB144" s="394">
        <v>0.068406</v>
      </c>
      <c r="BC144" s="394" t="s">
        <v>113</v>
      </c>
      <c r="BD144" s="394" t="s">
        <v>113</v>
      </c>
      <c r="BE144" s="34"/>
      <c r="BF144" s="394">
        <v>0.022142</v>
      </c>
      <c r="BG144" s="394">
        <v>0.0777572233967583</v>
      </c>
      <c r="BH144" s="394">
        <v>0.0698735227037114</v>
      </c>
      <c r="BI144" s="394">
        <v>0.0445662981521771</v>
      </c>
      <c r="BJ144" s="394">
        <v>0.01579</v>
      </c>
      <c r="BK144" s="394" t="s">
        <v>113</v>
      </c>
      <c r="BL144" s="394" t="s">
        <v>113</v>
      </c>
      <c r="BM144" s="394" t="s">
        <v>113</v>
      </c>
      <c r="BN144" s="394" t="s">
        <v>113</v>
      </c>
      <c r="BO144" s="394" t="s">
        <v>113</v>
      </c>
      <c r="BP144" s="394" t="s">
        <v>113</v>
      </c>
      <c r="BQ144" s="394" t="s">
        <v>113</v>
      </c>
      <c r="BR144" s="394" t="s">
        <v>113</v>
      </c>
      <c r="BS144" s="394" t="s">
        <v>113</v>
      </c>
      <c r="BT144" s="394" t="s">
        <v>113</v>
      </c>
      <c r="BU144" s="394" t="s">
        <v>113</v>
      </c>
    </row>
    <row r="145" ht="14.55" spans="13:73">
      <c r="M145" s="20"/>
      <c r="O145" s="5"/>
      <c r="AS145" s="4" t="s">
        <v>146</v>
      </c>
      <c r="AT145"/>
      <c r="AU145"/>
      <c r="AV145"/>
      <c r="AW145" s="395"/>
      <c r="AX145" s="396">
        <f t="shared" ref="AX145:BD145" si="19">AVERAGE(AX134:AX144)</f>
        <v>0.0112932727272727</v>
      </c>
      <c r="AY145" s="396">
        <f t="shared" si="19"/>
        <v>0.0220197272727273</v>
      </c>
      <c r="AZ145" s="396">
        <f t="shared" si="19"/>
        <v>0.0386306363636364</v>
      </c>
      <c r="BA145" s="396">
        <f t="shared" si="19"/>
        <v>0.0842057272727273</v>
      </c>
      <c r="BB145" s="396">
        <f t="shared" si="19"/>
        <v>0.070183</v>
      </c>
      <c r="BC145" s="396">
        <f t="shared" si="19"/>
        <v>0.0658681666666667</v>
      </c>
      <c r="BD145" s="396">
        <f t="shared" si="19"/>
        <v>0.070512</v>
      </c>
      <c r="BE145" s="395"/>
      <c r="BF145" s="396">
        <f t="shared" ref="BF145:BU145" si="20">AVERAGE(BF134:BF144)</f>
        <v>0.0220197272727273</v>
      </c>
      <c r="BG145" s="396">
        <f t="shared" si="20"/>
        <v>0.0827476290716994</v>
      </c>
      <c r="BH145" s="396">
        <f t="shared" si="20"/>
        <v>0.0735582562821353</v>
      </c>
      <c r="BI145" s="396">
        <f t="shared" si="20"/>
        <v>0.0410621682155479</v>
      </c>
      <c r="BJ145" s="396">
        <f t="shared" si="20"/>
        <v>0.0332661126264802</v>
      </c>
      <c r="BK145" s="396">
        <f t="shared" si="20"/>
        <v>0.0818665195335935</v>
      </c>
      <c r="BL145" s="396">
        <f t="shared" si="20"/>
        <v>0.0765560124968971</v>
      </c>
      <c r="BM145" s="396">
        <f t="shared" si="20"/>
        <v>0.06772646419899</v>
      </c>
      <c r="BN145" s="396">
        <f t="shared" si="20"/>
        <v>0.064675512041587</v>
      </c>
      <c r="BO145" s="396">
        <f t="shared" si="20"/>
        <v>0.0855342498127372</v>
      </c>
      <c r="BP145" s="396">
        <f t="shared" si="20"/>
        <v>0.0809774139073652</v>
      </c>
      <c r="BQ145" s="396">
        <f t="shared" si="20"/>
        <v>0.0895934381303208</v>
      </c>
      <c r="BR145" s="396">
        <f t="shared" si="20"/>
        <v>0.0859637629885577</v>
      </c>
      <c r="BS145" s="396">
        <f t="shared" si="20"/>
        <v>0.0933988612395359</v>
      </c>
      <c r="BT145" s="396">
        <f t="shared" si="20"/>
        <v>0.0867787883017615</v>
      </c>
      <c r="BU145" s="396">
        <f t="shared" si="20"/>
        <v>0.053963399058393</v>
      </c>
    </row>
    <row r="146" ht="15.75" customHeight="1" spans="2:73">
      <c r="B146" s="349" t="s">
        <v>337</v>
      </c>
      <c r="C146" s="350" t="s">
        <v>16</v>
      </c>
      <c r="D146" s="332" t="s">
        <v>99</v>
      </c>
      <c r="E146" s="333"/>
      <c r="F146" s="361" t="s">
        <v>10</v>
      </c>
      <c r="G146" s="361"/>
      <c r="H146" s="361"/>
      <c r="I146" s="361"/>
      <c r="J146" s="361"/>
      <c r="K146" s="361"/>
      <c r="L146" s="364"/>
      <c r="M146" s="20"/>
      <c r="N146" s="353" t="s">
        <v>100</v>
      </c>
      <c r="O146" s="354"/>
      <c r="P146" s="354"/>
      <c r="Q146" s="354"/>
      <c r="R146" s="354"/>
      <c r="S146" s="354"/>
      <c r="T146" s="354"/>
      <c r="U146" s="354"/>
      <c r="V146" s="354"/>
      <c r="W146" s="354"/>
      <c r="X146" s="354"/>
      <c r="Y146" s="354"/>
      <c r="Z146" s="354"/>
      <c r="AA146" s="354"/>
      <c r="AB146" s="354"/>
      <c r="AC146" s="354"/>
      <c r="AD146" s="354"/>
      <c r="AE146" s="354"/>
      <c r="AF146" s="354"/>
      <c r="AG146" s="354"/>
      <c r="AH146" s="354"/>
      <c r="AI146" s="354"/>
      <c r="AJ146" s="354"/>
      <c r="AK146" s="354"/>
      <c r="AL146" s="354"/>
      <c r="AM146" s="354"/>
      <c r="AN146" s="363"/>
      <c r="AS146" s="4" t="s">
        <v>162</v>
      </c>
      <c r="AT146"/>
      <c r="AU146"/>
      <c r="AV146"/>
      <c r="AW146"/>
      <c r="AX146" s="397">
        <v>0.0087263867959253</v>
      </c>
      <c r="AY146" s="397">
        <v>0.0207643930788102</v>
      </c>
      <c r="AZ146" s="397">
        <v>0.0377184412193585</v>
      </c>
      <c r="BA146" s="397">
        <v>0.080280059411505</v>
      </c>
      <c r="BB146" s="397">
        <v>0.0659301709109001</v>
      </c>
      <c r="BC146" s="397">
        <v>0.0655149768088614</v>
      </c>
      <c r="BD146" s="397">
        <v>0.0738047315298365</v>
      </c>
      <c r="BE146" s="400"/>
      <c r="BF146" s="397">
        <v>0.0207643930788102</v>
      </c>
      <c r="BG146" s="413">
        <v>0.0797029257152309</v>
      </c>
      <c r="BH146" s="413">
        <v>0.0725988870220093</v>
      </c>
      <c r="BI146" s="413">
        <v>0.0358682288812193</v>
      </c>
      <c r="BJ146" s="413">
        <v>0.0437965988907254</v>
      </c>
      <c r="BK146" s="413">
        <v>0.104161972570555</v>
      </c>
      <c r="BL146" s="413">
        <v>0.0953364838894115</v>
      </c>
      <c r="BM146" s="413">
        <v>0.0665068187794211</v>
      </c>
      <c r="BN146" s="413">
        <v>0.0602957159773323</v>
      </c>
      <c r="BO146" s="413">
        <v>0.0986738756953636</v>
      </c>
      <c r="BP146" s="413">
        <v>0.0865549936165921</v>
      </c>
      <c r="BQ146" s="413">
        <v>0.104681934209951</v>
      </c>
      <c r="BR146" s="413">
        <v>0.0827206164504672</v>
      </c>
      <c r="BS146" s="413">
        <v>0.0912371315059957</v>
      </c>
      <c r="BT146" s="413">
        <v>0.0786771029274067</v>
      </c>
      <c r="BU146" s="415">
        <v>0.0470040326565153</v>
      </c>
    </row>
    <row r="147" ht="15" customHeight="1" spans="2:73">
      <c r="B147" s="351"/>
      <c r="C147" s="352"/>
      <c r="D147" s="337" t="s">
        <v>104</v>
      </c>
      <c r="E147" s="338" t="s">
        <v>105</v>
      </c>
      <c r="F147" s="2" t="s">
        <v>17</v>
      </c>
      <c r="G147" s="3" t="s">
        <v>18</v>
      </c>
      <c r="H147" s="3" t="s">
        <v>19</v>
      </c>
      <c r="I147" s="3" t="s">
        <v>20</v>
      </c>
      <c r="J147" s="3" t="s">
        <v>22</v>
      </c>
      <c r="K147" s="3" t="s">
        <v>23</v>
      </c>
      <c r="L147" s="15" t="s">
        <v>24</v>
      </c>
      <c r="M147" s="20"/>
      <c r="N147" s="16" t="s">
        <v>25</v>
      </c>
      <c r="O147" s="17">
        <v>2024</v>
      </c>
      <c r="P147" s="17">
        <v>2023</v>
      </c>
      <c r="Q147" s="18">
        <v>2022</v>
      </c>
      <c r="R147" s="18">
        <v>2021</v>
      </c>
      <c r="S147" s="18">
        <v>2020</v>
      </c>
      <c r="T147" s="18">
        <v>2019</v>
      </c>
      <c r="U147" s="18">
        <v>2018</v>
      </c>
      <c r="V147" s="18">
        <v>2017</v>
      </c>
      <c r="W147" s="18">
        <v>2016</v>
      </c>
      <c r="X147" s="18">
        <v>2015</v>
      </c>
      <c r="Y147" s="18">
        <v>2014</v>
      </c>
      <c r="Z147" s="18">
        <v>2013</v>
      </c>
      <c r="AA147" s="18">
        <v>2012</v>
      </c>
      <c r="AB147" s="18">
        <v>2011</v>
      </c>
      <c r="AC147" s="18">
        <v>2010</v>
      </c>
      <c r="AD147" s="18">
        <v>2009</v>
      </c>
      <c r="AE147" s="18">
        <v>2008</v>
      </c>
      <c r="AF147" s="18">
        <v>2007</v>
      </c>
      <c r="AG147" s="18">
        <v>2006</v>
      </c>
      <c r="AH147" s="18">
        <v>2005</v>
      </c>
      <c r="AI147" s="18">
        <v>2004</v>
      </c>
      <c r="AJ147" s="18">
        <v>2003</v>
      </c>
      <c r="AK147" s="18">
        <v>2002</v>
      </c>
      <c r="AL147" s="18">
        <v>2001</v>
      </c>
      <c r="AM147" s="273">
        <v>2000</v>
      </c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</row>
    <row r="148" ht="15" customHeight="1" spans="2:73">
      <c r="B148" s="339" t="s">
        <v>338</v>
      </c>
      <c r="C148" s="340">
        <v>1.81</v>
      </c>
      <c r="D148" s="341">
        <v>45838</v>
      </c>
      <c r="E148" s="342">
        <v>8054.6614</v>
      </c>
      <c r="F148" s="6">
        <v>-0.037189</v>
      </c>
      <c r="G148" s="7">
        <v>0.024708</v>
      </c>
      <c r="H148" s="7">
        <v>0.060271</v>
      </c>
      <c r="I148" s="7">
        <v>-0.001649</v>
      </c>
      <c r="J148" s="7">
        <v>0.160545</v>
      </c>
      <c r="K148" s="7">
        <v>0.190178</v>
      </c>
      <c r="L148" s="19">
        <v>0.120276</v>
      </c>
      <c r="M148" s="20"/>
      <c r="N148" s="21">
        <v>0.028881</v>
      </c>
      <c r="O148" s="22">
        <v>0.18710507009143</v>
      </c>
      <c r="P148" s="22">
        <v>0.229831802781404</v>
      </c>
      <c r="Q148" s="22">
        <v>0.00412078098920382</v>
      </c>
      <c r="R148" s="22">
        <v>0.267447651215721</v>
      </c>
      <c r="S148" s="22">
        <v>0.159842789062065</v>
      </c>
      <c r="T148" s="25">
        <v>0.112514515946298</v>
      </c>
      <c r="U148" s="25">
        <v>-0.0412377608016388</v>
      </c>
      <c r="V148" s="25">
        <v>0.309439992177048</v>
      </c>
      <c r="W148" s="25">
        <v>0.0669237007213078</v>
      </c>
      <c r="X148" s="25">
        <v>-0.000450318066760799</v>
      </c>
      <c r="Y148" s="25">
        <v>0.48909798053236</v>
      </c>
      <c r="Z148" s="25">
        <v>0.0914855177142681</v>
      </c>
      <c r="AA148" s="25">
        <v>0.363644959473018</v>
      </c>
      <c r="AB148" s="25">
        <v>-0.216009521534647</v>
      </c>
      <c r="AC148" s="25">
        <v>0.180407083861998</v>
      </c>
      <c r="AD148" s="25">
        <v>0.753339072475133</v>
      </c>
      <c r="AE148" s="25">
        <v>-0.494351901734727</v>
      </c>
      <c r="AF148" s="25">
        <v>0.46860560794987</v>
      </c>
      <c r="AG148" s="25">
        <v>0.38552473493585</v>
      </c>
      <c r="AH148" s="25">
        <v>0.14029</v>
      </c>
      <c r="AI148" s="25" t="s">
        <v>113</v>
      </c>
      <c r="AJ148" s="25" t="s">
        <v>113</v>
      </c>
      <c r="AK148" s="25" t="s">
        <v>113</v>
      </c>
      <c r="AL148" s="25" t="s">
        <v>113</v>
      </c>
      <c r="AM148" s="365" t="s">
        <v>113</v>
      </c>
      <c r="AS148" s="350" t="s">
        <v>339</v>
      </c>
      <c r="AT148" s="369" t="s">
        <v>16</v>
      </c>
      <c r="AU148" s="411" t="s">
        <v>99</v>
      </c>
      <c r="AV148" s="412"/>
      <c r="AW148" s="386"/>
      <c r="AX148" s="353" t="s">
        <v>102</v>
      </c>
      <c r="AY148" s="354"/>
      <c r="AZ148" s="354"/>
      <c r="BA148" s="354"/>
      <c r="BB148" s="354"/>
      <c r="BC148" s="354"/>
      <c r="BD148" s="363"/>
      <c r="BE148" s="386"/>
      <c r="BF148" s="411" t="s">
        <v>103</v>
      </c>
      <c r="BG148" s="414"/>
      <c r="BH148" s="414"/>
      <c r="BI148" s="414"/>
      <c r="BJ148" s="414"/>
      <c r="BK148" s="414"/>
      <c r="BL148" s="414"/>
      <c r="BM148" s="414"/>
      <c r="BN148" s="414"/>
      <c r="BO148" s="414"/>
      <c r="BP148" s="414"/>
      <c r="BQ148" s="414"/>
      <c r="BR148" s="414"/>
      <c r="BS148" s="414"/>
      <c r="BT148" s="414"/>
      <c r="BU148" s="416"/>
    </row>
    <row r="149" ht="14.55" spans="2:73">
      <c r="B149" s="339" t="s">
        <v>340</v>
      </c>
      <c r="C149" s="343">
        <v>1.73</v>
      </c>
      <c r="D149" s="344">
        <v>45838</v>
      </c>
      <c r="E149" s="345">
        <v>13024.651001</v>
      </c>
      <c r="F149" s="9">
        <v>-0.024152</v>
      </c>
      <c r="G149" s="10">
        <v>0.042892</v>
      </c>
      <c r="H149" s="10">
        <v>0.087043</v>
      </c>
      <c r="I149" s="10">
        <v>0.017216</v>
      </c>
      <c r="J149" s="10">
        <v>0.102783</v>
      </c>
      <c r="K149" s="10">
        <v>0.141034</v>
      </c>
      <c r="L149" s="23">
        <v>0.115033</v>
      </c>
      <c r="M149" s="20"/>
      <c r="N149" s="24">
        <v>0.035035</v>
      </c>
      <c r="O149" s="25">
        <v>0.147891891891892</v>
      </c>
      <c r="P149" s="25">
        <v>0.172370088719899</v>
      </c>
      <c r="Q149" s="25">
        <v>-0.144993498049415</v>
      </c>
      <c r="R149" s="25">
        <v>0.239989250201559</v>
      </c>
      <c r="S149" s="25">
        <v>0.210081300813008</v>
      </c>
      <c r="T149" s="25">
        <v>0.146532438478747</v>
      </c>
      <c r="U149" s="25">
        <v>0.00637898686679181</v>
      </c>
      <c r="V149" s="25">
        <v>0.451525054466231</v>
      </c>
      <c r="W149" s="25">
        <v>0.0455580865603645</v>
      </c>
      <c r="X149" s="25">
        <v>0.0390532544378698</v>
      </c>
      <c r="Y149" s="25">
        <v>0.38752052545156</v>
      </c>
      <c r="Z149" s="25">
        <v>0.0582102519548219</v>
      </c>
      <c r="AA149" s="25">
        <v>0.151</v>
      </c>
      <c r="AB149" s="25" t="s">
        <v>113</v>
      </c>
      <c r="AC149" s="25" t="s">
        <v>113</v>
      </c>
      <c r="AD149" s="25" t="s">
        <v>113</v>
      </c>
      <c r="AE149" s="25" t="s">
        <v>113</v>
      </c>
      <c r="AF149" s="25" t="s">
        <v>113</v>
      </c>
      <c r="AG149" s="25" t="s">
        <v>113</v>
      </c>
      <c r="AH149" s="25" t="s">
        <v>113</v>
      </c>
      <c r="AI149" s="25" t="s">
        <v>113</v>
      </c>
      <c r="AJ149" s="25" t="s">
        <v>113</v>
      </c>
      <c r="AK149" s="25" t="s">
        <v>113</v>
      </c>
      <c r="AL149" s="25" t="s">
        <v>113</v>
      </c>
      <c r="AM149" s="365" t="s">
        <v>113</v>
      </c>
      <c r="AS149" s="352"/>
      <c r="AT149" s="373" t="s">
        <v>110</v>
      </c>
      <c r="AU149" s="374" t="s">
        <v>104</v>
      </c>
      <c r="AV149" s="375" t="s">
        <v>105</v>
      </c>
      <c r="AW149" s="387"/>
      <c r="AX149" s="16" t="s">
        <v>89</v>
      </c>
      <c r="AY149" s="18" t="s">
        <v>90</v>
      </c>
      <c r="AZ149" s="18" t="s">
        <v>91</v>
      </c>
      <c r="BA149" s="18" t="s">
        <v>20</v>
      </c>
      <c r="BB149" s="18" t="s">
        <v>92</v>
      </c>
      <c r="BC149" s="18" t="s">
        <v>93</v>
      </c>
      <c r="BD149" s="273" t="s">
        <v>111</v>
      </c>
      <c r="BE149" s="387"/>
      <c r="BF149" s="16">
        <v>2025</v>
      </c>
      <c r="BG149" s="16">
        <v>2024</v>
      </c>
      <c r="BH149" s="16">
        <v>2023</v>
      </c>
      <c r="BI149" s="18">
        <v>2022</v>
      </c>
      <c r="BJ149" s="18">
        <v>2021</v>
      </c>
      <c r="BK149" s="18">
        <v>2020</v>
      </c>
      <c r="BL149" s="18">
        <v>2019</v>
      </c>
      <c r="BM149" s="18">
        <v>2018</v>
      </c>
      <c r="BN149" s="18">
        <v>2017</v>
      </c>
      <c r="BO149" s="18">
        <v>2016</v>
      </c>
      <c r="BP149" s="18">
        <v>2015</v>
      </c>
      <c r="BQ149" s="18">
        <v>2014</v>
      </c>
      <c r="BR149" s="18">
        <v>2013</v>
      </c>
      <c r="BS149" s="18">
        <v>2012</v>
      </c>
      <c r="BT149" s="18">
        <v>2011</v>
      </c>
      <c r="BU149" s="273">
        <v>2010</v>
      </c>
    </row>
    <row r="150" spans="2:73">
      <c r="B150" s="339" t="s">
        <v>341</v>
      </c>
      <c r="C150" s="343">
        <v>2.08</v>
      </c>
      <c r="D150" s="344">
        <v>45838</v>
      </c>
      <c r="E150" s="345">
        <v>1946.6999</v>
      </c>
      <c r="F150" s="9">
        <v>-0.001551</v>
      </c>
      <c r="G150" s="10">
        <v>0.073396</v>
      </c>
      <c r="H150" s="10">
        <v>0.072222</v>
      </c>
      <c r="I150" s="10">
        <v>0.094844</v>
      </c>
      <c r="J150" s="10">
        <v>0.189652</v>
      </c>
      <c r="K150" s="10">
        <v>0.188968</v>
      </c>
      <c r="L150" s="23">
        <v>0.122366</v>
      </c>
      <c r="M150" s="20"/>
      <c r="N150" s="24">
        <v>-0.012393</v>
      </c>
      <c r="O150" s="25">
        <v>0.302958251889022</v>
      </c>
      <c r="P150" s="25">
        <v>0.312993181644066</v>
      </c>
      <c r="Q150" s="25">
        <v>-0.0501728215390212</v>
      </c>
      <c r="R150" s="25">
        <v>0.245920217588395</v>
      </c>
      <c r="S150" s="25">
        <v>0.148958333333333</v>
      </c>
      <c r="T150" s="25">
        <v>0.0890527509926262</v>
      </c>
      <c r="U150" s="25">
        <v>-0.127236363996396</v>
      </c>
      <c r="V150" s="25">
        <v>0.544216126960829</v>
      </c>
      <c r="W150" s="25">
        <v>0.0178060821561817</v>
      </c>
      <c r="X150" s="25">
        <v>-0.047684852436666</v>
      </c>
      <c r="Y150" s="25">
        <v>0.322330163675823</v>
      </c>
      <c r="Z150" s="25">
        <v>0.0285088050789812</v>
      </c>
      <c r="AA150" s="25">
        <v>0.207920731818652</v>
      </c>
      <c r="AB150" s="25">
        <v>-0.205720832648484</v>
      </c>
      <c r="AC150" s="25">
        <v>0.164675412420472</v>
      </c>
      <c r="AD150" s="25">
        <v>0.668984570279464</v>
      </c>
      <c r="AE150" s="25">
        <v>-0.418150205581314</v>
      </c>
      <c r="AF150" s="25">
        <v>0.537264131119983</v>
      </c>
      <c r="AG150" s="25">
        <v>0.18975</v>
      </c>
      <c r="AH150" s="25" t="s">
        <v>113</v>
      </c>
      <c r="AI150" s="25" t="s">
        <v>113</v>
      </c>
      <c r="AJ150" s="25" t="s">
        <v>113</v>
      </c>
      <c r="AK150" s="25" t="s">
        <v>113</v>
      </c>
      <c r="AL150" s="25" t="s">
        <v>113</v>
      </c>
      <c r="AM150" s="365" t="s">
        <v>113</v>
      </c>
      <c r="AS150" s="379" t="s">
        <v>342</v>
      </c>
      <c r="AT150" s="382">
        <v>0.37</v>
      </c>
      <c r="AU150" s="383">
        <v>45716</v>
      </c>
      <c r="AV150" s="382">
        <v>350.5314</v>
      </c>
      <c r="AW150" s="33"/>
      <c r="AX150" s="394">
        <v>0.020816</v>
      </c>
      <c r="AY150" s="394">
        <v>0.031041</v>
      </c>
      <c r="AZ150" s="394">
        <v>0.042091</v>
      </c>
      <c r="BA150" s="394">
        <v>0.099174</v>
      </c>
      <c r="BB150" s="394">
        <v>0.07175</v>
      </c>
      <c r="BC150" s="394">
        <v>0.062687</v>
      </c>
      <c r="BD150" s="394">
        <v>0.083603</v>
      </c>
      <c r="BE150" s="34"/>
      <c r="BF150" s="394">
        <v>0.031041</v>
      </c>
      <c r="BG150" s="394">
        <v>0.0968204263823108</v>
      </c>
      <c r="BH150" s="394">
        <v>0.0740775872816267</v>
      </c>
      <c r="BI150" s="394">
        <v>0.00714597663500365</v>
      </c>
      <c r="BJ150" s="394">
        <v>0.0178787247343197</v>
      </c>
      <c r="BK150" s="394">
        <v>0.132306075773353</v>
      </c>
      <c r="BL150" s="394">
        <v>0.141528914490104</v>
      </c>
      <c r="BM150" s="394">
        <v>0.11751485891555</v>
      </c>
      <c r="BN150" s="394">
        <v>0.0623891465993588</v>
      </c>
      <c r="BO150" s="394">
        <v>0.10060298913681</v>
      </c>
      <c r="BP150" s="394">
        <v>0.0898560360037846</v>
      </c>
      <c r="BQ150" s="394">
        <v>0.126379640083873</v>
      </c>
      <c r="BR150" s="394">
        <v>0.105869012657905</v>
      </c>
      <c r="BS150" s="394">
        <v>0.0857073693675</v>
      </c>
      <c r="BT150" s="394">
        <v>0.0189145953869248</v>
      </c>
      <c r="BU150" s="394">
        <v>0.0348597224349297</v>
      </c>
    </row>
    <row r="151" spans="2:73">
      <c r="B151" s="339" t="s">
        <v>343</v>
      </c>
      <c r="C151" s="343">
        <v>2.01</v>
      </c>
      <c r="D151" s="344">
        <v>45838</v>
      </c>
      <c r="E151" s="345">
        <v>2627.5962</v>
      </c>
      <c r="F151" s="9">
        <v>-0.014796</v>
      </c>
      <c r="G151" s="10">
        <v>0.043802</v>
      </c>
      <c r="H151" s="10">
        <v>0.077159</v>
      </c>
      <c r="I151" s="10">
        <v>0.01633</v>
      </c>
      <c r="J151" s="10">
        <v>0.186033</v>
      </c>
      <c r="K151" s="10">
        <v>0.190821</v>
      </c>
      <c r="L151" s="23">
        <v>0.115262</v>
      </c>
      <c r="M151" s="20"/>
      <c r="N151" s="24">
        <v>0.03909</v>
      </c>
      <c r="O151" s="25">
        <v>0.185395932987237</v>
      </c>
      <c r="P151" s="25">
        <v>0.341738654337511</v>
      </c>
      <c r="Q151" s="25">
        <v>-0.0445800639349026</v>
      </c>
      <c r="R151" s="25">
        <v>0.222727595764338</v>
      </c>
      <c r="S151" s="25">
        <v>0.0895505052460412</v>
      </c>
      <c r="T151" s="25">
        <v>0.18032262486862</v>
      </c>
      <c r="U151" s="25">
        <v>-0.0556274814431211</v>
      </c>
      <c r="V151" s="25">
        <v>0.292215034575061</v>
      </c>
      <c r="W151" s="25">
        <v>0.0614419320468806</v>
      </c>
      <c r="X151" s="25">
        <v>0.019799589520705</v>
      </c>
      <c r="Y151" s="25">
        <v>0.499185520361991</v>
      </c>
      <c r="Z151" s="25">
        <v>-0.00171650555605747</v>
      </c>
      <c r="AA151" s="25">
        <v>0.26865329512894</v>
      </c>
      <c r="AB151" s="25">
        <v>-0.219518740495572</v>
      </c>
      <c r="AC151" s="25">
        <v>0.1179</v>
      </c>
      <c r="AD151" s="25" t="s">
        <v>113</v>
      </c>
      <c r="AE151" s="25" t="s">
        <v>113</v>
      </c>
      <c r="AF151" s="25" t="s">
        <v>113</v>
      </c>
      <c r="AG151" s="25" t="s">
        <v>113</v>
      </c>
      <c r="AH151" s="25" t="s">
        <v>113</v>
      </c>
      <c r="AI151" s="25" t="s">
        <v>113</v>
      </c>
      <c r="AJ151" s="25" t="s">
        <v>113</v>
      </c>
      <c r="AK151" s="25" t="s">
        <v>113</v>
      </c>
      <c r="AL151" s="25" t="s">
        <v>113</v>
      </c>
      <c r="AM151" s="365" t="s">
        <v>113</v>
      </c>
      <c r="AS151" s="379" t="s">
        <v>344</v>
      </c>
      <c r="AT151" s="382">
        <v>0.51</v>
      </c>
      <c r="AU151" s="383">
        <v>45716</v>
      </c>
      <c r="AV151" s="382">
        <v>57.1268</v>
      </c>
      <c r="AW151" s="33"/>
      <c r="AX151" s="394">
        <v>0.014645</v>
      </c>
      <c r="AY151" s="394">
        <v>0.027468</v>
      </c>
      <c r="AZ151" s="394">
        <v>0.03948</v>
      </c>
      <c r="BA151" s="394">
        <v>0.092754</v>
      </c>
      <c r="BB151" s="394">
        <v>0.068631</v>
      </c>
      <c r="BC151" s="394">
        <v>0.055253</v>
      </c>
      <c r="BD151" s="394">
        <v>0.069517</v>
      </c>
      <c r="BE151" s="34"/>
      <c r="BF151" s="394">
        <v>0.027468</v>
      </c>
      <c r="BG151" s="394">
        <v>0.0897300186555434</v>
      </c>
      <c r="BH151" s="394">
        <v>0.0769864606319877</v>
      </c>
      <c r="BI151" s="394">
        <v>0.00126580132570071</v>
      </c>
      <c r="BJ151" s="394">
        <v>0.00682164720875727</v>
      </c>
      <c r="BK151" s="394">
        <v>0.117970702913807</v>
      </c>
      <c r="BL151" s="394">
        <v>0.107934404972481</v>
      </c>
      <c r="BM151" s="394">
        <v>0.0594133325369747</v>
      </c>
      <c r="BN151" s="394">
        <v>0.0233092931577178</v>
      </c>
      <c r="BO151" s="394">
        <v>0.154637356433373</v>
      </c>
      <c r="BP151" s="394">
        <v>0.0664647167841049</v>
      </c>
      <c r="BQ151" s="394">
        <v>0.06297</v>
      </c>
      <c r="BR151" s="394" t="s">
        <v>113</v>
      </c>
      <c r="BS151" s="394" t="s">
        <v>113</v>
      </c>
      <c r="BT151" s="394" t="s">
        <v>113</v>
      </c>
      <c r="BU151" s="394" t="s">
        <v>113</v>
      </c>
    </row>
    <row r="152" spans="2:73">
      <c r="B152" s="339" t="s">
        <v>345</v>
      </c>
      <c r="C152" s="343">
        <v>1.76</v>
      </c>
      <c r="D152" s="344">
        <v>45838</v>
      </c>
      <c r="E152" s="345">
        <v>12536.447763037</v>
      </c>
      <c r="F152" s="9">
        <v>-0.008049</v>
      </c>
      <c r="G152" s="10">
        <v>0.041271</v>
      </c>
      <c r="H152" s="10">
        <v>0.07279</v>
      </c>
      <c r="I152" s="10">
        <v>-0.004068</v>
      </c>
      <c r="J152" s="10">
        <v>0.177517</v>
      </c>
      <c r="K152" s="10">
        <v>0.245105</v>
      </c>
      <c r="L152" s="23">
        <v>0.133269</v>
      </c>
      <c r="M152" s="20"/>
      <c r="N152" s="24">
        <v>0.026916</v>
      </c>
      <c r="O152" s="25">
        <v>0.199088048807756</v>
      </c>
      <c r="P152" s="25">
        <v>0.234617318518372</v>
      </c>
      <c r="Q152" s="25">
        <v>0.0887011696587933</v>
      </c>
      <c r="R152" s="25">
        <v>0.394097452319163</v>
      </c>
      <c r="S152" s="25">
        <v>0.108644286713038</v>
      </c>
      <c r="T152" s="25">
        <v>0.108957495065664</v>
      </c>
      <c r="U152" s="25">
        <v>-0.0875853072499771</v>
      </c>
      <c r="V152" s="25">
        <v>0.374445883636388</v>
      </c>
      <c r="W152" s="25">
        <v>0.0495490976764781</v>
      </c>
      <c r="X152" s="25">
        <v>0.0149315039637122</v>
      </c>
      <c r="Y152" s="25">
        <v>0.795757021719257</v>
      </c>
      <c r="Z152" s="25">
        <v>0.0921867145916392</v>
      </c>
      <c r="AA152" s="25">
        <v>0.425429168752393</v>
      </c>
      <c r="AB152" s="25">
        <v>-0.249668591292052</v>
      </c>
      <c r="AC152" s="25">
        <v>0.14792959437296</v>
      </c>
      <c r="AD152" s="25">
        <v>0.986831275720165</v>
      </c>
      <c r="AE152" s="25">
        <v>-0.579976294958446</v>
      </c>
      <c r="AF152" s="25">
        <v>0.41742</v>
      </c>
      <c r="AG152" s="25" t="s">
        <v>113</v>
      </c>
      <c r="AH152" s="25" t="s">
        <v>113</v>
      </c>
      <c r="AI152" s="25" t="s">
        <v>113</v>
      </c>
      <c r="AJ152" s="25" t="s">
        <v>113</v>
      </c>
      <c r="AK152" s="25" t="s">
        <v>113</v>
      </c>
      <c r="AL152" s="25" t="s">
        <v>113</v>
      </c>
      <c r="AM152" s="365" t="s">
        <v>113</v>
      </c>
      <c r="AS152" s="379" t="s">
        <v>346</v>
      </c>
      <c r="AT152" s="382">
        <v>0.48</v>
      </c>
      <c r="AU152" s="383">
        <v>45716</v>
      </c>
      <c r="AV152" s="382">
        <v>1004.5774</v>
      </c>
      <c r="AW152" s="33"/>
      <c r="AX152" s="394">
        <v>0.021466</v>
      </c>
      <c r="AY152" s="394">
        <v>0.031155</v>
      </c>
      <c r="AZ152" s="394">
        <v>0.043927</v>
      </c>
      <c r="BA152" s="394">
        <v>0.102369</v>
      </c>
      <c r="BB152" s="394" t="s">
        <v>113</v>
      </c>
      <c r="BC152" s="394" t="s">
        <v>113</v>
      </c>
      <c r="BD152" s="394" t="s">
        <v>113</v>
      </c>
      <c r="BE152" s="34"/>
      <c r="BF152" s="394">
        <v>0.031155</v>
      </c>
      <c r="BG152" s="394">
        <v>0.10536599486196</v>
      </c>
      <c r="BH152" s="394">
        <v>0.0755056573302071</v>
      </c>
      <c r="BI152" s="394">
        <v>0.0278700000000001</v>
      </c>
      <c r="BJ152" s="394" t="s">
        <v>113</v>
      </c>
      <c r="BK152" s="394" t="s">
        <v>113</v>
      </c>
      <c r="BL152" s="394" t="s">
        <v>113</v>
      </c>
      <c r="BM152" s="394" t="s">
        <v>113</v>
      </c>
      <c r="BN152" s="394" t="s">
        <v>113</v>
      </c>
      <c r="BO152" s="394" t="s">
        <v>113</v>
      </c>
      <c r="BP152" s="394" t="s">
        <v>113</v>
      </c>
      <c r="BQ152" s="394" t="s">
        <v>113</v>
      </c>
      <c r="BR152" s="394" t="s">
        <v>113</v>
      </c>
      <c r="BS152" s="394" t="s">
        <v>113</v>
      </c>
      <c r="BT152" s="394" t="s">
        <v>113</v>
      </c>
      <c r="BU152" s="394" t="s">
        <v>113</v>
      </c>
    </row>
    <row r="153" spans="2:73">
      <c r="B153" s="339" t="s">
        <v>347</v>
      </c>
      <c r="C153" s="343">
        <v>1.65</v>
      </c>
      <c r="D153" s="344">
        <v>45838</v>
      </c>
      <c r="E153" s="345">
        <v>20868.2741</v>
      </c>
      <c r="F153" s="9">
        <v>-0.015667</v>
      </c>
      <c r="G153" s="10">
        <v>0.028705</v>
      </c>
      <c r="H153" s="10">
        <v>0.085731</v>
      </c>
      <c r="I153" s="10">
        <v>0.061178</v>
      </c>
      <c r="J153" s="10">
        <v>0.235183</v>
      </c>
      <c r="K153" s="10">
        <v>0.281559</v>
      </c>
      <c r="L153" s="23">
        <v>0.138251</v>
      </c>
      <c r="M153" s="20"/>
      <c r="N153" s="24">
        <v>0.058511</v>
      </c>
      <c r="O153" s="25">
        <v>0.239723975853647</v>
      </c>
      <c r="P153" s="25">
        <v>0.295843192285013</v>
      </c>
      <c r="Q153" s="25">
        <v>0.182890542914912</v>
      </c>
      <c r="R153" s="25">
        <v>0.401078713955243</v>
      </c>
      <c r="S153" s="25">
        <v>0.0419421780544708</v>
      </c>
      <c r="T153" s="25">
        <v>0.0376636751508019</v>
      </c>
      <c r="U153" s="25">
        <v>-0.14627128127248</v>
      </c>
      <c r="V153" s="25">
        <v>0.387424352840531</v>
      </c>
      <c r="W153" s="25">
        <v>0.0210446288478026</v>
      </c>
      <c r="X153" s="25">
        <v>0.0499312172007948</v>
      </c>
      <c r="Y153" s="25">
        <v>0.514467964711027</v>
      </c>
      <c r="Z153" s="25">
        <v>-0.0226495726495727</v>
      </c>
      <c r="AA153" s="25">
        <v>0.22959940652819</v>
      </c>
      <c r="AB153" s="25">
        <v>-0.259561028082302</v>
      </c>
      <c r="AC153" s="25">
        <v>0.283050449286427</v>
      </c>
      <c r="AD153" s="25">
        <v>1.02304996138537</v>
      </c>
      <c r="AE153" s="25">
        <v>-0.545680278534992</v>
      </c>
      <c r="AF153" s="25">
        <v>0.436586406110659</v>
      </c>
      <c r="AG153" s="25">
        <v>0.370258208479439</v>
      </c>
      <c r="AH153" s="25">
        <v>0.543039842597147</v>
      </c>
      <c r="AI153" s="25">
        <v>0.2198</v>
      </c>
      <c r="AJ153" s="25" t="s">
        <v>113</v>
      </c>
      <c r="AK153" s="25" t="s">
        <v>113</v>
      </c>
      <c r="AL153" s="25" t="s">
        <v>113</v>
      </c>
      <c r="AM153" s="365" t="s">
        <v>113</v>
      </c>
      <c r="AS153" s="379" t="s">
        <v>348</v>
      </c>
      <c r="AT153" s="382">
        <v>0.39</v>
      </c>
      <c r="AU153" s="383">
        <v>45716</v>
      </c>
      <c r="AV153" s="382">
        <v>2530.5156731956</v>
      </c>
      <c r="AW153" s="33"/>
      <c r="AX153" s="394">
        <v>0.018854</v>
      </c>
      <c r="AY153" s="394">
        <v>0.030126</v>
      </c>
      <c r="AZ153" s="394">
        <v>0.043468</v>
      </c>
      <c r="BA153" s="394">
        <v>0.097692</v>
      </c>
      <c r="BB153" s="394">
        <v>0.071714</v>
      </c>
      <c r="BC153" s="394">
        <v>0.066433</v>
      </c>
      <c r="BD153" s="394">
        <v>0.081723</v>
      </c>
      <c r="BE153" s="34"/>
      <c r="BF153" s="394">
        <v>0.030126</v>
      </c>
      <c r="BG153" s="394">
        <v>0.0927001756355724</v>
      </c>
      <c r="BH153" s="394">
        <v>0.0770848073381606</v>
      </c>
      <c r="BI153" s="394">
        <v>0.0123337007706023</v>
      </c>
      <c r="BJ153" s="394">
        <v>0.0278662503524399</v>
      </c>
      <c r="BK153" s="394">
        <v>0.136042518106378</v>
      </c>
      <c r="BL153" s="394">
        <v>0.12750632014018</v>
      </c>
      <c r="BM153" s="394">
        <v>0.0970387979104302</v>
      </c>
      <c r="BN153" s="394">
        <v>0.0238812473237828</v>
      </c>
      <c r="BO153" s="394">
        <v>0.16152872911304</v>
      </c>
      <c r="BP153" s="394">
        <v>0.0691363322574024</v>
      </c>
      <c r="BQ153" s="394">
        <v>0.07194</v>
      </c>
      <c r="BR153" s="394" t="s">
        <v>113</v>
      </c>
      <c r="BS153" s="394" t="s">
        <v>113</v>
      </c>
      <c r="BT153" s="394" t="s">
        <v>113</v>
      </c>
      <c r="BU153" s="394" t="s">
        <v>113</v>
      </c>
    </row>
    <row r="154" spans="2:73">
      <c r="B154" s="339" t="s">
        <v>349</v>
      </c>
      <c r="C154" s="343">
        <v>1.71</v>
      </c>
      <c r="D154" s="344">
        <v>45838</v>
      </c>
      <c r="E154" s="345">
        <v>12243.5070577768</v>
      </c>
      <c r="F154" s="9">
        <v>-0.013823</v>
      </c>
      <c r="G154" s="10">
        <v>0.044732</v>
      </c>
      <c r="H154" s="10">
        <v>0.110814</v>
      </c>
      <c r="I154" s="10">
        <v>0.043061</v>
      </c>
      <c r="J154" s="10">
        <v>0.22809</v>
      </c>
      <c r="K154" s="10">
        <v>0.246236</v>
      </c>
      <c r="L154" s="23">
        <v>0.146823</v>
      </c>
      <c r="M154" s="20"/>
      <c r="N154" s="24">
        <v>0.077268</v>
      </c>
      <c r="O154" s="25">
        <v>0.264657615992839</v>
      </c>
      <c r="P154" s="25">
        <v>0.282870813397129</v>
      </c>
      <c r="Q154" s="25">
        <v>0.0600527490363157</v>
      </c>
      <c r="R154" s="25">
        <v>0.360850358917725</v>
      </c>
      <c r="S154" s="25">
        <v>0.246386785960083</v>
      </c>
      <c r="T154" s="25">
        <v>0.00379965457685663</v>
      </c>
      <c r="U154" s="25">
        <v>-0.0265635507733692</v>
      </c>
      <c r="V154" s="25">
        <v>0.23402489626556</v>
      </c>
      <c r="W154" s="25">
        <v>0.106011932078935</v>
      </c>
      <c r="X154" s="25">
        <v>-0.0521966072205306</v>
      </c>
      <c r="Y154" s="25">
        <v>0.395871281117183</v>
      </c>
      <c r="Z154" s="25">
        <v>0.0921750663129973</v>
      </c>
      <c r="AA154" s="25">
        <v>0.309027777777778</v>
      </c>
      <c r="AB154" s="25">
        <v>-0.237590999338187</v>
      </c>
      <c r="AC154" s="25">
        <v>0.212680577849117</v>
      </c>
      <c r="AD154" s="25">
        <v>0.246</v>
      </c>
      <c r="AE154" s="25" t="s">
        <v>113</v>
      </c>
      <c r="AF154" s="25" t="s">
        <v>113</v>
      </c>
      <c r="AG154" s="25" t="s">
        <v>113</v>
      </c>
      <c r="AH154" s="25" t="s">
        <v>113</v>
      </c>
      <c r="AI154" s="25" t="s">
        <v>113</v>
      </c>
      <c r="AJ154" s="25" t="s">
        <v>113</v>
      </c>
      <c r="AK154" s="25" t="s">
        <v>113</v>
      </c>
      <c r="AL154" s="25" t="s">
        <v>113</v>
      </c>
      <c r="AM154" s="365" t="s">
        <v>113</v>
      </c>
      <c r="AS154" s="379" t="s">
        <v>350</v>
      </c>
      <c r="AT154" s="382">
        <v>0.64</v>
      </c>
      <c r="AU154" s="383">
        <v>45716</v>
      </c>
      <c r="AV154" s="382">
        <v>1843.1193</v>
      </c>
      <c r="AW154" s="33"/>
      <c r="AX154" s="394">
        <v>0.01782</v>
      </c>
      <c r="AY154" s="394">
        <v>0.0279</v>
      </c>
      <c r="AZ154" s="394">
        <v>0.038938</v>
      </c>
      <c r="BA154" s="394">
        <v>0.094125</v>
      </c>
      <c r="BB154" s="394">
        <v>0.071088</v>
      </c>
      <c r="BC154" s="394">
        <v>0.061571</v>
      </c>
      <c r="BD154" s="394">
        <v>0.081257</v>
      </c>
      <c r="BE154" s="34"/>
      <c r="BF154" s="394">
        <v>0.0279</v>
      </c>
      <c r="BG154" s="394">
        <v>0.091438538880376</v>
      </c>
      <c r="BH154" s="394">
        <v>0.0749348765986371</v>
      </c>
      <c r="BI154" s="394">
        <v>0.0132976693858144</v>
      </c>
      <c r="BJ154" s="394">
        <v>0.0239894689176788</v>
      </c>
      <c r="BK154" s="394">
        <v>0.116279173795864</v>
      </c>
      <c r="BL154" s="394">
        <v>0.11891218226728</v>
      </c>
      <c r="BM154" s="394">
        <v>0.0990159191172425</v>
      </c>
      <c r="BN154" s="394">
        <v>0.0623524461793787</v>
      </c>
      <c r="BO154" s="394">
        <v>0.128164895984072</v>
      </c>
      <c r="BP154" s="394">
        <v>0.0908283502392964</v>
      </c>
      <c r="BQ154" s="394">
        <v>0.126240209934638</v>
      </c>
      <c r="BR154" s="394">
        <v>0.0874796318315938</v>
      </c>
      <c r="BS154" s="394">
        <v>0.0919241755388211</v>
      </c>
      <c r="BT154" s="394">
        <v>0.0836016882913867</v>
      </c>
      <c r="BU154" s="394">
        <v>0.0517518236174211</v>
      </c>
    </row>
    <row r="155" ht="14.55" spans="2:73">
      <c r="B155" s="339" t="s">
        <v>351</v>
      </c>
      <c r="C155" s="343">
        <v>1.89</v>
      </c>
      <c r="D155" s="344">
        <v>45838</v>
      </c>
      <c r="E155" s="345">
        <v>3707.1075</v>
      </c>
      <c r="F155" s="9">
        <v>-0.014655</v>
      </c>
      <c r="G155" s="10">
        <v>0.066141</v>
      </c>
      <c r="H155" s="10">
        <v>0.091928</v>
      </c>
      <c r="I155" s="10">
        <v>-0.00238</v>
      </c>
      <c r="J155" s="10">
        <v>0.161715</v>
      </c>
      <c r="K155" s="10">
        <v>0.1998</v>
      </c>
      <c r="L155" s="23" t="s">
        <v>113</v>
      </c>
      <c r="M155" s="20"/>
      <c r="N155" s="24">
        <v>0.052222</v>
      </c>
      <c r="O155" s="25">
        <v>0.16359918200409</v>
      </c>
      <c r="P155" s="25">
        <v>0.226808434382653</v>
      </c>
      <c r="Q155" s="25">
        <v>0.0160840009711095</v>
      </c>
      <c r="R155" s="25">
        <v>0.342349682255174</v>
      </c>
      <c r="S155" s="25">
        <v>0.12791766219445</v>
      </c>
      <c r="T155" s="25">
        <v>0.0882</v>
      </c>
      <c r="U155" s="25" t="s">
        <v>113</v>
      </c>
      <c r="V155" s="25" t="s">
        <v>113</v>
      </c>
      <c r="W155" s="25" t="s">
        <v>113</v>
      </c>
      <c r="X155" s="25" t="s">
        <v>113</v>
      </c>
      <c r="Y155" s="25" t="s">
        <v>113</v>
      </c>
      <c r="Z155" s="25" t="s">
        <v>113</v>
      </c>
      <c r="AA155" s="25" t="s">
        <v>113</v>
      </c>
      <c r="AB155" s="25" t="s">
        <v>113</v>
      </c>
      <c r="AC155" s="25" t="s">
        <v>113</v>
      </c>
      <c r="AD155" s="25" t="s">
        <v>113</v>
      </c>
      <c r="AE155" s="25" t="s">
        <v>113</v>
      </c>
      <c r="AF155" s="25" t="s">
        <v>113</v>
      </c>
      <c r="AG155" s="25" t="s">
        <v>113</v>
      </c>
      <c r="AH155" s="25" t="s">
        <v>113</v>
      </c>
      <c r="AI155" s="25" t="s">
        <v>113</v>
      </c>
      <c r="AJ155" s="25" t="s">
        <v>113</v>
      </c>
      <c r="AK155" s="25" t="s">
        <v>113</v>
      </c>
      <c r="AL155" s="25" t="s">
        <v>113</v>
      </c>
      <c r="AM155" s="365" t="s">
        <v>113</v>
      </c>
      <c r="AS155" s="379" t="s">
        <v>352</v>
      </c>
      <c r="AT155" s="382">
        <v>0.7</v>
      </c>
      <c r="AU155" s="383">
        <v>45716</v>
      </c>
      <c r="AV155" s="382">
        <v>167.7781</v>
      </c>
      <c r="AW155" s="33"/>
      <c r="AX155" s="394">
        <v>0.016682</v>
      </c>
      <c r="AY155" s="394">
        <v>0.027409</v>
      </c>
      <c r="AZ155" s="394">
        <v>0.038784</v>
      </c>
      <c r="BA155" s="394">
        <v>0.092439</v>
      </c>
      <c r="BB155" s="394" t="s">
        <v>113</v>
      </c>
      <c r="BC155" s="394" t="s">
        <v>113</v>
      </c>
      <c r="BD155" s="394" t="s">
        <v>113</v>
      </c>
      <c r="BE155" s="34"/>
      <c r="BF155" s="394">
        <v>0.027409</v>
      </c>
      <c r="BG155" s="394">
        <v>0.0903845106969823</v>
      </c>
      <c r="BH155" s="394">
        <v>0.0729005441501427</v>
      </c>
      <c r="BI155" s="394">
        <v>0.02729</v>
      </c>
      <c r="BJ155" s="394" t="s">
        <v>113</v>
      </c>
      <c r="BK155" s="394" t="s">
        <v>113</v>
      </c>
      <c r="BL155" s="394" t="s">
        <v>113</v>
      </c>
      <c r="BM155" s="394" t="s">
        <v>113</v>
      </c>
      <c r="BN155" s="394" t="s">
        <v>113</v>
      </c>
      <c r="BO155" s="394" t="s">
        <v>113</v>
      </c>
      <c r="BP155" s="394" t="s">
        <v>113</v>
      </c>
      <c r="BQ155" s="394" t="s">
        <v>113</v>
      </c>
      <c r="BR155" s="394" t="s">
        <v>113</v>
      </c>
      <c r="BS155" s="394" t="s">
        <v>113</v>
      </c>
      <c r="BT155" s="394" t="s">
        <v>113</v>
      </c>
      <c r="BU155" s="394" t="s">
        <v>113</v>
      </c>
    </row>
    <row r="156" ht="14.55" spans="2:73">
      <c r="B156" s="339" t="s">
        <v>353</v>
      </c>
      <c r="C156" s="343">
        <v>1.77</v>
      </c>
      <c r="D156" s="344">
        <v>45838</v>
      </c>
      <c r="E156" s="345">
        <v>8084.399</v>
      </c>
      <c r="F156" s="9">
        <v>0.000385</v>
      </c>
      <c r="G156" s="10">
        <v>0.07278</v>
      </c>
      <c r="H156" s="10">
        <v>0.088243</v>
      </c>
      <c r="I156" s="10">
        <v>0.045067</v>
      </c>
      <c r="J156" s="10">
        <v>0.122636</v>
      </c>
      <c r="K156" s="10">
        <v>0.180155</v>
      </c>
      <c r="L156" s="23" t="s">
        <v>113</v>
      </c>
      <c r="M156" s="20"/>
      <c r="N156" s="24">
        <v>0.022922</v>
      </c>
      <c r="O156" s="25">
        <v>0.162013729977117</v>
      </c>
      <c r="P156" s="25">
        <v>0.172021670332028</v>
      </c>
      <c r="Q156" s="25">
        <v>-0.0679898015297705</v>
      </c>
      <c r="R156" s="25">
        <v>0.395590595130119</v>
      </c>
      <c r="S156" s="25">
        <v>0.212298063097353</v>
      </c>
      <c r="T156" s="25">
        <v>0.1823</v>
      </c>
      <c r="U156" s="25" t="s">
        <v>113</v>
      </c>
      <c r="V156" s="25" t="s">
        <v>113</v>
      </c>
      <c r="W156" s="25" t="s">
        <v>113</v>
      </c>
      <c r="X156" s="25" t="s">
        <v>113</v>
      </c>
      <c r="Y156" s="25" t="s">
        <v>113</v>
      </c>
      <c r="Z156" s="25" t="s">
        <v>113</v>
      </c>
      <c r="AA156" s="25" t="s">
        <v>113</v>
      </c>
      <c r="AB156" s="25" t="s">
        <v>113</v>
      </c>
      <c r="AC156" s="25" t="s">
        <v>113</v>
      </c>
      <c r="AD156" s="25" t="s">
        <v>113</v>
      </c>
      <c r="AE156" s="25" t="s">
        <v>113</v>
      </c>
      <c r="AF156" s="25" t="s">
        <v>113</v>
      </c>
      <c r="AG156" s="25" t="s">
        <v>113</v>
      </c>
      <c r="AH156" s="25" t="s">
        <v>113</v>
      </c>
      <c r="AI156" s="25" t="s">
        <v>113</v>
      </c>
      <c r="AJ156" s="25" t="s">
        <v>113</v>
      </c>
      <c r="AK156" s="25" t="s">
        <v>113</v>
      </c>
      <c r="AL156" s="25" t="s">
        <v>113</v>
      </c>
      <c r="AM156" s="365" t="s">
        <v>113</v>
      </c>
      <c r="AS156" s="4" t="s">
        <v>146</v>
      </c>
      <c r="AT156"/>
      <c r="AU156"/>
      <c r="AV156"/>
      <c r="AW156" s="395"/>
      <c r="AX156" s="396">
        <f t="shared" ref="AX156:BD156" si="21">AVERAGE(AX150:AX155)</f>
        <v>0.0183805</v>
      </c>
      <c r="AY156" s="396">
        <f t="shared" si="21"/>
        <v>0.0291831666666667</v>
      </c>
      <c r="AZ156" s="396">
        <f t="shared" si="21"/>
        <v>0.0411146666666667</v>
      </c>
      <c r="BA156" s="396">
        <f t="shared" si="21"/>
        <v>0.0964255</v>
      </c>
      <c r="BB156" s="396">
        <f t="shared" si="21"/>
        <v>0.07079575</v>
      </c>
      <c r="BC156" s="396">
        <f t="shared" si="21"/>
        <v>0.061486</v>
      </c>
      <c r="BD156" s="396">
        <f t="shared" si="21"/>
        <v>0.079025</v>
      </c>
      <c r="BE156" s="395"/>
      <c r="BF156" s="396">
        <f t="shared" ref="BF156:BU156" si="22">AVERAGE(BF150:BF155)</f>
        <v>0.0291831666666667</v>
      </c>
      <c r="BG156" s="396">
        <f t="shared" si="22"/>
        <v>0.0944066108521242</v>
      </c>
      <c r="BH156" s="396">
        <f t="shared" si="22"/>
        <v>0.0752483222217936</v>
      </c>
      <c r="BI156" s="396">
        <f t="shared" si="22"/>
        <v>0.0148671913528535</v>
      </c>
      <c r="BJ156" s="396">
        <f t="shared" si="22"/>
        <v>0.0191390228032989</v>
      </c>
      <c r="BK156" s="396">
        <f t="shared" si="22"/>
        <v>0.12564961764735</v>
      </c>
      <c r="BL156" s="396">
        <f t="shared" si="22"/>
        <v>0.123970455467511</v>
      </c>
      <c r="BM156" s="396">
        <f t="shared" si="22"/>
        <v>0.0932457271200493</v>
      </c>
      <c r="BN156" s="396">
        <f t="shared" si="22"/>
        <v>0.0429830333150595</v>
      </c>
      <c r="BO156" s="396">
        <f t="shared" si="22"/>
        <v>0.136233492666824</v>
      </c>
      <c r="BP156" s="396">
        <f t="shared" si="22"/>
        <v>0.0790713588211471</v>
      </c>
      <c r="BQ156" s="396">
        <f t="shared" si="22"/>
        <v>0.0968824625046278</v>
      </c>
      <c r="BR156" s="396">
        <f t="shared" si="22"/>
        <v>0.0966743222447494</v>
      </c>
      <c r="BS156" s="396">
        <f t="shared" si="22"/>
        <v>0.0888157724531606</v>
      </c>
      <c r="BT156" s="396">
        <f t="shared" si="22"/>
        <v>0.0512581418391558</v>
      </c>
      <c r="BU156" s="396">
        <f t="shared" si="22"/>
        <v>0.0433057730261754</v>
      </c>
    </row>
    <row r="157" spans="2:73">
      <c r="B157" s="339" t="s">
        <v>354</v>
      </c>
      <c r="C157" s="343">
        <v>1.84</v>
      </c>
      <c r="D157" s="344">
        <v>45838</v>
      </c>
      <c r="E157" s="345">
        <v>8787.5983</v>
      </c>
      <c r="F157" s="9">
        <v>-0.019532</v>
      </c>
      <c r="G157" s="10">
        <v>0.056624</v>
      </c>
      <c r="H157" s="10">
        <v>0.104236</v>
      </c>
      <c r="I157" s="10">
        <v>-0.006902</v>
      </c>
      <c r="J157" s="10">
        <v>0.152843</v>
      </c>
      <c r="K157" s="10">
        <v>0.233485</v>
      </c>
      <c r="L157" s="23">
        <v>0.131762</v>
      </c>
      <c r="M157" s="20"/>
      <c r="N157" s="24">
        <v>0.061324</v>
      </c>
      <c r="O157" s="25">
        <v>0.10104115262175</v>
      </c>
      <c r="P157" s="25">
        <v>0.270724413863655</v>
      </c>
      <c r="Q157" s="25">
        <v>0.07665179576113</v>
      </c>
      <c r="R157" s="25">
        <v>0.36552377405832</v>
      </c>
      <c r="S157" s="25">
        <v>0.161467026956662</v>
      </c>
      <c r="T157" s="25">
        <v>0.0699886999049714</v>
      </c>
      <c r="U157" s="25">
        <v>-0.127348614356738</v>
      </c>
      <c r="V157" s="25">
        <v>0.427318642882127</v>
      </c>
      <c r="W157" s="25">
        <v>0.0289769111833486</v>
      </c>
      <c r="X157" s="25">
        <v>0.082771908056154</v>
      </c>
      <c r="Y157" s="25">
        <v>0.815347436811663</v>
      </c>
      <c r="Z157" s="25">
        <v>0.0288339485973146</v>
      </c>
      <c r="AA157" s="25">
        <v>0.416569062505155</v>
      </c>
      <c r="AB157" s="25">
        <v>-0.286054153367802</v>
      </c>
      <c r="AC157" s="25">
        <v>0.259766465377825</v>
      </c>
      <c r="AD157" s="25">
        <v>0.792908065545861</v>
      </c>
      <c r="AE157" s="25">
        <v>-0.546371101551234</v>
      </c>
      <c r="AF157" s="25">
        <v>0.633830168963546</v>
      </c>
      <c r="AG157" s="25">
        <v>0.01442</v>
      </c>
      <c r="AH157" s="25" t="s">
        <v>113</v>
      </c>
      <c r="AI157" s="25" t="s">
        <v>113</v>
      </c>
      <c r="AJ157" s="25" t="s">
        <v>113</v>
      </c>
      <c r="AK157" s="25" t="s">
        <v>113</v>
      </c>
      <c r="AL157" s="25" t="s">
        <v>113</v>
      </c>
      <c r="AM157" s="365" t="s">
        <v>113</v>
      </c>
      <c r="AS157" s="4" t="s">
        <v>162</v>
      </c>
      <c r="AT157"/>
      <c r="AU157"/>
      <c r="AV157"/>
      <c r="AW157"/>
      <c r="AX157" s="397">
        <v>0.0087263867959253</v>
      </c>
      <c r="AY157" s="397">
        <v>0.0207643930788102</v>
      </c>
      <c r="AZ157" s="397">
        <v>0.0377184412193585</v>
      </c>
      <c r="BA157" s="397">
        <v>0.080280059411505</v>
      </c>
      <c r="BB157" s="397">
        <v>0.0659301709109001</v>
      </c>
      <c r="BC157" s="397">
        <v>0.0655149768088614</v>
      </c>
      <c r="BD157" s="397">
        <v>0.0738047315298365</v>
      </c>
      <c r="BE157" s="400"/>
      <c r="BF157" s="397">
        <v>0.0207643930788102</v>
      </c>
      <c r="BG157" s="397">
        <v>0.0797029257152309</v>
      </c>
      <c r="BH157" s="397">
        <v>0.0725988870220093</v>
      </c>
      <c r="BI157" s="397">
        <v>0.0358682288812193</v>
      </c>
      <c r="BJ157" s="397">
        <v>0.0437965988907254</v>
      </c>
      <c r="BK157" s="397">
        <v>0.104161972570555</v>
      </c>
      <c r="BL157" s="397">
        <v>0.0953364838894115</v>
      </c>
      <c r="BM157" s="397">
        <v>0.0665068187794211</v>
      </c>
      <c r="BN157" s="397">
        <v>0.0602957159773323</v>
      </c>
      <c r="BO157" s="397">
        <v>0.0986738756953636</v>
      </c>
      <c r="BP157" s="397">
        <v>0.0865549936165921</v>
      </c>
      <c r="BQ157" s="397">
        <v>0.104681934209951</v>
      </c>
      <c r="BR157" s="397">
        <v>0.0827206164504672</v>
      </c>
      <c r="BS157" s="397">
        <v>0.0912371315059957</v>
      </c>
      <c r="BT157" s="397">
        <v>0.0786771029274067</v>
      </c>
      <c r="BU157" s="397">
        <v>0.0470040326565153</v>
      </c>
    </row>
    <row r="158" ht="14.55" spans="2:73">
      <c r="B158" s="339" t="s">
        <v>355</v>
      </c>
      <c r="C158" s="343">
        <v>2.17</v>
      </c>
      <c r="D158" s="344">
        <v>45838</v>
      </c>
      <c r="E158" s="345">
        <v>1073.7256</v>
      </c>
      <c r="F158" s="9">
        <v>-0.03515</v>
      </c>
      <c r="G158" s="10">
        <v>0.0426</v>
      </c>
      <c r="H158" s="10">
        <v>0.019297</v>
      </c>
      <c r="I158" s="10">
        <v>-0.100497</v>
      </c>
      <c r="J158" s="10">
        <v>0.166698</v>
      </c>
      <c r="K158" s="10">
        <v>0.217358</v>
      </c>
      <c r="L158" s="23">
        <v>0.138449</v>
      </c>
      <c r="M158" s="20"/>
      <c r="N158" s="24">
        <v>0.006636</v>
      </c>
      <c r="O158" s="25">
        <v>0.116468241353001</v>
      </c>
      <c r="P158" s="25">
        <v>0.282126007520099</v>
      </c>
      <c r="Q158" s="25">
        <v>0.0967723909787881</v>
      </c>
      <c r="R158" s="25">
        <v>0.355970388630285</v>
      </c>
      <c r="S158" s="25">
        <v>0.234646784041512</v>
      </c>
      <c r="T158" s="25">
        <v>0.0298139358634287</v>
      </c>
      <c r="U158" s="25">
        <v>-0.0773447268460631</v>
      </c>
      <c r="V158" s="25">
        <v>0.351088871096878</v>
      </c>
      <c r="W158" s="25">
        <v>0.0582593370839829</v>
      </c>
      <c r="X158" s="25">
        <v>0.178460524607842</v>
      </c>
      <c r="Y158" s="25">
        <v>0.641335343669081</v>
      </c>
      <c r="Z158" s="25">
        <v>0.0102568772403287</v>
      </c>
      <c r="AA158" s="25">
        <v>0.502113954587281</v>
      </c>
      <c r="AB158" s="25">
        <v>-0.32138426875269</v>
      </c>
      <c r="AC158" s="25">
        <v>0.139320463023497</v>
      </c>
      <c r="AD158" s="25">
        <v>0.607703722023</v>
      </c>
      <c r="AE158" s="25">
        <v>-0.35304</v>
      </c>
      <c r="AF158" s="25" t="s">
        <v>113</v>
      </c>
      <c r="AG158" s="25" t="s">
        <v>113</v>
      </c>
      <c r="AH158" s="25" t="s">
        <v>113</v>
      </c>
      <c r="AI158" s="25" t="s">
        <v>113</v>
      </c>
      <c r="AJ158" s="25" t="s">
        <v>113</v>
      </c>
      <c r="AK158" s="25" t="s">
        <v>113</v>
      </c>
      <c r="AL158" s="25" t="s">
        <v>113</v>
      </c>
      <c r="AM158" s="365" t="s">
        <v>113</v>
      </c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</row>
    <row r="159" ht="14.55" spans="2:73">
      <c r="B159" s="339" t="s">
        <v>356</v>
      </c>
      <c r="C159" s="346">
        <v>1.55</v>
      </c>
      <c r="D159" s="347">
        <v>45838</v>
      </c>
      <c r="E159" s="348">
        <v>38610.4341</v>
      </c>
      <c r="F159" s="9">
        <v>-0.027196</v>
      </c>
      <c r="G159" s="10">
        <v>0.044093</v>
      </c>
      <c r="H159" s="10">
        <v>0.055988</v>
      </c>
      <c r="I159" s="10">
        <v>0.041852</v>
      </c>
      <c r="J159" s="10">
        <v>0.157173</v>
      </c>
      <c r="K159" s="10">
        <v>0.197046</v>
      </c>
      <c r="L159" s="23">
        <v>0.141063</v>
      </c>
      <c r="M159" s="20"/>
      <c r="N159" s="24">
        <v>0.055903</v>
      </c>
      <c r="O159" s="25">
        <v>0.171529701260485</v>
      </c>
      <c r="P159" s="25">
        <v>0.222313186507412</v>
      </c>
      <c r="Q159" s="25">
        <v>-0.0848712480504187</v>
      </c>
      <c r="R159" s="25">
        <v>0.429818917441349</v>
      </c>
      <c r="S159" s="25">
        <v>0.145394941753406</v>
      </c>
      <c r="T159" s="25">
        <v>0.160636659819886</v>
      </c>
      <c r="U159" s="25">
        <v>-0.0381369648571365</v>
      </c>
      <c r="V159" s="25">
        <v>0.44725535837047</v>
      </c>
      <c r="W159" s="25">
        <v>0.022249366387034</v>
      </c>
      <c r="X159" s="25">
        <v>0.0433054952359351</v>
      </c>
      <c r="Y159" s="25">
        <v>0.580149529659318</v>
      </c>
      <c r="Z159" s="25">
        <v>-0.0787283425956195</v>
      </c>
      <c r="AA159" s="25">
        <v>0.563106796116505</v>
      </c>
      <c r="AB159" s="25">
        <v>-0.105780214758967</v>
      </c>
      <c r="AC159" s="25">
        <v>0.330799635147461</v>
      </c>
      <c r="AD159" s="25">
        <v>1.08958068614994</v>
      </c>
      <c r="AE159" s="25">
        <v>-0.685388766739956</v>
      </c>
      <c r="AF159" s="25">
        <v>0.644641683103222</v>
      </c>
      <c r="AG159" s="25">
        <v>0.294468085106383</v>
      </c>
      <c r="AH159" s="25">
        <v>0.802147239263804</v>
      </c>
      <c r="AI159" s="25">
        <v>0.304</v>
      </c>
      <c r="AJ159" s="25" t="s">
        <v>113</v>
      </c>
      <c r="AK159" s="25" t="s">
        <v>113</v>
      </c>
      <c r="AL159" s="25" t="s">
        <v>113</v>
      </c>
      <c r="AM159" s="365" t="s">
        <v>113</v>
      </c>
      <c r="AS159" s="350" t="s">
        <v>357</v>
      </c>
      <c r="AT159" s="369" t="s">
        <v>16</v>
      </c>
      <c r="AU159" s="411" t="s">
        <v>99</v>
      </c>
      <c r="AV159" s="412"/>
      <c r="AW159" s="386"/>
      <c r="AX159" s="353" t="s">
        <v>102</v>
      </c>
      <c r="AY159" s="354"/>
      <c r="AZ159" s="354"/>
      <c r="BA159" s="354"/>
      <c r="BB159" s="354"/>
      <c r="BC159" s="354"/>
      <c r="BD159" s="363"/>
      <c r="BE159" s="386"/>
      <c r="BF159" s="411" t="s">
        <v>103</v>
      </c>
      <c r="BG159" s="414"/>
      <c r="BH159" s="414"/>
      <c r="BI159" s="414"/>
      <c r="BJ159" s="414"/>
      <c r="BK159" s="414"/>
      <c r="BL159" s="414"/>
      <c r="BM159" s="414"/>
      <c r="BN159" s="414"/>
      <c r="BO159" s="414"/>
      <c r="BP159" s="414"/>
      <c r="BQ159" s="414"/>
      <c r="BR159" s="414"/>
      <c r="BS159" s="414"/>
      <c r="BT159" s="414"/>
      <c r="BU159" s="416"/>
    </row>
    <row r="160" ht="14.55" spans="2:73">
      <c r="B160" s="4" t="s">
        <v>140</v>
      </c>
      <c r="F160" s="6">
        <v>-0.028956</v>
      </c>
      <c r="G160" s="7">
        <v>0.011756</v>
      </c>
      <c r="H160" s="7">
        <v>0.047548</v>
      </c>
      <c r="I160" s="7">
        <v>-0.006799</v>
      </c>
      <c r="J160" s="7">
        <v>0.121048</v>
      </c>
      <c r="K160" s="7">
        <v>0.166288</v>
      </c>
      <c r="L160" s="19">
        <v>0.111775</v>
      </c>
      <c r="M160" s="20"/>
      <c r="N160" s="21">
        <v>0.038989</v>
      </c>
      <c r="O160" s="22">
        <v>0.0816546064479834</v>
      </c>
      <c r="P160" s="22">
        <v>0.187366557342991</v>
      </c>
      <c r="Q160" s="22">
        <v>0.0444077315444721</v>
      </c>
      <c r="R160" s="22">
        <v>0.219941308441042</v>
      </c>
      <c r="S160" s="22">
        <v>0.157503053056523</v>
      </c>
      <c r="T160" s="22">
        <v>0.143766290260736</v>
      </c>
      <c r="U160" s="22">
        <v>0.0590630425673793</v>
      </c>
      <c r="V160" s="22">
        <v>0.27905962715284</v>
      </c>
      <c r="W160" s="22">
        <v>0.0194857555497186</v>
      </c>
      <c r="X160" s="22">
        <v>-0.0502512416625513</v>
      </c>
      <c r="Y160" s="22">
        <v>0.298938909850794</v>
      </c>
      <c r="Z160" s="22">
        <v>0.0897717626916756</v>
      </c>
      <c r="AA160" s="22">
        <v>0.256991948195138</v>
      </c>
      <c r="AB160" s="22">
        <v>-0.246435604895195</v>
      </c>
      <c r="AC160" s="22">
        <v>0.174309368381334</v>
      </c>
      <c r="AD160" s="22">
        <v>0.810329511542596</v>
      </c>
      <c r="AE160" s="22">
        <v>-0.524458285827518</v>
      </c>
      <c r="AF160" s="22">
        <v>0.4714675006945</v>
      </c>
      <c r="AG160" s="22">
        <v>0.467015608756396</v>
      </c>
      <c r="AH160" s="22">
        <v>0.423348665468165</v>
      </c>
      <c r="AI160" s="22">
        <v>0.130798977900174</v>
      </c>
      <c r="AJ160" s="22">
        <v>0.728894258101194</v>
      </c>
      <c r="AK160" s="22">
        <v>0.0352355525038853</v>
      </c>
      <c r="AL160" s="22">
        <v>-0.178692990141285</v>
      </c>
      <c r="AM160" s="366">
        <v>-0.206499634425529</v>
      </c>
      <c r="AS160" s="352"/>
      <c r="AT160" s="373" t="s">
        <v>110</v>
      </c>
      <c r="AU160" s="374" t="s">
        <v>104</v>
      </c>
      <c r="AV160" s="375" t="s">
        <v>105</v>
      </c>
      <c r="AW160" s="387"/>
      <c r="AX160" s="16" t="s">
        <v>89</v>
      </c>
      <c r="AY160" s="18" t="s">
        <v>90</v>
      </c>
      <c r="AZ160" s="18" t="s">
        <v>91</v>
      </c>
      <c r="BA160" s="18" t="s">
        <v>20</v>
      </c>
      <c r="BB160" s="18" t="s">
        <v>92</v>
      </c>
      <c r="BC160" s="18" t="s">
        <v>93</v>
      </c>
      <c r="BD160" s="273" t="s">
        <v>111</v>
      </c>
      <c r="BE160" s="387"/>
      <c r="BF160" s="16">
        <v>2025</v>
      </c>
      <c r="BG160" s="16">
        <v>2024</v>
      </c>
      <c r="BH160" s="16">
        <v>2023</v>
      </c>
      <c r="BI160" s="18">
        <v>2022</v>
      </c>
      <c r="BJ160" s="18">
        <v>2021</v>
      </c>
      <c r="BK160" s="18">
        <v>2020</v>
      </c>
      <c r="BL160" s="18">
        <v>2019</v>
      </c>
      <c r="BM160" s="18">
        <v>2018</v>
      </c>
      <c r="BN160" s="18">
        <v>2017</v>
      </c>
      <c r="BO160" s="18">
        <v>2016</v>
      </c>
      <c r="BP160" s="18">
        <v>2015</v>
      </c>
      <c r="BQ160" s="18">
        <v>2014</v>
      </c>
      <c r="BR160" s="18">
        <v>2013</v>
      </c>
      <c r="BS160" s="18">
        <v>2012</v>
      </c>
      <c r="BT160" s="18">
        <v>2011</v>
      </c>
      <c r="BU160" s="273">
        <v>2010</v>
      </c>
    </row>
    <row r="161" spans="2:73">
      <c r="B161" s="8" t="s">
        <v>234</v>
      </c>
      <c r="F161" s="9">
        <v>-0.028654</v>
      </c>
      <c r="G161" s="10">
        <v>0.038723</v>
      </c>
      <c r="H161" s="10">
        <v>0.05945</v>
      </c>
      <c r="I161" s="10">
        <v>-0.032041</v>
      </c>
      <c r="J161" s="10">
        <v>0.154431</v>
      </c>
      <c r="K161" s="10">
        <v>0.201781</v>
      </c>
      <c r="L161" s="23">
        <v>0.123351</v>
      </c>
      <c r="M161" s="20"/>
      <c r="N161" s="24">
        <v>0.022527</v>
      </c>
      <c r="O161" s="25">
        <v>0.145465796535709</v>
      </c>
      <c r="P161" s="25">
        <v>0.248498523517645</v>
      </c>
      <c r="Q161" s="25">
        <v>0.0333786905211876</v>
      </c>
      <c r="R161" s="25">
        <v>0.301140430926607</v>
      </c>
      <c r="S161" s="25">
        <v>0.168033833223551</v>
      </c>
      <c r="T161" s="25">
        <v>0.077511676096721</v>
      </c>
      <c r="U161" s="25">
        <v>-0.0308170579621176</v>
      </c>
      <c r="V161" s="25">
        <v>0.359381285994397</v>
      </c>
      <c r="W161" s="25">
        <v>0.037823178380737</v>
      </c>
      <c r="X161" s="25">
        <v>-0.00815175318655217</v>
      </c>
      <c r="Y161" s="25">
        <v>0.369590487893985</v>
      </c>
      <c r="Z161" s="25">
        <v>0.0325486673604544</v>
      </c>
      <c r="AA161" s="25">
        <v>0.311989935417777</v>
      </c>
      <c r="AB161" s="25">
        <v>-0.274131836715211</v>
      </c>
      <c r="AC161" s="25">
        <v>0.163514925645804</v>
      </c>
      <c r="AD161" s="25">
        <v>0.902289503315401</v>
      </c>
      <c r="AE161" s="25">
        <v>-0.581393156534298</v>
      </c>
      <c r="AF161" s="25">
        <v>0.63020702896736</v>
      </c>
      <c r="AG161" s="25">
        <v>0.388518319476496</v>
      </c>
      <c r="AH161" s="25">
        <v>0.365625168636339</v>
      </c>
      <c r="AI161" s="25">
        <v>0.17465220845518</v>
      </c>
      <c r="AJ161" s="25">
        <v>1.0109625827505</v>
      </c>
      <c r="AK161" s="25">
        <v>0.169921059434094</v>
      </c>
      <c r="AL161" s="25">
        <v>-0.229055845967532</v>
      </c>
      <c r="AM161" s="365">
        <v>-0.27172553923101</v>
      </c>
      <c r="AS161" s="379" t="s">
        <v>358</v>
      </c>
      <c r="AT161" s="382">
        <v>0.25</v>
      </c>
      <c r="AU161" s="383">
        <v>45716</v>
      </c>
      <c r="AV161" s="382">
        <v>1089.61688824819</v>
      </c>
      <c r="AW161" s="33"/>
      <c r="AX161" s="394">
        <v>0.006301</v>
      </c>
      <c r="AY161" s="394">
        <v>0.017599</v>
      </c>
      <c r="AZ161" s="394">
        <v>0.034977</v>
      </c>
      <c r="BA161" s="394">
        <v>0.071501</v>
      </c>
      <c r="BB161" s="394">
        <v>0.065809</v>
      </c>
      <c r="BC161" s="394">
        <v>0.051583</v>
      </c>
      <c r="BD161" s="394">
        <v>0.058813</v>
      </c>
      <c r="BE161" s="34"/>
      <c r="BF161" s="394">
        <v>0.017599</v>
      </c>
      <c r="BG161" s="394">
        <v>0.0719308939190592</v>
      </c>
      <c r="BH161" s="394">
        <v>0.0691458581772568</v>
      </c>
      <c r="BI161" s="394">
        <v>0.0470646842059081</v>
      </c>
      <c r="BJ161" s="394">
        <v>0.0299592693148846</v>
      </c>
      <c r="BK161" s="394">
        <v>0.0343236552841073</v>
      </c>
      <c r="BL161" s="394">
        <v>0.0592331003541828</v>
      </c>
      <c r="BM161" s="394">
        <v>0.0683720232684155</v>
      </c>
      <c r="BN161" s="394">
        <v>0.0619317489234675</v>
      </c>
      <c r="BO161" s="394">
        <v>0.071933410139127</v>
      </c>
      <c r="BP161" s="394">
        <v>0.0778529113379874</v>
      </c>
      <c r="BQ161" s="394">
        <v>0.0841569947085716</v>
      </c>
      <c r="BR161" s="394">
        <v>0.0103255148060798</v>
      </c>
      <c r="BS161" s="394" t="s">
        <v>113</v>
      </c>
      <c r="BT161" s="394" t="s">
        <v>113</v>
      </c>
      <c r="BU161" s="394" t="s">
        <v>113</v>
      </c>
    </row>
    <row r="162" ht="14.55" spans="2:73">
      <c r="B162" s="11" t="s">
        <v>142</v>
      </c>
      <c r="F162" s="408">
        <v>-0.029341</v>
      </c>
      <c r="G162" s="409">
        <v>0.017841</v>
      </c>
      <c r="H162" s="409">
        <v>0.053596</v>
      </c>
      <c r="I162" s="409">
        <v>-0.007326</v>
      </c>
      <c r="J162" s="409">
        <v>0.129786</v>
      </c>
      <c r="K162" s="409">
        <v>0.174585</v>
      </c>
      <c r="L162" s="410">
        <v>0.112352</v>
      </c>
      <c r="M162" s="20"/>
      <c r="N162" s="24">
        <v>0.047518</v>
      </c>
      <c r="O162" s="25">
        <v>0.0880476902077809</v>
      </c>
      <c r="P162" s="25">
        <v>0.200278393101744</v>
      </c>
      <c r="Q162" s="25">
        <v>0.0432896067488569</v>
      </c>
      <c r="R162" s="25">
        <v>0.241192983710909</v>
      </c>
      <c r="S162" s="25">
        <v>0.149016514017808</v>
      </c>
      <c r="T162" s="25">
        <v>0.120220390239861</v>
      </c>
      <c r="U162" s="25">
        <v>0.0315126249916908</v>
      </c>
      <c r="V162" s="25">
        <v>0.286459478609299</v>
      </c>
      <c r="W162" s="25">
        <v>0.0301333316554141</v>
      </c>
      <c r="X162" s="25">
        <v>-0.0406087386963189</v>
      </c>
      <c r="Y162" s="25">
        <v>0.313880076142132</v>
      </c>
      <c r="Z162" s="25">
        <v>0.0675517772772687</v>
      </c>
      <c r="AA162" s="25">
        <v>0.276971649763207</v>
      </c>
      <c r="AB162" s="25">
        <v>-0.246181432879615</v>
      </c>
      <c r="AC162" s="25">
        <v>0.179473375568395</v>
      </c>
      <c r="AD162" s="25">
        <v>0.757616207356842</v>
      </c>
      <c r="AE162" s="25">
        <v>-0.517943830840908</v>
      </c>
      <c r="AF162" s="25">
        <v>0.547650262202501</v>
      </c>
      <c r="AG162" s="25">
        <v>0.398318379721845</v>
      </c>
      <c r="AH162" s="25">
        <v>0.363398221581351</v>
      </c>
      <c r="AI162" s="25">
        <v>0.106796116504854</v>
      </c>
      <c r="AJ162" s="25">
        <v>0.719021490626429</v>
      </c>
      <c r="AK162" s="25">
        <v>0.0325291534866154</v>
      </c>
      <c r="AL162" s="25">
        <v>-0.161845593763603</v>
      </c>
      <c r="AM162" s="365">
        <v>-0.146509507244419</v>
      </c>
      <c r="AS162" s="379" t="s">
        <v>359</v>
      </c>
      <c r="AT162" s="382">
        <v>0.34</v>
      </c>
      <c r="AU162" s="383">
        <v>45716</v>
      </c>
      <c r="AV162" s="382">
        <v>57091.442</v>
      </c>
      <c r="AW162" s="33"/>
      <c r="AX162" s="394">
        <v>0.006742</v>
      </c>
      <c r="AY162" s="394">
        <v>0.01811</v>
      </c>
      <c r="AZ162" s="394">
        <v>0.035815</v>
      </c>
      <c r="BA162" s="394">
        <v>0.073173</v>
      </c>
      <c r="BB162" s="394">
        <v>0.067222</v>
      </c>
      <c r="BC162" s="394">
        <v>0.054259</v>
      </c>
      <c r="BD162" s="394">
        <v>0.063129</v>
      </c>
      <c r="BE162" s="34"/>
      <c r="BF162" s="394">
        <v>0.01811</v>
      </c>
      <c r="BG162" s="394">
        <v>0.0734930363941196</v>
      </c>
      <c r="BH162" s="394">
        <v>0.0705207720837666</v>
      </c>
      <c r="BI162" s="394">
        <v>0.0482077048054806</v>
      </c>
      <c r="BJ162" s="394">
        <v>0.0326238352673638</v>
      </c>
      <c r="BK162" s="394">
        <v>0.042912121927714</v>
      </c>
      <c r="BL162" s="394">
        <v>0.0669416819399335</v>
      </c>
      <c r="BM162" s="394">
        <v>0.0741125279586425</v>
      </c>
      <c r="BN162" s="394">
        <v>0.0668582103411734</v>
      </c>
      <c r="BO162" s="394">
        <v>0.076971043626169</v>
      </c>
      <c r="BP162" s="394">
        <v>0.0837828496014581</v>
      </c>
      <c r="BQ162" s="394">
        <v>0.0918437364195695</v>
      </c>
      <c r="BR162" s="394">
        <v>0.0931990800709027</v>
      </c>
      <c r="BS162" s="394">
        <v>0.0971286433155737</v>
      </c>
      <c r="BT162" s="394">
        <v>0.0901654585053473</v>
      </c>
      <c r="BU162" s="394">
        <v>0.0549002126054454</v>
      </c>
    </row>
    <row r="163" ht="14.55" spans="2:73">
      <c r="B163" s="12" t="s">
        <v>146</v>
      </c>
      <c r="F163" s="26">
        <f>AVERAGE(F148:F159)</f>
        <v>-0.0176145833333333</v>
      </c>
      <c r="G163" s="27">
        <f t="shared" ref="G163:L163" si="23">AVERAGE(G148:G159)</f>
        <v>0.0484786666666667</v>
      </c>
      <c r="H163" s="27">
        <f t="shared" si="23"/>
        <v>0.0771435</v>
      </c>
      <c r="I163" s="27">
        <f t="shared" si="23"/>
        <v>0.0170043333333333</v>
      </c>
      <c r="J163" s="27">
        <f t="shared" si="23"/>
        <v>0.170072333333333</v>
      </c>
      <c r="K163" s="27">
        <f t="shared" si="23"/>
        <v>0.209312083333333</v>
      </c>
      <c r="L163" s="367">
        <f t="shared" si="23"/>
        <v>0.1302554</v>
      </c>
      <c r="M163" s="20"/>
      <c r="N163" s="13">
        <f>IFERROR(AVERAGE(N148:N159),"NA")</f>
        <v>0.0376929166666667</v>
      </c>
      <c r="O163" s="14">
        <f t="shared" ref="O163:AM163" si="24">IFERROR(AVERAGE(O148:O159),"NA")</f>
        <v>0.186789399560855</v>
      </c>
      <c r="P163" s="14">
        <f t="shared" si="24"/>
        <v>0.253688230357437</v>
      </c>
      <c r="Q163" s="14">
        <f t="shared" si="24"/>
        <v>0.011055499767227</v>
      </c>
      <c r="R163" s="14">
        <f t="shared" si="24"/>
        <v>0.335113716456449</v>
      </c>
      <c r="S163" s="14">
        <f t="shared" si="24"/>
        <v>0.157260888102118</v>
      </c>
      <c r="T163" s="14">
        <f t="shared" si="24"/>
        <v>0.100815204222325</v>
      </c>
      <c r="U163" s="14">
        <f t="shared" si="24"/>
        <v>-0.0720973064730128</v>
      </c>
      <c r="V163" s="14">
        <f t="shared" si="24"/>
        <v>0.381895421327112</v>
      </c>
      <c r="W163" s="14">
        <f t="shared" si="24"/>
        <v>0.0477821074742316</v>
      </c>
      <c r="X163" s="14">
        <f t="shared" si="24"/>
        <v>0.0327921715299055</v>
      </c>
      <c r="Y163" s="14">
        <f t="shared" si="24"/>
        <v>0.544106276770926</v>
      </c>
      <c r="Z163" s="14">
        <f t="shared" si="24"/>
        <v>0.0298562760689101</v>
      </c>
      <c r="AA163" s="14">
        <f t="shared" si="24"/>
        <v>0.343706515268791</v>
      </c>
      <c r="AB163" s="14">
        <f t="shared" si="24"/>
        <v>-0.233476483363411</v>
      </c>
      <c r="AC163" s="14">
        <f t="shared" si="24"/>
        <v>0.204058853482195</v>
      </c>
      <c r="AD163" s="14">
        <f t="shared" si="24"/>
        <v>0.771049669197367</v>
      </c>
      <c r="AE163" s="14">
        <f t="shared" si="24"/>
        <v>-0.517565507014381</v>
      </c>
      <c r="AF163" s="14">
        <f t="shared" si="24"/>
        <v>0.523057999541213</v>
      </c>
      <c r="AG163" s="14">
        <f t="shared" si="24"/>
        <v>0.250884205704334</v>
      </c>
      <c r="AH163" s="14">
        <f t="shared" si="24"/>
        <v>0.495159027286984</v>
      </c>
      <c r="AI163" s="14">
        <f t="shared" si="24"/>
        <v>0.2619</v>
      </c>
      <c r="AJ163" s="14" t="str">
        <f t="shared" si="24"/>
        <v>NA</v>
      </c>
      <c r="AK163" s="14" t="str">
        <f t="shared" si="24"/>
        <v>NA</v>
      </c>
      <c r="AL163" s="14" t="str">
        <f t="shared" si="24"/>
        <v>NA</v>
      </c>
      <c r="AM163" s="28" t="str">
        <f t="shared" si="24"/>
        <v>NA</v>
      </c>
      <c r="AS163" s="379" t="s">
        <v>360</v>
      </c>
      <c r="AT163" s="382">
        <v>0.17</v>
      </c>
      <c r="AU163" s="383">
        <v>45716</v>
      </c>
      <c r="AV163" s="382">
        <v>42866.6294</v>
      </c>
      <c r="AW163" s="33"/>
      <c r="AX163" s="394">
        <v>0.006836</v>
      </c>
      <c r="AY163" s="394">
        <v>0.018349</v>
      </c>
      <c r="AZ163" s="394">
        <v>0.036209</v>
      </c>
      <c r="BA163" s="394">
        <v>0.073435</v>
      </c>
      <c r="BB163" s="394">
        <v>0.067595</v>
      </c>
      <c r="BC163" s="394">
        <v>0.054394</v>
      </c>
      <c r="BD163" s="394">
        <v>0.063197</v>
      </c>
      <c r="BE163" s="34"/>
      <c r="BF163" s="394">
        <v>0.018349</v>
      </c>
      <c r="BG163" s="394">
        <v>0.0738378918531363</v>
      </c>
      <c r="BH163" s="394">
        <v>0.070527574994746</v>
      </c>
      <c r="BI163" s="394">
        <v>0.0487691982745593</v>
      </c>
      <c r="BJ163" s="394">
        <v>0.0328261552195769</v>
      </c>
      <c r="BK163" s="394">
        <v>0.0427659263904033</v>
      </c>
      <c r="BL163" s="394">
        <v>0.0664077226246723</v>
      </c>
      <c r="BM163" s="394">
        <v>0.0745340292034008</v>
      </c>
      <c r="BN163" s="394">
        <v>0.0671233497070056</v>
      </c>
      <c r="BO163" s="394">
        <v>0.0764177217716611</v>
      </c>
      <c r="BP163" s="394">
        <v>0.0835360035555486</v>
      </c>
      <c r="BQ163" s="394">
        <v>0.0909615542743487</v>
      </c>
      <c r="BR163" s="394">
        <v>0.0919857960082361</v>
      </c>
      <c r="BS163" s="394">
        <v>0.0969032553819058</v>
      </c>
      <c r="BT163" s="394">
        <v>0.0897208430101452</v>
      </c>
      <c r="BU163" s="394">
        <v>0.0559261351360705</v>
      </c>
    </row>
    <row r="164" spans="13:73">
      <c r="M164" s="20"/>
      <c r="O164" s="5"/>
      <c r="AS164" s="379" t="s">
        <v>361</v>
      </c>
      <c r="AT164" s="382">
        <v>0.28</v>
      </c>
      <c r="AU164" s="383">
        <v>45716</v>
      </c>
      <c r="AV164" s="382">
        <v>4635.4449</v>
      </c>
      <c r="AW164" s="33"/>
      <c r="AX164" s="394">
        <v>0.006505</v>
      </c>
      <c r="AY164" s="394">
        <v>0.017812</v>
      </c>
      <c r="AZ164" s="394">
        <v>0.035369</v>
      </c>
      <c r="BA164" s="394">
        <v>0.072432</v>
      </c>
      <c r="BB164" s="394" t="s">
        <v>113</v>
      </c>
      <c r="BC164" s="394" t="s">
        <v>113</v>
      </c>
      <c r="BD164" s="394" t="s">
        <v>113</v>
      </c>
      <c r="BE164" s="34"/>
      <c r="BF164" s="394">
        <v>0.017812</v>
      </c>
      <c r="BG164" s="394">
        <v>0.0729669548403974</v>
      </c>
      <c r="BH164" s="394">
        <v>0.0333676308395204</v>
      </c>
      <c r="BI164" s="394" t="s">
        <v>113</v>
      </c>
      <c r="BJ164" s="394" t="s">
        <v>113</v>
      </c>
      <c r="BK164" s="394" t="s">
        <v>113</v>
      </c>
      <c r="BL164" s="394" t="s">
        <v>113</v>
      </c>
      <c r="BM164" s="394" t="s">
        <v>113</v>
      </c>
      <c r="BN164" s="394" t="s">
        <v>113</v>
      </c>
      <c r="BO164" s="394" t="s">
        <v>113</v>
      </c>
      <c r="BP164" s="394" t="s">
        <v>113</v>
      </c>
      <c r="BQ164" s="394" t="s">
        <v>113</v>
      </c>
      <c r="BR164" s="394" t="s">
        <v>113</v>
      </c>
      <c r="BS164" s="394" t="s">
        <v>113</v>
      </c>
      <c r="BT164" s="394" t="s">
        <v>113</v>
      </c>
      <c r="BU164" s="394" t="s">
        <v>113</v>
      </c>
    </row>
    <row r="165" ht="14.55" spans="13:73">
      <c r="M165" s="20"/>
      <c r="O165" s="5"/>
      <c r="AS165" s="379" t="s">
        <v>362</v>
      </c>
      <c r="AT165" s="382">
        <v>0.25</v>
      </c>
      <c r="AU165" s="383">
        <v>45716</v>
      </c>
      <c r="AV165" s="382">
        <v>15178.1169</v>
      </c>
      <c r="AW165" s="33"/>
      <c r="AX165" s="394">
        <v>0.006552</v>
      </c>
      <c r="AY165" s="394">
        <v>0.017849</v>
      </c>
      <c r="AZ165" s="394">
        <v>0.03542</v>
      </c>
      <c r="BA165" s="394">
        <v>0.072359</v>
      </c>
      <c r="BB165" s="394">
        <v>0.06669</v>
      </c>
      <c r="BC165" s="394">
        <v>0.05352</v>
      </c>
      <c r="BD165" s="394">
        <v>0.062048</v>
      </c>
      <c r="BE165" s="34"/>
      <c r="BF165" s="394">
        <v>0.017849</v>
      </c>
      <c r="BG165" s="394">
        <v>0.0729688496107873</v>
      </c>
      <c r="BH165" s="394">
        <v>0.0697848413819341</v>
      </c>
      <c r="BI165" s="394">
        <v>0.0480662962280671</v>
      </c>
      <c r="BJ165" s="394">
        <v>0.0323962140804186</v>
      </c>
      <c r="BK165" s="394">
        <v>0.0404773525685082</v>
      </c>
      <c r="BL165" s="394">
        <v>0.0633659137950134</v>
      </c>
      <c r="BM165" s="394">
        <v>0.0731411490700352</v>
      </c>
      <c r="BN165" s="394">
        <v>0.0661998604820588</v>
      </c>
      <c r="BO165" s="394">
        <v>0.0759070733062533</v>
      </c>
      <c r="BP165" s="394">
        <v>0.0835869564237206</v>
      </c>
      <c r="BQ165" s="394">
        <v>0.0909278898044408</v>
      </c>
      <c r="BR165" s="394">
        <v>0.0918305640587038</v>
      </c>
      <c r="BS165" s="394">
        <v>0.0958976961497235</v>
      </c>
      <c r="BT165" s="394">
        <v>0.0900633864262374</v>
      </c>
      <c r="BU165" s="394">
        <v>0.0549008283852803</v>
      </c>
    </row>
    <row r="166" ht="15.75" customHeight="1" spans="2:73">
      <c r="B166" s="349" t="s">
        <v>363</v>
      </c>
      <c r="C166" s="350" t="s">
        <v>16</v>
      </c>
      <c r="D166" s="332" t="s">
        <v>99</v>
      </c>
      <c r="E166" s="333"/>
      <c r="F166" s="361" t="s">
        <v>10</v>
      </c>
      <c r="G166" s="361"/>
      <c r="H166" s="361"/>
      <c r="I166" s="361"/>
      <c r="J166" s="361"/>
      <c r="K166" s="361"/>
      <c r="L166" s="364"/>
      <c r="M166" s="20"/>
      <c r="N166" s="353" t="s">
        <v>100</v>
      </c>
      <c r="O166" s="354"/>
      <c r="P166" s="354"/>
      <c r="Q166" s="354"/>
      <c r="R166" s="354"/>
      <c r="S166" s="354"/>
      <c r="T166" s="354"/>
      <c r="U166" s="354"/>
      <c r="V166" s="354"/>
      <c r="W166" s="354"/>
      <c r="X166" s="354"/>
      <c r="Y166" s="354"/>
      <c r="Z166" s="354"/>
      <c r="AA166" s="354"/>
      <c r="AB166" s="354"/>
      <c r="AC166" s="354"/>
      <c r="AD166" s="354"/>
      <c r="AE166" s="354"/>
      <c r="AF166" s="354"/>
      <c r="AG166" s="354"/>
      <c r="AH166" s="354"/>
      <c r="AI166" s="354"/>
      <c r="AJ166" s="354"/>
      <c r="AK166" s="354"/>
      <c r="AL166" s="354"/>
      <c r="AM166" s="354"/>
      <c r="AN166" s="363"/>
      <c r="AS166" s="379" t="s">
        <v>364</v>
      </c>
      <c r="AT166" s="382">
        <v>0.13</v>
      </c>
      <c r="AU166" s="383">
        <v>45716</v>
      </c>
      <c r="AV166" s="382">
        <v>1740.7447</v>
      </c>
      <c r="AW166" s="33"/>
      <c r="AX166" s="394">
        <v>0.00663</v>
      </c>
      <c r="AY166" s="394">
        <v>0.018124</v>
      </c>
      <c r="AZ166" s="394">
        <v>0.036079</v>
      </c>
      <c r="BA166" s="394">
        <v>0.073803</v>
      </c>
      <c r="BB166" s="394">
        <v>0.067817</v>
      </c>
      <c r="BC166" s="394">
        <v>0.054421</v>
      </c>
      <c r="BD166" s="394">
        <v>0.06275</v>
      </c>
      <c r="BE166" s="34"/>
      <c r="BF166" s="394">
        <v>0.018124</v>
      </c>
      <c r="BG166" s="394">
        <v>0.0743731685562214</v>
      </c>
      <c r="BH166" s="394">
        <v>0.0704972916082914</v>
      </c>
      <c r="BI166" s="394">
        <v>0.0492438837518083</v>
      </c>
      <c r="BJ166" s="394">
        <v>0.0326364021633138</v>
      </c>
      <c r="BK166" s="394">
        <v>0.0410851980249557</v>
      </c>
      <c r="BL166" s="394">
        <v>0.0642758110230277</v>
      </c>
      <c r="BM166" s="394">
        <v>0.0743224501176017</v>
      </c>
      <c r="BN166" s="394">
        <v>0.0667437565476284</v>
      </c>
      <c r="BO166" s="394">
        <v>0.0764032759665296</v>
      </c>
      <c r="BP166" s="394">
        <v>0.0829219059447591</v>
      </c>
      <c r="BQ166" s="394">
        <v>0.0902751172703964</v>
      </c>
      <c r="BR166" s="394">
        <v>0.0925701590717039</v>
      </c>
      <c r="BS166" s="394">
        <v>0.0844892179052137</v>
      </c>
      <c r="BT166" s="394">
        <v>0.0749541659112888</v>
      </c>
      <c r="BU166" s="394">
        <v>0.0456535214646612</v>
      </c>
    </row>
    <row r="167" ht="15" customHeight="1" spans="2:73">
      <c r="B167" s="351"/>
      <c r="C167" s="352"/>
      <c r="D167" s="337" t="s">
        <v>104</v>
      </c>
      <c r="E167" s="338" t="s">
        <v>105</v>
      </c>
      <c r="F167" s="2" t="s">
        <v>17</v>
      </c>
      <c r="G167" s="3" t="s">
        <v>18</v>
      </c>
      <c r="H167" s="3" t="s">
        <v>19</v>
      </c>
      <c r="I167" s="3" t="s">
        <v>20</v>
      </c>
      <c r="J167" s="3" t="s">
        <v>22</v>
      </c>
      <c r="K167" s="3" t="s">
        <v>23</v>
      </c>
      <c r="L167" s="15" t="s">
        <v>24</v>
      </c>
      <c r="M167" s="20"/>
      <c r="N167" s="16" t="s">
        <v>25</v>
      </c>
      <c r="O167" s="17">
        <v>2024</v>
      </c>
      <c r="P167" s="17">
        <v>2023</v>
      </c>
      <c r="Q167" s="18">
        <v>2022</v>
      </c>
      <c r="R167" s="18">
        <v>2021</v>
      </c>
      <c r="S167" s="18">
        <v>2020</v>
      </c>
      <c r="T167" s="18">
        <v>2019</v>
      </c>
      <c r="U167" s="18">
        <v>2018</v>
      </c>
      <c r="V167" s="18">
        <v>2017</v>
      </c>
      <c r="W167" s="18">
        <v>2016</v>
      </c>
      <c r="X167" s="18">
        <v>2015</v>
      </c>
      <c r="Y167" s="18">
        <v>2014</v>
      </c>
      <c r="Z167" s="18">
        <v>2013</v>
      </c>
      <c r="AA167" s="18">
        <v>2012</v>
      </c>
      <c r="AB167" s="18">
        <v>2011</v>
      </c>
      <c r="AC167" s="18">
        <v>2010</v>
      </c>
      <c r="AD167" s="18">
        <v>2009</v>
      </c>
      <c r="AE167" s="18">
        <v>2008</v>
      </c>
      <c r="AF167" s="18">
        <v>2007</v>
      </c>
      <c r="AG167" s="18">
        <v>2006</v>
      </c>
      <c r="AH167" s="18">
        <v>2005</v>
      </c>
      <c r="AI167" s="18">
        <v>2004</v>
      </c>
      <c r="AJ167" s="18">
        <v>2003</v>
      </c>
      <c r="AK167" s="18">
        <v>2002</v>
      </c>
      <c r="AL167" s="18">
        <v>2001</v>
      </c>
      <c r="AM167" s="273">
        <v>2000</v>
      </c>
      <c r="AS167" s="379" t="s">
        <v>365</v>
      </c>
      <c r="AT167" s="382">
        <v>0.31</v>
      </c>
      <c r="AU167" s="383">
        <v>45716</v>
      </c>
      <c r="AV167" s="382">
        <v>10428.9593</v>
      </c>
      <c r="AW167" s="33"/>
      <c r="AX167" s="394">
        <v>0.006682</v>
      </c>
      <c r="AY167" s="394">
        <v>0.017942</v>
      </c>
      <c r="AZ167" s="394">
        <v>0.0356</v>
      </c>
      <c r="BA167" s="394">
        <v>0.072502</v>
      </c>
      <c r="BB167" s="394">
        <v>0.067055</v>
      </c>
      <c r="BC167" s="394">
        <v>0.053754</v>
      </c>
      <c r="BD167" s="394">
        <v>0.063035</v>
      </c>
      <c r="BE167" s="34"/>
      <c r="BF167" s="394">
        <v>0.017942</v>
      </c>
      <c r="BG167" s="394">
        <v>0.0729168076086255</v>
      </c>
      <c r="BH167" s="394">
        <v>0.0700787957582378</v>
      </c>
      <c r="BI167" s="394">
        <v>0.0489851707126066</v>
      </c>
      <c r="BJ167" s="394">
        <v>0.0332377666719963</v>
      </c>
      <c r="BK167" s="394">
        <v>0.041302677832121</v>
      </c>
      <c r="BL167" s="394">
        <v>0.0660565013571606</v>
      </c>
      <c r="BM167" s="394">
        <v>0.0747998784112802</v>
      </c>
      <c r="BN167" s="394">
        <v>0.0669226177792836</v>
      </c>
      <c r="BO167" s="394">
        <v>0.0776554569895747</v>
      </c>
      <c r="BP167" s="394">
        <v>0.0836234430953153</v>
      </c>
      <c r="BQ167" s="394">
        <v>0.0913311195735636</v>
      </c>
      <c r="BR167" s="394">
        <v>0.0922877733217767</v>
      </c>
      <c r="BS167" s="394">
        <v>0.0971912775726935</v>
      </c>
      <c r="BT167" s="394">
        <v>0.0895045593257284</v>
      </c>
      <c r="BU167" s="394">
        <v>0.0549896996119387</v>
      </c>
    </row>
    <row r="168" spans="2:73">
      <c r="B168" s="339" t="s">
        <v>366</v>
      </c>
      <c r="C168" s="340">
        <v>1.53</v>
      </c>
      <c r="D168" s="341">
        <v>45838</v>
      </c>
      <c r="E168" s="342">
        <v>36257.532406</v>
      </c>
      <c r="F168" s="6">
        <v>-0.02097</v>
      </c>
      <c r="G168" s="7">
        <v>0.034269</v>
      </c>
      <c r="H168" s="7">
        <v>0.065708</v>
      </c>
      <c r="I168" s="7">
        <v>0.003605</v>
      </c>
      <c r="J168" s="7">
        <v>0.131992</v>
      </c>
      <c r="K168" s="7">
        <v>0.164576</v>
      </c>
      <c r="L168" s="19">
        <v>0.11793</v>
      </c>
      <c r="M168" s="20"/>
      <c r="N168" s="21">
        <v>0.029844</v>
      </c>
      <c r="O168" s="22">
        <v>0.174257752558149</v>
      </c>
      <c r="P168" s="22">
        <v>0.21959869026565</v>
      </c>
      <c r="Q168" s="22">
        <v>-0.119721424581346</v>
      </c>
      <c r="R168" s="22">
        <v>0.245360216955548</v>
      </c>
      <c r="S168" s="22">
        <v>0.205188846821425</v>
      </c>
      <c r="T168" s="25">
        <v>0.148325749240037</v>
      </c>
      <c r="U168" s="25">
        <v>0.0266911750627071</v>
      </c>
      <c r="V168" s="25">
        <v>0.374408300081909</v>
      </c>
      <c r="W168" s="25">
        <v>-0.00693843284191553</v>
      </c>
      <c r="X168" s="25">
        <v>0.0669880307561467</v>
      </c>
      <c r="Y168" s="25">
        <v>0.661831999165904</v>
      </c>
      <c r="Z168" s="25">
        <v>0.165138048092432</v>
      </c>
      <c r="AA168" s="25">
        <v>0.336818837964634</v>
      </c>
      <c r="AB168" s="25">
        <v>-0.147600993593934</v>
      </c>
      <c r="AC168" s="25">
        <v>0.299875043734693</v>
      </c>
      <c r="AD168" s="25">
        <v>0.000350000000000072</v>
      </c>
      <c r="AE168" s="25" t="s">
        <v>113</v>
      </c>
      <c r="AF168" s="25" t="s">
        <v>113</v>
      </c>
      <c r="AG168" s="25" t="s">
        <v>113</v>
      </c>
      <c r="AH168" s="25" t="s">
        <v>113</v>
      </c>
      <c r="AI168" s="25" t="s">
        <v>113</v>
      </c>
      <c r="AJ168" s="25" t="s">
        <v>113</v>
      </c>
      <c r="AK168" s="25" t="s">
        <v>113</v>
      </c>
      <c r="AL168" s="25" t="s">
        <v>113</v>
      </c>
      <c r="AM168" s="365" t="s">
        <v>113</v>
      </c>
      <c r="AS168" s="379" t="s">
        <v>367</v>
      </c>
      <c r="AT168" s="382">
        <v>0.19</v>
      </c>
      <c r="AU168" s="383">
        <v>45716</v>
      </c>
      <c r="AV168" s="382">
        <v>5294.0635</v>
      </c>
      <c r="AW168" s="33"/>
      <c r="AX168" s="394">
        <v>0.006783</v>
      </c>
      <c r="AY168" s="394">
        <v>0.018208</v>
      </c>
      <c r="AZ168" s="394">
        <v>0.035944</v>
      </c>
      <c r="BA168" s="394">
        <v>0.073324</v>
      </c>
      <c r="BB168" s="394">
        <v>0.067463</v>
      </c>
      <c r="BC168" s="394">
        <v>0.05339</v>
      </c>
      <c r="BD168" s="394">
        <v>0.061646</v>
      </c>
      <c r="BE168" s="34"/>
      <c r="BF168" s="394">
        <v>0.018208</v>
      </c>
      <c r="BG168" s="394">
        <v>0.0735844458436104</v>
      </c>
      <c r="BH168" s="394">
        <v>0.0704713772698794</v>
      </c>
      <c r="BI168" s="394">
        <v>0.0485704662435486</v>
      </c>
      <c r="BJ168" s="394">
        <v>0.0322972580522507</v>
      </c>
      <c r="BK168" s="394">
        <v>0.0368399773639101</v>
      </c>
      <c r="BL168" s="394">
        <v>0.0635905045247799</v>
      </c>
      <c r="BM168" s="394">
        <v>0.0735296493001424</v>
      </c>
      <c r="BN168" s="394">
        <v>0.0651563915007871</v>
      </c>
      <c r="BO168" s="394">
        <v>0.0750566674648353</v>
      </c>
      <c r="BP168" s="394">
        <v>0.0822127980948331</v>
      </c>
      <c r="BQ168" s="394">
        <v>0.090422698799003</v>
      </c>
      <c r="BR168" s="394">
        <v>0.0922736862422896</v>
      </c>
      <c r="BS168" s="394">
        <v>0.0966229699533509</v>
      </c>
      <c r="BT168" s="394">
        <v>0.0899146856976605</v>
      </c>
      <c r="BU168" s="394">
        <v>0.0552921734890145</v>
      </c>
    </row>
    <row r="169" spans="2:73">
      <c r="B169" s="339" t="s">
        <v>368</v>
      </c>
      <c r="C169" s="343">
        <v>1.74</v>
      </c>
      <c r="D169" s="344">
        <v>45838</v>
      </c>
      <c r="E169" s="345">
        <v>7151.151</v>
      </c>
      <c r="F169" s="9">
        <v>-0.023263</v>
      </c>
      <c r="G169" s="10">
        <v>0.030197</v>
      </c>
      <c r="H169" s="10">
        <v>0.055769</v>
      </c>
      <c r="I169" s="10">
        <v>-0.040998</v>
      </c>
      <c r="J169" s="10">
        <v>0.164657</v>
      </c>
      <c r="K169" s="10">
        <v>0.245903</v>
      </c>
      <c r="L169" s="23">
        <v>0.136905</v>
      </c>
      <c r="M169" s="20"/>
      <c r="N169" s="24">
        <v>0.020129</v>
      </c>
      <c r="O169" s="25">
        <v>0.13112300122057</v>
      </c>
      <c r="P169" s="25">
        <v>0.282976313586448</v>
      </c>
      <c r="Q169" s="25">
        <v>0.0420258620689655</v>
      </c>
      <c r="R169" s="25">
        <v>0.491961414790997</v>
      </c>
      <c r="S169" s="25">
        <v>0.187022900763359</v>
      </c>
      <c r="T169" s="25">
        <v>0.019455252918288</v>
      </c>
      <c r="U169" s="25">
        <v>-0.0940329048860449</v>
      </c>
      <c r="V169" s="25">
        <v>0.533531036577674</v>
      </c>
      <c r="W169" s="25">
        <v>0.00416700056094241</v>
      </c>
      <c r="X169" s="25">
        <v>0.0689625634167099</v>
      </c>
      <c r="Y169" s="25">
        <v>0.422128957213367</v>
      </c>
      <c r="Z169" s="25">
        <v>0.150020788517507</v>
      </c>
      <c r="AA169" s="25">
        <v>0.362234972543032</v>
      </c>
      <c r="AB169" s="25">
        <v>-0.233257179540434</v>
      </c>
      <c r="AC169" s="25">
        <v>0.239632765551583</v>
      </c>
      <c r="AD169" s="25">
        <v>0.708050572185298</v>
      </c>
      <c r="AE169" s="25">
        <v>0.000549999999999962</v>
      </c>
      <c r="AF169" s="25" t="s">
        <v>113</v>
      </c>
      <c r="AG169" s="25" t="s">
        <v>113</v>
      </c>
      <c r="AH169" s="25" t="s">
        <v>113</v>
      </c>
      <c r="AI169" s="25" t="s">
        <v>113</v>
      </c>
      <c r="AJ169" s="25" t="s">
        <v>113</v>
      </c>
      <c r="AK169" s="25" t="s">
        <v>113</v>
      </c>
      <c r="AL169" s="25" t="s">
        <v>113</v>
      </c>
      <c r="AM169" s="365" t="s">
        <v>113</v>
      </c>
      <c r="AS169" s="379" t="s">
        <v>369</v>
      </c>
      <c r="AT169" s="382">
        <v>0.2</v>
      </c>
      <c r="AU169" s="383">
        <v>45716</v>
      </c>
      <c r="AV169" s="382">
        <v>22386.6935</v>
      </c>
      <c r="AW169" s="33"/>
      <c r="AX169" s="394">
        <v>0.006676</v>
      </c>
      <c r="AY169" s="394">
        <v>0.018113</v>
      </c>
      <c r="AZ169" s="394">
        <v>0.035967</v>
      </c>
      <c r="BA169" s="394">
        <v>0.073332</v>
      </c>
      <c r="BB169" s="394">
        <v>0.067045</v>
      </c>
      <c r="BC169" s="394">
        <v>0.053755</v>
      </c>
      <c r="BD169" s="394">
        <v>0.06248</v>
      </c>
      <c r="BE169" s="34"/>
      <c r="BF169" s="394">
        <v>0.018113</v>
      </c>
      <c r="BG169" s="394">
        <v>0.073754762688691</v>
      </c>
      <c r="BH169" s="394">
        <v>0.0696777260046693</v>
      </c>
      <c r="BI169" s="394">
        <v>0.0482662298373719</v>
      </c>
      <c r="BJ169" s="394">
        <v>0.0325384168193667</v>
      </c>
      <c r="BK169" s="394">
        <v>0.0417087573667638</v>
      </c>
      <c r="BL169" s="394">
        <v>0.0648807512206585</v>
      </c>
      <c r="BM169" s="394">
        <v>0.0740810861568842</v>
      </c>
      <c r="BN169" s="394">
        <v>0.0660406709172725</v>
      </c>
      <c r="BO169" s="394">
        <v>0.0761557534939163</v>
      </c>
      <c r="BP169" s="394">
        <v>0.082796929681329</v>
      </c>
      <c r="BQ169" s="394">
        <v>0.0904011799110989</v>
      </c>
      <c r="BR169" s="394">
        <v>0.0922798293039079</v>
      </c>
      <c r="BS169" s="394">
        <v>0.096578372889258</v>
      </c>
      <c r="BT169" s="394">
        <v>0.0893252706004927</v>
      </c>
      <c r="BU169" s="394">
        <v>0.0551478972679643</v>
      </c>
    </row>
    <row r="170" spans="2:73">
      <c r="B170" s="339" t="s">
        <v>370</v>
      </c>
      <c r="C170" s="343">
        <v>1.68</v>
      </c>
      <c r="D170" s="344">
        <v>45838</v>
      </c>
      <c r="E170" s="345">
        <v>9102.8699</v>
      </c>
      <c r="F170" s="9">
        <v>-0.023615</v>
      </c>
      <c r="G170" s="10">
        <v>0.050325</v>
      </c>
      <c r="H170" s="10">
        <v>0.065397</v>
      </c>
      <c r="I170" s="10">
        <v>-0.009481</v>
      </c>
      <c r="J170" s="10">
        <v>0.155292</v>
      </c>
      <c r="K170" s="10">
        <v>0.206238</v>
      </c>
      <c r="L170" s="23">
        <v>0.136954</v>
      </c>
      <c r="M170" s="20"/>
      <c r="N170" s="24">
        <v>0.022204</v>
      </c>
      <c r="O170" s="25">
        <v>0.175065399972463</v>
      </c>
      <c r="P170" s="25">
        <v>0.236992250702546</v>
      </c>
      <c r="Q170" s="25">
        <v>-0.00170024653574759</v>
      </c>
      <c r="R170" s="25">
        <v>0.351292360712234</v>
      </c>
      <c r="S170" s="25">
        <v>0.273591806876372</v>
      </c>
      <c r="T170" s="25">
        <v>0.107420609202852</v>
      </c>
      <c r="U170" s="25">
        <v>0.0267842289136583</v>
      </c>
      <c r="V170" s="25">
        <v>0.319648737650933</v>
      </c>
      <c r="W170" s="25">
        <v>-0.000438885231512028</v>
      </c>
      <c r="X170" s="25">
        <v>0.00596026490066232</v>
      </c>
      <c r="Y170" s="25">
        <v>0.451923076923077</v>
      </c>
      <c r="Z170" s="25">
        <v>0.0533423362592842</v>
      </c>
      <c r="AA170" s="25">
        <v>0.299692847740237</v>
      </c>
      <c r="AB170" s="25">
        <v>-0.162747979426892</v>
      </c>
      <c r="AC170" s="25">
        <v>0.249196879302432</v>
      </c>
      <c r="AD170" s="25">
        <v>1.09117082533589</v>
      </c>
      <c r="AE170" s="25" t="s">
        <v>113</v>
      </c>
      <c r="AF170" s="25" t="s">
        <v>113</v>
      </c>
      <c r="AG170" s="25" t="s">
        <v>113</v>
      </c>
      <c r="AH170" s="25" t="s">
        <v>113</v>
      </c>
      <c r="AI170" s="25" t="s">
        <v>113</v>
      </c>
      <c r="AJ170" s="25" t="s">
        <v>113</v>
      </c>
      <c r="AK170" s="25" t="s">
        <v>113</v>
      </c>
      <c r="AL170" s="25" t="s">
        <v>113</v>
      </c>
      <c r="AM170" s="365" t="s">
        <v>113</v>
      </c>
      <c r="AS170" s="379" t="s">
        <v>371</v>
      </c>
      <c r="AT170" s="382">
        <v>0.2</v>
      </c>
      <c r="AU170" s="383">
        <v>45716</v>
      </c>
      <c r="AV170" s="382">
        <v>7269.8604</v>
      </c>
      <c r="AW170" s="33"/>
      <c r="AX170" s="394">
        <v>0.006647</v>
      </c>
      <c r="AY170" s="394">
        <v>0.018061</v>
      </c>
      <c r="AZ170" s="394">
        <v>0.035804</v>
      </c>
      <c r="BA170" s="394">
        <v>0.07312</v>
      </c>
      <c r="BB170" s="394">
        <v>0.066151</v>
      </c>
      <c r="BC170" s="394">
        <v>0.053131</v>
      </c>
      <c r="BD170" s="394">
        <v>0.061305</v>
      </c>
      <c r="BE170" s="34"/>
      <c r="BF170" s="394">
        <v>0.018061</v>
      </c>
      <c r="BG170" s="394">
        <v>0.0734305877949978</v>
      </c>
      <c r="BH170" s="394">
        <v>0.0685295919343238</v>
      </c>
      <c r="BI170" s="394">
        <v>0.0465532965616403</v>
      </c>
      <c r="BJ170" s="394">
        <v>0.0323072406048301</v>
      </c>
      <c r="BK170" s="394">
        <v>0.0412158864883807</v>
      </c>
      <c r="BL170" s="394">
        <v>0.0661129447985327</v>
      </c>
      <c r="BM170" s="394">
        <v>0.0741068715099253</v>
      </c>
      <c r="BN170" s="394">
        <v>0.0663215056598982</v>
      </c>
      <c r="BO170" s="394">
        <v>0.068022030751257</v>
      </c>
      <c r="BP170" s="394">
        <v>0.0810390225474884</v>
      </c>
      <c r="BQ170" s="394">
        <v>0.0908358447629004</v>
      </c>
      <c r="BR170" s="394">
        <v>0.0919189002236356</v>
      </c>
      <c r="BS170" s="394">
        <v>0.0974006352856206</v>
      </c>
      <c r="BT170" s="394">
        <v>0.0893654259931276</v>
      </c>
      <c r="BU170" s="394">
        <v>0.0569745930992345</v>
      </c>
    </row>
    <row r="171" spans="2:73">
      <c r="B171" s="339" t="s">
        <v>372</v>
      </c>
      <c r="C171" s="343">
        <v>2.34</v>
      </c>
      <c r="D171" s="344">
        <v>45838</v>
      </c>
      <c r="E171" s="345">
        <v>431.13</v>
      </c>
      <c r="F171" s="9">
        <v>-0.037188</v>
      </c>
      <c r="G171" s="10">
        <v>0.042977</v>
      </c>
      <c r="H171" s="10">
        <v>0.048319</v>
      </c>
      <c r="I171" s="10">
        <v>-0.021115</v>
      </c>
      <c r="J171" s="10">
        <v>0.163318</v>
      </c>
      <c r="K171" s="10">
        <v>0.199143</v>
      </c>
      <c r="L171" s="23">
        <v>0.111205</v>
      </c>
      <c r="M171" s="20"/>
      <c r="N171" s="24">
        <v>-0.002024</v>
      </c>
      <c r="O171" s="25">
        <v>0.199779249448124</v>
      </c>
      <c r="P171" s="25">
        <v>0.267664754442423</v>
      </c>
      <c r="Q171" s="25">
        <v>-0.00083880889137428</v>
      </c>
      <c r="R171" s="25">
        <v>0.303626754146164</v>
      </c>
      <c r="S171" s="25">
        <v>0.136730888750777</v>
      </c>
      <c r="T171" s="25">
        <v>0.0918344266003167</v>
      </c>
      <c r="U171" s="25">
        <v>-0.090516354659535</v>
      </c>
      <c r="V171" s="25">
        <v>0.377444035137433</v>
      </c>
      <c r="W171" s="25">
        <v>-0.011207621182404</v>
      </c>
      <c r="X171" s="25">
        <v>0.0666467423789599</v>
      </c>
      <c r="Y171" s="25">
        <v>0.404701931150294</v>
      </c>
      <c r="Z171" s="25">
        <v>0.114646700982686</v>
      </c>
      <c r="AA171" s="25">
        <v>0.297510625379478</v>
      </c>
      <c r="AB171" s="25">
        <v>-0.19931939718036</v>
      </c>
      <c r="AC171" s="25">
        <v>0.178121420389462</v>
      </c>
      <c r="AD171" s="25">
        <v>0.746</v>
      </c>
      <c r="AE171" s="25">
        <v>0</v>
      </c>
      <c r="AF171" s="25" t="s">
        <v>113</v>
      </c>
      <c r="AG171" s="25" t="s">
        <v>113</v>
      </c>
      <c r="AH171" s="25" t="s">
        <v>113</v>
      </c>
      <c r="AI171" s="25" t="s">
        <v>113</v>
      </c>
      <c r="AJ171" s="25" t="s">
        <v>113</v>
      </c>
      <c r="AK171" s="25" t="s">
        <v>113</v>
      </c>
      <c r="AL171" s="25" t="s">
        <v>113</v>
      </c>
      <c r="AM171" s="365" t="s">
        <v>113</v>
      </c>
      <c r="AS171" s="379" t="s">
        <v>373</v>
      </c>
      <c r="AT171" s="382">
        <v>0.2</v>
      </c>
      <c r="AU171" s="383">
        <v>45716</v>
      </c>
      <c r="AV171" s="382">
        <v>2388.429166116</v>
      </c>
      <c r="AW171" s="33"/>
      <c r="AX171" s="394">
        <v>0.006885</v>
      </c>
      <c r="AY171" s="394">
        <v>0.018216</v>
      </c>
      <c r="AZ171" s="394">
        <v>0.036108</v>
      </c>
      <c r="BA171" s="394">
        <v>0.07366</v>
      </c>
      <c r="BB171" s="394">
        <v>0.067153</v>
      </c>
      <c r="BC171" s="394">
        <v>0.054055</v>
      </c>
      <c r="BD171" s="394">
        <v>0.0635</v>
      </c>
      <c r="BE171" s="34"/>
      <c r="BF171" s="394">
        <v>0.018216</v>
      </c>
      <c r="BG171" s="394">
        <v>0.0738491787864734</v>
      </c>
      <c r="BH171" s="394">
        <v>0.0696545795844861</v>
      </c>
      <c r="BI171" s="394">
        <v>0.0484203870685887</v>
      </c>
      <c r="BJ171" s="394">
        <v>0.0326851660545712</v>
      </c>
      <c r="BK171" s="394">
        <v>0.04335823056726</v>
      </c>
      <c r="BL171" s="394">
        <v>0.0688207351346898</v>
      </c>
      <c r="BM171" s="394">
        <v>0.0746666850923385</v>
      </c>
      <c r="BN171" s="394">
        <v>0.0673673580134133</v>
      </c>
      <c r="BO171" s="394">
        <v>0.0765804189090869</v>
      </c>
      <c r="BP171" s="394">
        <v>0.0853351486126074</v>
      </c>
      <c r="BQ171" s="394">
        <v>0.0922268443670931</v>
      </c>
      <c r="BR171" s="394">
        <v>0.0938233887288601</v>
      </c>
      <c r="BS171" s="394">
        <v>0.0974292313372104</v>
      </c>
      <c r="BT171" s="394">
        <v>0.0903869784781742</v>
      </c>
      <c r="BU171" s="394">
        <v>0.0551533522523701</v>
      </c>
    </row>
    <row r="172" spans="2:73">
      <c r="B172" s="339" t="s">
        <v>374</v>
      </c>
      <c r="C172" s="343">
        <v>1.8</v>
      </c>
      <c r="D172" s="344">
        <v>45838</v>
      </c>
      <c r="E172" s="345">
        <v>6883.110072218</v>
      </c>
      <c r="F172" s="9">
        <v>-0.021983</v>
      </c>
      <c r="G172" s="10">
        <v>0.029496</v>
      </c>
      <c r="H172" s="10">
        <v>0.060594</v>
      </c>
      <c r="I172" s="10">
        <v>-0.00603</v>
      </c>
      <c r="J172" s="10">
        <v>0.205102</v>
      </c>
      <c r="K172" s="10">
        <v>0.247002</v>
      </c>
      <c r="L172" s="23">
        <v>0.127908</v>
      </c>
      <c r="M172" s="20"/>
      <c r="N172" s="24">
        <v>0.005241</v>
      </c>
      <c r="O172" s="25">
        <v>0.224476637053325</v>
      </c>
      <c r="P172" s="25">
        <v>0.31209921998522</v>
      </c>
      <c r="Q172" s="25">
        <v>0.0539912304727089</v>
      </c>
      <c r="R172" s="25">
        <v>0.366980420741038</v>
      </c>
      <c r="S172" s="25">
        <v>0.0980698786264908</v>
      </c>
      <c r="T172" s="25">
        <v>0.0513280369061148</v>
      </c>
      <c r="U172" s="25">
        <v>-0.0302596906490851</v>
      </c>
      <c r="V172" s="25">
        <v>0.291066342957464</v>
      </c>
      <c r="W172" s="25">
        <v>0.0472219983879148</v>
      </c>
      <c r="X172" s="25">
        <v>0.0404923015987934</v>
      </c>
      <c r="Y172" s="25">
        <v>0.569249869697875</v>
      </c>
      <c r="Z172" s="25">
        <v>0.0613715943230084</v>
      </c>
      <c r="AA172" s="25">
        <v>0.293827692657417</v>
      </c>
      <c r="AB172" s="25">
        <v>-0.151881369010783</v>
      </c>
      <c r="AC172" s="25">
        <v>0.234717360364483</v>
      </c>
      <c r="AD172" s="25">
        <v>0.788110750820692</v>
      </c>
      <c r="AE172" s="25">
        <v>-0.492163303469783</v>
      </c>
      <c r="AF172" s="25">
        <v>0.560194877505568</v>
      </c>
      <c r="AG172" s="25">
        <v>0.271697349787578</v>
      </c>
      <c r="AH172" s="25">
        <v>0.489304007231094</v>
      </c>
      <c r="AI172" s="25">
        <v>0.318895291078879</v>
      </c>
      <c r="AJ172" s="25">
        <v>1.01804330392943</v>
      </c>
      <c r="AK172" s="25">
        <v>0.145087235996327</v>
      </c>
      <c r="AL172" s="25">
        <v>-0.133306804615997</v>
      </c>
      <c r="AM172" s="365">
        <v>0.0211296221048354</v>
      </c>
      <c r="AS172" s="379" t="s">
        <v>375</v>
      </c>
      <c r="AT172" s="382">
        <v>0.2</v>
      </c>
      <c r="AU172" s="383">
        <v>45716</v>
      </c>
      <c r="AV172" s="382">
        <v>157.973338736</v>
      </c>
      <c r="AW172" s="33"/>
      <c r="AX172" s="394">
        <v>0.006818</v>
      </c>
      <c r="AY172" s="394">
        <v>0.018226</v>
      </c>
      <c r="AZ172" s="394">
        <v>0.036009</v>
      </c>
      <c r="BA172" s="394">
        <v>0.073383</v>
      </c>
      <c r="BB172" s="394">
        <v>0.06582</v>
      </c>
      <c r="BC172" s="394">
        <v>0.052176</v>
      </c>
      <c r="BD172" s="394">
        <v>0.06212</v>
      </c>
      <c r="BE172" s="34"/>
      <c r="BF172" s="394">
        <v>0.018226</v>
      </c>
      <c r="BG172" s="394">
        <v>0.0735763475126766</v>
      </c>
      <c r="BH172" s="394">
        <v>0.0675410022780116</v>
      </c>
      <c r="BI172" s="394">
        <v>0.0460070948763016</v>
      </c>
      <c r="BJ172" s="394">
        <v>0.0313302364132796</v>
      </c>
      <c r="BK172" s="394">
        <v>0.0386832883359096</v>
      </c>
      <c r="BL172" s="394">
        <v>0.0655744372722383</v>
      </c>
      <c r="BM172" s="394">
        <v>0.0730486218249794</v>
      </c>
      <c r="BN172" s="394">
        <v>0.0673556971823714</v>
      </c>
      <c r="BO172" s="394">
        <v>0.0784172122979474</v>
      </c>
      <c r="BP172" s="394">
        <v>0.0845833724134945</v>
      </c>
      <c r="BQ172" s="394">
        <v>0.0914741053896377</v>
      </c>
      <c r="BR172" s="394">
        <v>0.09127029453142</v>
      </c>
      <c r="BS172" s="394">
        <v>0.0984375299591007</v>
      </c>
      <c r="BT172" s="394">
        <v>0.0170115</v>
      </c>
      <c r="BU172" s="394" t="s">
        <v>113</v>
      </c>
    </row>
    <row r="173" spans="2:73">
      <c r="B173" s="339" t="s">
        <v>376</v>
      </c>
      <c r="C173" s="343">
        <v>1.68</v>
      </c>
      <c r="D173" s="344">
        <v>45838</v>
      </c>
      <c r="E173" s="345">
        <v>16908.002</v>
      </c>
      <c r="F173" s="9">
        <v>-0.01713</v>
      </c>
      <c r="G173" s="10">
        <v>0.027268</v>
      </c>
      <c r="H173" s="10">
        <v>0.083598</v>
      </c>
      <c r="I173" s="10">
        <v>0.035206</v>
      </c>
      <c r="J173" s="10">
        <v>0.228351</v>
      </c>
      <c r="K173" s="10">
        <v>0.255934</v>
      </c>
      <c r="L173" s="23">
        <v>0.132773</v>
      </c>
      <c r="M173" s="20"/>
      <c r="N173" s="24">
        <v>0.059118</v>
      </c>
      <c r="O173" s="25">
        <v>0.213222885820358</v>
      </c>
      <c r="P173" s="25">
        <v>0.332012338515102</v>
      </c>
      <c r="Q173" s="25">
        <v>0.104711971227489</v>
      </c>
      <c r="R173" s="25">
        <v>0.352772143648683</v>
      </c>
      <c r="S173" s="25">
        <v>0.057615854400256</v>
      </c>
      <c r="T173" s="25">
        <v>0.0372844218971886</v>
      </c>
      <c r="U173" s="25">
        <v>-0.109381075884113</v>
      </c>
      <c r="V173" s="25">
        <v>0.386559755443046</v>
      </c>
      <c r="W173" s="25">
        <v>0.0756704267319407</v>
      </c>
      <c r="X173" s="25">
        <v>-0.0624189332109413</v>
      </c>
      <c r="Y173" s="25">
        <v>0.563600340096251</v>
      </c>
      <c r="Z173" s="25">
        <v>0.0509062292501789</v>
      </c>
      <c r="AA173" s="25">
        <v>0.265938513425866</v>
      </c>
      <c r="AB173" s="25">
        <v>-0.226209117262091</v>
      </c>
      <c r="AC173" s="25">
        <v>0.264159658107511</v>
      </c>
      <c r="AD173" s="25">
        <v>0.990674130056986</v>
      </c>
      <c r="AE173" s="25">
        <v>-0.515517612735212</v>
      </c>
      <c r="AF173" s="25">
        <v>0.394353891937643</v>
      </c>
      <c r="AG173" s="25">
        <v>0.341218473932347</v>
      </c>
      <c r="AH173" s="25">
        <v>0.748403412455786</v>
      </c>
      <c r="AI173" s="25">
        <v>0.493807383320578</v>
      </c>
      <c r="AJ173" s="25">
        <v>1.21057082452431</v>
      </c>
      <c r="AK173" s="25">
        <v>0.130902570233115</v>
      </c>
      <c r="AL173" s="25">
        <v>-0.0450913242009136</v>
      </c>
      <c r="AM173" s="365">
        <v>0.0574391508027959</v>
      </c>
      <c r="AS173" s="379" t="s">
        <v>377</v>
      </c>
      <c r="AT173" s="382">
        <v>0.3</v>
      </c>
      <c r="AU173" s="383">
        <v>45716</v>
      </c>
      <c r="AV173" s="382">
        <v>70412.5629</v>
      </c>
      <c r="AW173" s="33"/>
      <c r="AX173" s="394">
        <v>0.006794</v>
      </c>
      <c r="AY173" s="394">
        <v>0.018114</v>
      </c>
      <c r="AZ173" s="394">
        <v>0.035694</v>
      </c>
      <c r="BA173" s="394">
        <v>0.072812</v>
      </c>
      <c r="BB173" s="394">
        <v>0.06669</v>
      </c>
      <c r="BC173" s="394">
        <v>0.053479</v>
      </c>
      <c r="BD173" s="394">
        <v>0.062106</v>
      </c>
      <c r="BE173" s="34"/>
      <c r="BF173" s="394">
        <v>0.018114</v>
      </c>
      <c r="BG173" s="394">
        <v>0.0732848451914074</v>
      </c>
      <c r="BH173" s="394">
        <v>0.0695275213197013</v>
      </c>
      <c r="BI173" s="394">
        <v>0.0476802379907379</v>
      </c>
      <c r="BJ173" s="394">
        <v>0.0321301584237677</v>
      </c>
      <c r="BK173" s="394">
        <v>0.0410694470864555</v>
      </c>
      <c r="BL173" s="394">
        <v>0.0651818936277071</v>
      </c>
      <c r="BM173" s="394">
        <v>0.0722946611785671</v>
      </c>
      <c r="BN173" s="394">
        <v>0.065326681849783</v>
      </c>
      <c r="BO173" s="394">
        <v>0.0758974581200222</v>
      </c>
      <c r="BP173" s="394">
        <v>0.0835302329542719</v>
      </c>
      <c r="BQ173" s="394">
        <v>0.0910350678733033</v>
      </c>
      <c r="BR173" s="394">
        <v>0.0927552867423072</v>
      </c>
      <c r="BS173" s="394">
        <v>0.0955637672186968</v>
      </c>
      <c r="BT173" s="394">
        <v>0.0879851814431254</v>
      </c>
      <c r="BU173" s="394">
        <v>0.0514748601497269</v>
      </c>
    </row>
    <row r="174" spans="2:73">
      <c r="B174" s="339" t="s">
        <v>378</v>
      </c>
      <c r="C174" s="343">
        <v>1.71</v>
      </c>
      <c r="D174" s="344">
        <v>45838</v>
      </c>
      <c r="E174" s="345">
        <v>14660.638207618</v>
      </c>
      <c r="F174" s="9">
        <v>-0.014935</v>
      </c>
      <c r="G174" s="10">
        <v>0.032973</v>
      </c>
      <c r="H174" s="10">
        <v>0.08085</v>
      </c>
      <c r="I174" s="10">
        <v>0.021094</v>
      </c>
      <c r="J174" s="10">
        <v>0.166623</v>
      </c>
      <c r="K174" s="10">
        <v>0.214893</v>
      </c>
      <c r="L174" s="23">
        <v>0.128175</v>
      </c>
      <c r="M174" s="20"/>
      <c r="N174" s="24">
        <v>0.058162</v>
      </c>
      <c r="O174" s="25">
        <v>0.16438483747788</v>
      </c>
      <c r="P174" s="25">
        <v>0.232397599449054</v>
      </c>
      <c r="Q174" s="25">
        <v>0.0231691972149988</v>
      </c>
      <c r="R174" s="25">
        <v>0.337334529952883</v>
      </c>
      <c r="S174" s="25">
        <v>0.136033441235694</v>
      </c>
      <c r="T174" s="25">
        <v>0.0881431146858965</v>
      </c>
      <c r="U174" s="25">
        <v>0.00504543680660089</v>
      </c>
      <c r="V174" s="25">
        <v>0.260018966667838</v>
      </c>
      <c r="W174" s="25">
        <v>0.0392013724130377</v>
      </c>
      <c r="X174" s="25">
        <v>0.0432977913175933</v>
      </c>
      <c r="Y174" s="25">
        <v>0.508155295198714</v>
      </c>
      <c r="Z174" s="25">
        <v>0.1015372936041</v>
      </c>
      <c r="AA174" s="25">
        <v>0.376316935132782</v>
      </c>
      <c r="AB174" s="25">
        <v>-0.239555055287029</v>
      </c>
      <c r="AC174" s="25">
        <v>0.241104445722738</v>
      </c>
      <c r="AD174" s="25">
        <v>1.12003484320557</v>
      </c>
      <c r="AE174" s="25">
        <v>-0.560254347659542</v>
      </c>
      <c r="AF174" s="25">
        <v>0.40945902170392</v>
      </c>
      <c r="AG174" s="25">
        <v>0.261544748671843</v>
      </c>
      <c r="AH174" s="25">
        <v>0.687974246953322</v>
      </c>
      <c r="AI174" s="25">
        <v>0.364606212739253</v>
      </c>
      <c r="AJ174" s="25">
        <v>1.50353495679497</v>
      </c>
      <c r="AK174" s="25">
        <v>0.13458110516934</v>
      </c>
      <c r="AL174" s="25">
        <v>-0.0595138306789605</v>
      </c>
      <c r="AM174" s="365">
        <v>-0.405876494023904</v>
      </c>
      <c r="AS174" s="379" t="s">
        <v>379</v>
      </c>
      <c r="AT174" s="382">
        <v>0.22</v>
      </c>
      <c r="AU174" s="383">
        <v>45716</v>
      </c>
      <c r="AV174" s="382">
        <v>20043.373</v>
      </c>
      <c r="AW174" s="33"/>
      <c r="AX174" s="394">
        <v>0.006752</v>
      </c>
      <c r="AY174" s="394">
        <v>0.018144</v>
      </c>
      <c r="AZ174" s="394">
        <v>0.035835</v>
      </c>
      <c r="BA174" s="394">
        <v>0.073056</v>
      </c>
      <c r="BB174" s="394">
        <v>0.067158</v>
      </c>
      <c r="BC174" s="394">
        <v>0.053911</v>
      </c>
      <c r="BD174" s="394">
        <v>0.062619</v>
      </c>
      <c r="BE174" s="34"/>
      <c r="BF174" s="394">
        <v>0.018144</v>
      </c>
      <c r="BG174" s="394">
        <v>0.0734150229331666</v>
      </c>
      <c r="BH174" s="394">
        <v>0.0703718908908603</v>
      </c>
      <c r="BI174" s="394">
        <v>0.0481835993942937</v>
      </c>
      <c r="BJ174" s="394">
        <v>0.0324844660379426</v>
      </c>
      <c r="BK174" s="394">
        <v>0.040093603327058</v>
      </c>
      <c r="BL174" s="394">
        <v>0.0666108913911597</v>
      </c>
      <c r="BM174" s="394">
        <v>0.0743825273830815</v>
      </c>
      <c r="BN174" s="394">
        <v>0.0668327115815543</v>
      </c>
      <c r="BO174" s="394">
        <v>0.0755850803290709</v>
      </c>
      <c r="BP174" s="394">
        <v>0.0830875982955405</v>
      </c>
      <c r="BQ174" s="394">
        <v>0.0907870243388296</v>
      </c>
      <c r="BR174" s="394">
        <v>0.0929955451680188</v>
      </c>
      <c r="BS174" s="394">
        <v>0.0903058252427186</v>
      </c>
      <c r="BT174" s="394">
        <v>-0.287177886637808</v>
      </c>
      <c r="BU174" s="394">
        <v>0.0497802659600988</v>
      </c>
    </row>
    <row r="175" spans="2:73">
      <c r="B175" s="339" t="s">
        <v>380</v>
      </c>
      <c r="C175" s="343">
        <v>1.75</v>
      </c>
      <c r="D175" s="344">
        <v>45838</v>
      </c>
      <c r="E175" s="345">
        <v>6492.6493</v>
      </c>
      <c r="F175" s="9">
        <v>-0.020647</v>
      </c>
      <c r="G175" s="10">
        <v>0.047023</v>
      </c>
      <c r="H175" s="10">
        <v>0.063954</v>
      </c>
      <c r="I175" s="10">
        <v>-0.039268</v>
      </c>
      <c r="J175" s="10">
        <v>0.174044</v>
      </c>
      <c r="K175" s="10">
        <v>0.217896</v>
      </c>
      <c r="L175" s="23">
        <v>0.135112</v>
      </c>
      <c r="M175" s="20"/>
      <c r="N175" s="24">
        <v>0.000355</v>
      </c>
      <c r="O175" s="25">
        <v>0.218318337346344</v>
      </c>
      <c r="P175" s="25">
        <v>0.236204127991227</v>
      </c>
      <c r="Q175" s="25">
        <v>0.0691912565255019</v>
      </c>
      <c r="R175" s="25">
        <v>0.332403429485391</v>
      </c>
      <c r="S175" s="25">
        <v>0.149450596434221</v>
      </c>
      <c r="T175" s="25">
        <v>0.126664900407043</v>
      </c>
      <c r="U175" s="25">
        <v>-0.0380436041796993</v>
      </c>
      <c r="V175" s="25">
        <v>0.337620479127282</v>
      </c>
      <c r="W175" s="25">
        <v>0.0745995270922837</v>
      </c>
      <c r="X175" s="25">
        <v>0.01480279833722</v>
      </c>
      <c r="Y175" s="25">
        <v>0.566052715147666</v>
      </c>
      <c r="Z175" s="25">
        <v>-0.062518606728193</v>
      </c>
      <c r="AA175" s="25">
        <v>0.362493239588967</v>
      </c>
      <c r="AB175" s="25">
        <v>-0.26032603260326</v>
      </c>
      <c r="AC175" s="25">
        <v>0.19928035982009</v>
      </c>
      <c r="AD175" s="25">
        <v>0.749921292895372</v>
      </c>
      <c r="AE175" s="25">
        <v>-0.59375</v>
      </c>
      <c r="AF175" s="25">
        <v>0.647422390785223</v>
      </c>
      <c r="AG175" s="25">
        <v>0.362097005644313</v>
      </c>
      <c r="AH175" s="25">
        <v>0.0452999999999999</v>
      </c>
      <c r="AI175" s="25" t="s">
        <v>113</v>
      </c>
      <c r="AJ175" s="25" t="s">
        <v>113</v>
      </c>
      <c r="AK175" s="25" t="s">
        <v>113</v>
      </c>
      <c r="AL175" s="25" t="s">
        <v>113</v>
      </c>
      <c r="AM175" s="365" t="s">
        <v>113</v>
      </c>
      <c r="AS175" s="379" t="s">
        <v>381</v>
      </c>
      <c r="AT175" s="382">
        <v>0.3</v>
      </c>
      <c r="AU175" s="383">
        <v>45716</v>
      </c>
      <c r="AV175" s="382">
        <v>55112.4041785977</v>
      </c>
      <c r="AW175" s="33"/>
      <c r="AX175" s="394">
        <v>0.006747</v>
      </c>
      <c r="AY175" s="394">
        <v>0.018086</v>
      </c>
      <c r="AZ175" s="394">
        <v>0.035746</v>
      </c>
      <c r="BA175" s="394">
        <v>0.073128</v>
      </c>
      <c r="BB175" s="394">
        <v>0.066838</v>
      </c>
      <c r="BC175" s="394">
        <v>0.053866</v>
      </c>
      <c r="BD175" s="394">
        <v>0.06273</v>
      </c>
      <c r="BE175" s="34"/>
      <c r="BF175" s="394">
        <v>0.018086</v>
      </c>
      <c r="BG175" s="394">
        <v>0.0735849203021159</v>
      </c>
      <c r="BH175" s="394">
        <v>0.0698386137621387</v>
      </c>
      <c r="BI175" s="394">
        <v>0.0475781544935532</v>
      </c>
      <c r="BJ175" s="394">
        <v>0.0322747543748347</v>
      </c>
      <c r="BK175" s="394">
        <v>0.0427432692474385</v>
      </c>
      <c r="BL175" s="394">
        <v>0.0659616310730135</v>
      </c>
      <c r="BM175" s="394">
        <v>0.0739510567923952</v>
      </c>
      <c r="BN175" s="394">
        <v>0.0663896463186375</v>
      </c>
      <c r="BO175" s="394">
        <v>0.0765910500458657</v>
      </c>
      <c r="BP175" s="394">
        <v>0.0833495835581625</v>
      </c>
      <c r="BQ175" s="394">
        <v>0.0911723131885771</v>
      </c>
      <c r="BR175" s="394">
        <v>0.0928440989159653</v>
      </c>
      <c r="BS175" s="394">
        <v>0.0970304395925887</v>
      </c>
      <c r="BT175" s="394">
        <v>0.089483505179302</v>
      </c>
      <c r="BU175" s="394">
        <v>0.0550463891581953</v>
      </c>
    </row>
    <row r="176" spans="2:73">
      <c r="B176" s="339" t="s">
        <v>382</v>
      </c>
      <c r="C176" s="343">
        <v>1.54</v>
      </c>
      <c r="D176" s="344">
        <v>45838</v>
      </c>
      <c r="E176" s="345">
        <v>26537.4845</v>
      </c>
      <c r="F176" s="9">
        <v>-0.015947</v>
      </c>
      <c r="G176" s="10">
        <v>0.059634</v>
      </c>
      <c r="H176" s="10">
        <v>0.091808</v>
      </c>
      <c r="I176" s="10">
        <v>0.007032</v>
      </c>
      <c r="J176" s="10">
        <v>0.172335</v>
      </c>
      <c r="K176" s="10">
        <v>0.222773</v>
      </c>
      <c r="L176" s="23" t="s">
        <v>113</v>
      </c>
      <c r="M176" s="20"/>
      <c r="N176" s="24">
        <v>0.043576</v>
      </c>
      <c r="O176" s="25">
        <v>0.172328877274098</v>
      </c>
      <c r="P176" s="25">
        <v>0.27022023619534</v>
      </c>
      <c r="Q176" s="25">
        <v>0.0014704002045774</v>
      </c>
      <c r="R176" s="25">
        <v>0.352938632530381</v>
      </c>
      <c r="S176" s="25">
        <v>0.215400788436268</v>
      </c>
      <c r="T176" s="25">
        <v>0.140655914623179</v>
      </c>
      <c r="U176" s="25">
        <v>-0.0227339309779107</v>
      </c>
      <c r="V176" s="25">
        <v>0.47881466077463</v>
      </c>
      <c r="W176" s="25">
        <v>0.148015517755894</v>
      </c>
      <c r="X176" s="25">
        <v>0.00530000000000008</v>
      </c>
      <c r="Y176" s="25" t="s">
        <v>113</v>
      </c>
      <c r="Z176" s="25" t="s">
        <v>113</v>
      </c>
      <c r="AA176" s="25" t="s">
        <v>113</v>
      </c>
      <c r="AB176" s="25" t="s">
        <v>113</v>
      </c>
      <c r="AC176" s="25" t="s">
        <v>113</v>
      </c>
      <c r="AD176" s="25" t="s">
        <v>113</v>
      </c>
      <c r="AE176" s="25" t="s">
        <v>113</v>
      </c>
      <c r="AF176" s="25" t="s">
        <v>113</v>
      </c>
      <c r="AG176" s="25" t="s">
        <v>113</v>
      </c>
      <c r="AH176" s="25" t="s">
        <v>113</v>
      </c>
      <c r="AI176" s="25" t="s">
        <v>113</v>
      </c>
      <c r="AJ176" s="25" t="s">
        <v>113</v>
      </c>
      <c r="AK176" s="25" t="s">
        <v>113</v>
      </c>
      <c r="AL176" s="25" t="s">
        <v>113</v>
      </c>
      <c r="AM176" s="365" t="s">
        <v>113</v>
      </c>
      <c r="AS176" s="379" t="s">
        <v>383</v>
      </c>
      <c r="AT176" s="382">
        <v>0.22</v>
      </c>
      <c r="AU176" s="383">
        <v>45716</v>
      </c>
      <c r="AV176" s="382">
        <v>14275.6182</v>
      </c>
      <c r="AW176" s="33"/>
      <c r="AX176" s="394">
        <v>0.006732</v>
      </c>
      <c r="AY176" s="394">
        <v>0.018091</v>
      </c>
      <c r="AZ176" s="394">
        <v>0.035882</v>
      </c>
      <c r="BA176" s="394">
        <v>0.073229</v>
      </c>
      <c r="BB176" s="394">
        <v>0.067106</v>
      </c>
      <c r="BC176" s="394">
        <v>0.053908</v>
      </c>
      <c r="BD176" s="394">
        <v>0.062624</v>
      </c>
      <c r="BE176" s="34"/>
      <c r="BF176" s="394">
        <v>0.018091</v>
      </c>
      <c r="BG176" s="394">
        <v>0.0737404825879385</v>
      </c>
      <c r="BH176" s="394">
        <v>0.0698363279025741</v>
      </c>
      <c r="BI176" s="394">
        <v>0.0482843153170951</v>
      </c>
      <c r="BJ176" s="394">
        <v>0.0325716432831778</v>
      </c>
      <c r="BK176" s="394">
        <v>0.0408199489221618</v>
      </c>
      <c r="BL176" s="394">
        <v>0.0645821618500918</v>
      </c>
      <c r="BM176" s="394">
        <v>0.0742127887101505</v>
      </c>
      <c r="BN176" s="394">
        <v>0.0670054330588</v>
      </c>
      <c r="BO176" s="394">
        <v>0.0763660602934219</v>
      </c>
      <c r="BP176" s="394">
        <v>0.083934489568745</v>
      </c>
      <c r="BQ176" s="394">
        <v>0.0910767773489922</v>
      </c>
      <c r="BR176" s="394">
        <v>0.0924025761552578</v>
      </c>
      <c r="BS176" s="394">
        <v>0.0974404639415813</v>
      </c>
      <c r="BT176" s="394">
        <v>0.0900467410078482</v>
      </c>
      <c r="BU176" s="394">
        <v>0.0548421380682589</v>
      </c>
    </row>
    <row r="177" spans="2:73">
      <c r="B177" s="339" t="s">
        <v>384</v>
      </c>
      <c r="C177" s="343">
        <v>1.82</v>
      </c>
      <c r="D177" s="344">
        <v>45838</v>
      </c>
      <c r="E177" s="345">
        <v>4505.814</v>
      </c>
      <c r="F177" s="9">
        <v>-0.027874</v>
      </c>
      <c r="G177" s="10">
        <v>0.119407</v>
      </c>
      <c r="H177" s="10">
        <v>0.092942</v>
      </c>
      <c r="I177" s="10">
        <v>0.037429</v>
      </c>
      <c r="J177" s="10">
        <v>0.267884</v>
      </c>
      <c r="K177" s="10">
        <v>0.263685</v>
      </c>
      <c r="L177" s="23">
        <v>0.161252</v>
      </c>
      <c r="M177" s="20"/>
      <c r="N177" s="24">
        <v>-0.065223</v>
      </c>
      <c r="O177" s="25">
        <v>0.477169611222892</v>
      </c>
      <c r="P177" s="25">
        <v>0.370489904306743</v>
      </c>
      <c r="Q177" s="25">
        <v>0.017803582220146</v>
      </c>
      <c r="R177" s="25">
        <v>0.320562847924327</v>
      </c>
      <c r="S177" s="25">
        <v>0.0876524999068094</v>
      </c>
      <c r="T177" s="25">
        <v>0.131956165308386</v>
      </c>
      <c r="U177" s="25">
        <v>-0.0872598428662602</v>
      </c>
      <c r="V177" s="25">
        <v>0.439617276421154</v>
      </c>
      <c r="W177" s="25">
        <v>0.124688212656784</v>
      </c>
      <c r="X177" s="25">
        <v>0.12256</v>
      </c>
      <c r="Y177" s="25" t="s">
        <v>113</v>
      </c>
      <c r="Z177" s="25" t="s">
        <v>113</v>
      </c>
      <c r="AA177" s="25" t="s">
        <v>113</v>
      </c>
      <c r="AB177" s="25" t="s">
        <v>113</v>
      </c>
      <c r="AC177" s="25" t="s">
        <v>113</v>
      </c>
      <c r="AD177" s="25" t="s">
        <v>113</v>
      </c>
      <c r="AE177" s="25" t="s">
        <v>113</v>
      </c>
      <c r="AF177" s="25" t="s">
        <v>113</v>
      </c>
      <c r="AG177" s="25" t="s">
        <v>113</v>
      </c>
      <c r="AH177" s="25" t="s">
        <v>113</v>
      </c>
      <c r="AI177" s="25" t="s">
        <v>113</v>
      </c>
      <c r="AJ177" s="25" t="s">
        <v>113</v>
      </c>
      <c r="AK177" s="25" t="s">
        <v>113</v>
      </c>
      <c r="AL177" s="25" t="s">
        <v>113</v>
      </c>
      <c r="AM177" s="365" t="s">
        <v>113</v>
      </c>
      <c r="AS177" s="379" t="s">
        <v>385</v>
      </c>
      <c r="AT177" s="382">
        <v>0.25</v>
      </c>
      <c r="AU177" s="383">
        <v>45716</v>
      </c>
      <c r="AV177" s="382">
        <v>48.206</v>
      </c>
      <c r="AW177" s="33"/>
      <c r="AX177" s="394">
        <v>0.006268</v>
      </c>
      <c r="AY177" s="394">
        <v>0.017151</v>
      </c>
      <c r="AZ177" s="394">
        <v>0.034417</v>
      </c>
      <c r="BA177" s="394">
        <v>0.069674</v>
      </c>
      <c r="BB177" s="394">
        <v>0.063774</v>
      </c>
      <c r="BC177" s="394">
        <v>0.050056</v>
      </c>
      <c r="BD177" s="394" t="s">
        <v>113</v>
      </c>
      <c r="BE177" s="34"/>
      <c r="BF177" s="394">
        <v>0.017151</v>
      </c>
      <c r="BG177" s="394">
        <v>0.0694594203759718</v>
      </c>
      <c r="BH177" s="394">
        <v>0.0664813393569478</v>
      </c>
      <c r="BI177" s="394">
        <v>0.046365671074514</v>
      </c>
      <c r="BJ177" s="394">
        <v>0.0301538008400181</v>
      </c>
      <c r="BK177" s="394">
        <v>0.0321669740889504</v>
      </c>
      <c r="BL177" s="394">
        <v>0.0367059093624317</v>
      </c>
      <c r="BM177" s="394" t="s">
        <v>113</v>
      </c>
      <c r="BN177" s="394" t="s">
        <v>113</v>
      </c>
      <c r="BO177" s="394" t="s">
        <v>113</v>
      </c>
      <c r="BP177" s="394" t="s">
        <v>113</v>
      </c>
      <c r="BQ177" s="394" t="s">
        <v>113</v>
      </c>
      <c r="BR177" s="394" t="s">
        <v>113</v>
      </c>
      <c r="BS177" s="394" t="s">
        <v>113</v>
      </c>
      <c r="BT177" s="394" t="s">
        <v>113</v>
      </c>
      <c r="BU177" s="394" t="s">
        <v>113</v>
      </c>
    </row>
    <row r="178" spans="2:73">
      <c r="B178" s="339" t="s">
        <v>386</v>
      </c>
      <c r="C178" s="343">
        <v>1.69</v>
      </c>
      <c r="D178" s="344">
        <v>45838</v>
      </c>
      <c r="E178" s="345">
        <v>15623.1474</v>
      </c>
      <c r="F178" s="9">
        <v>-0.012752</v>
      </c>
      <c r="G178" s="10">
        <v>0.05421</v>
      </c>
      <c r="H178" s="10">
        <v>0.094287</v>
      </c>
      <c r="I178" s="10">
        <v>-0.018888</v>
      </c>
      <c r="J178" s="10">
        <v>0.186292</v>
      </c>
      <c r="K178" s="10">
        <v>0.242207</v>
      </c>
      <c r="L178" s="23">
        <v>0.105185</v>
      </c>
      <c r="M178" s="20"/>
      <c r="N178" s="24">
        <v>0.042895</v>
      </c>
      <c r="O178" s="25">
        <v>0.1763769901531</v>
      </c>
      <c r="P178" s="25">
        <v>0.286249198420674</v>
      </c>
      <c r="Q178" s="25">
        <v>0.0690858467458613</v>
      </c>
      <c r="R178" s="25">
        <v>0.375935162094763</v>
      </c>
      <c r="S178" s="25">
        <v>-0.00449737353385623</v>
      </c>
      <c r="T178" s="25">
        <v>0.0148925643071406</v>
      </c>
      <c r="U178" s="25">
        <v>-0.206804368257867</v>
      </c>
      <c r="V178" s="25">
        <v>0.46037577034189</v>
      </c>
      <c r="W178" s="25">
        <v>0.0424321255745765</v>
      </c>
      <c r="X178" s="25">
        <v>-0.0292366497166436</v>
      </c>
      <c r="Y178" s="25">
        <v>0.829958055432624</v>
      </c>
      <c r="Z178" s="25">
        <v>0.0347375032926063</v>
      </c>
      <c r="AA178" s="25">
        <v>0.460545473915977</v>
      </c>
      <c r="AB178" s="25">
        <v>-0.242341756541626</v>
      </c>
      <c r="AC178" s="25">
        <v>0.224930924431603</v>
      </c>
      <c r="AD178" s="25">
        <v>0.820051388180718</v>
      </c>
      <c r="AE178" s="25">
        <v>-0.5234730824202</v>
      </c>
      <c r="AF178" s="25">
        <v>0.424016282225237</v>
      </c>
      <c r="AG178" s="25">
        <v>0.344890510948905</v>
      </c>
      <c r="AH178" s="25">
        <v>0.0960000000000001</v>
      </c>
      <c r="AI178" s="25" t="s">
        <v>113</v>
      </c>
      <c r="AJ178" s="25" t="s">
        <v>113</v>
      </c>
      <c r="AK178" s="25" t="s">
        <v>113</v>
      </c>
      <c r="AL178" s="25" t="s">
        <v>113</v>
      </c>
      <c r="AM178" s="365" t="s">
        <v>113</v>
      </c>
      <c r="AS178" s="379" t="s">
        <v>387</v>
      </c>
      <c r="AT178" s="382">
        <v>0.25</v>
      </c>
      <c r="AU178" s="383">
        <v>45716</v>
      </c>
      <c r="AV178" s="382">
        <v>3341.391292129</v>
      </c>
      <c r="AW178" s="33"/>
      <c r="AX178" s="394">
        <v>0.006418</v>
      </c>
      <c r="AY178" s="394">
        <v>0.017736</v>
      </c>
      <c r="AZ178" s="394">
        <v>0.035217</v>
      </c>
      <c r="BA178" s="394">
        <v>0.071903</v>
      </c>
      <c r="BB178" s="394">
        <v>0.066442</v>
      </c>
      <c r="BC178" s="394">
        <v>0.053422</v>
      </c>
      <c r="BD178" s="394">
        <v>0.062647</v>
      </c>
      <c r="BE178" s="34"/>
      <c r="BF178" s="394">
        <v>0.017736</v>
      </c>
      <c r="BG178" s="394">
        <v>0.0723191515200582</v>
      </c>
      <c r="BH178" s="394">
        <v>0.0696824651337857</v>
      </c>
      <c r="BI178" s="394">
        <v>0.0482012893945292</v>
      </c>
      <c r="BJ178" s="394">
        <v>0.0331464210414303</v>
      </c>
      <c r="BK178" s="394">
        <v>0.0396666010369494</v>
      </c>
      <c r="BL178" s="394">
        <v>0.0659802592916853</v>
      </c>
      <c r="BM178" s="394">
        <v>0.0741652066371225</v>
      </c>
      <c r="BN178" s="394">
        <v>0.0672361721531981</v>
      </c>
      <c r="BO178" s="394">
        <v>0.0773841706229001</v>
      </c>
      <c r="BP178" s="394">
        <v>0.0843738287733576</v>
      </c>
      <c r="BQ178" s="394">
        <v>0.091351056028375</v>
      </c>
      <c r="BR178" s="394">
        <v>0.0930594986794748</v>
      </c>
      <c r="BS178" s="394">
        <v>0.0957825043217783</v>
      </c>
      <c r="BT178" s="394">
        <v>0.0897172383549106</v>
      </c>
      <c r="BU178" s="394">
        <v>0.0548726035222089</v>
      </c>
    </row>
    <row r="179" spans="2:73">
      <c r="B179" s="339" t="s">
        <v>388</v>
      </c>
      <c r="C179" s="343">
        <v>1.72</v>
      </c>
      <c r="D179" s="344">
        <v>45838</v>
      </c>
      <c r="E179" s="345">
        <v>5557.3668</v>
      </c>
      <c r="F179" s="9">
        <v>-0.01889</v>
      </c>
      <c r="G179" s="10">
        <v>0.040692</v>
      </c>
      <c r="H179" s="10">
        <v>0.060865</v>
      </c>
      <c r="I179" s="10">
        <v>0.051274</v>
      </c>
      <c r="J179" s="10">
        <v>0.195671</v>
      </c>
      <c r="K179" s="10">
        <v>0.228277</v>
      </c>
      <c r="L179" s="23" t="s">
        <v>113</v>
      </c>
      <c r="M179" s="20"/>
      <c r="N179" s="24">
        <v>0.043604</v>
      </c>
      <c r="O179" s="25">
        <v>0.204488284896138</v>
      </c>
      <c r="P179" s="25">
        <v>0.273732997481108</v>
      </c>
      <c r="Q179" s="25">
        <v>0.0513715499388246</v>
      </c>
      <c r="R179" s="25">
        <v>0.362475824841959</v>
      </c>
      <c r="S179" s="25">
        <v>0.282017596610201</v>
      </c>
      <c r="T179" s="25">
        <v>0.08089</v>
      </c>
      <c r="U179" s="25" t="s">
        <v>113</v>
      </c>
      <c r="V179" s="25" t="s">
        <v>113</v>
      </c>
      <c r="W179" s="25" t="s">
        <v>113</v>
      </c>
      <c r="X179" s="25" t="s">
        <v>113</v>
      </c>
      <c r="Y179" s="25" t="s">
        <v>113</v>
      </c>
      <c r="Z179" s="25" t="s">
        <v>113</v>
      </c>
      <c r="AA179" s="25" t="s">
        <v>113</v>
      </c>
      <c r="AB179" s="25" t="s">
        <v>113</v>
      </c>
      <c r="AC179" s="25" t="s">
        <v>113</v>
      </c>
      <c r="AD179" s="25" t="s">
        <v>113</v>
      </c>
      <c r="AE179" s="25" t="s">
        <v>113</v>
      </c>
      <c r="AF179" s="25" t="s">
        <v>113</v>
      </c>
      <c r="AG179" s="25" t="s">
        <v>113</v>
      </c>
      <c r="AH179" s="25" t="s">
        <v>113</v>
      </c>
      <c r="AI179" s="25" t="s">
        <v>113</v>
      </c>
      <c r="AJ179" s="25" t="s">
        <v>113</v>
      </c>
      <c r="AK179" s="25" t="s">
        <v>113</v>
      </c>
      <c r="AL179" s="25" t="s">
        <v>113</v>
      </c>
      <c r="AM179" s="365" t="s">
        <v>113</v>
      </c>
      <c r="AS179" s="379" t="s">
        <v>389</v>
      </c>
      <c r="AT179" s="382">
        <v>0.31</v>
      </c>
      <c r="AU179" s="383">
        <v>45716</v>
      </c>
      <c r="AV179" s="382">
        <v>38144.2058</v>
      </c>
      <c r="AW179" s="33"/>
      <c r="AX179" s="394">
        <v>0.006764</v>
      </c>
      <c r="AY179" s="394">
        <v>0.018045</v>
      </c>
      <c r="AZ179" s="394">
        <v>0.035596</v>
      </c>
      <c r="BA179" s="394">
        <v>0.072672</v>
      </c>
      <c r="BB179" s="394">
        <v>0.066503</v>
      </c>
      <c r="BC179" s="394">
        <v>0.053479</v>
      </c>
      <c r="BD179" s="394">
        <v>0.062254</v>
      </c>
      <c r="BE179" s="34"/>
      <c r="BF179" s="394">
        <v>0.018045</v>
      </c>
      <c r="BG179" s="394">
        <v>0.073003192767283</v>
      </c>
      <c r="BH179" s="394">
        <v>0.0695115829722236</v>
      </c>
      <c r="BI179" s="394">
        <v>0.0474423900366067</v>
      </c>
      <c r="BJ179" s="394">
        <v>0.0322865291897782</v>
      </c>
      <c r="BK179" s="394">
        <v>0.0412171661089158</v>
      </c>
      <c r="BL179" s="394">
        <v>0.0647544531781524</v>
      </c>
      <c r="BM179" s="394">
        <v>0.0736808163468403</v>
      </c>
      <c r="BN179" s="394">
        <v>0.0665911278123531</v>
      </c>
      <c r="BO179" s="394">
        <v>0.0760321177729237</v>
      </c>
      <c r="BP179" s="394">
        <v>0.0833317998800628</v>
      </c>
      <c r="BQ179" s="394">
        <v>0.0909494374176349</v>
      </c>
      <c r="BR179" s="394">
        <v>0.0924863516970249</v>
      </c>
      <c r="BS179" s="394">
        <v>0.0969111769164497</v>
      </c>
      <c r="BT179" s="394">
        <v>0.0898404831170698</v>
      </c>
      <c r="BU179" s="394">
        <v>0.0551044271932958</v>
      </c>
    </row>
    <row r="180" spans="2:73">
      <c r="B180" s="339" t="s">
        <v>390</v>
      </c>
      <c r="C180" s="343">
        <v>1.64</v>
      </c>
      <c r="D180" s="344">
        <v>45838</v>
      </c>
      <c r="E180" s="345">
        <v>11922.65</v>
      </c>
      <c r="F180" s="9">
        <v>-0.029557</v>
      </c>
      <c r="G180" s="10">
        <v>0.050115</v>
      </c>
      <c r="H180" s="10">
        <v>0.067076</v>
      </c>
      <c r="I180" s="10">
        <v>-0.119315</v>
      </c>
      <c r="J180" s="10">
        <v>0.17215</v>
      </c>
      <c r="K180" s="10">
        <v>0.285267</v>
      </c>
      <c r="L180" s="23">
        <v>0.197256</v>
      </c>
      <c r="M180" s="20"/>
      <c r="N180" s="24">
        <v>0.023031</v>
      </c>
      <c r="O180" s="25">
        <v>0.0926287306146675</v>
      </c>
      <c r="P180" s="25">
        <v>0.304366674739646</v>
      </c>
      <c r="Q180" s="25">
        <v>0.122503998586336</v>
      </c>
      <c r="R180" s="25">
        <v>0.598287169266956</v>
      </c>
      <c r="S180" s="25">
        <v>0.469214392187864</v>
      </c>
      <c r="T180" s="25">
        <v>0.0296728915649451</v>
      </c>
      <c r="U180" s="25">
        <v>-0.0424062743913187</v>
      </c>
      <c r="V180" s="25">
        <v>0.362286197749932</v>
      </c>
      <c r="W180" s="25">
        <v>0.136702498363287</v>
      </c>
      <c r="X180" s="25">
        <v>0.0999876699624201</v>
      </c>
      <c r="Y180" s="25">
        <v>0.609227893601725</v>
      </c>
      <c r="Z180" s="25">
        <v>-0.0787176491470687</v>
      </c>
      <c r="AA180" s="25">
        <v>0.19534671619529</v>
      </c>
      <c r="AB180" s="25">
        <v>-0.384223427344577</v>
      </c>
      <c r="AC180" s="25">
        <v>0.11750067009377</v>
      </c>
      <c r="AD180" s="25">
        <v>0.554677336296618</v>
      </c>
      <c r="AE180" s="25">
        <v>-0.601306430306157</v>
      </c>
      <c r="AF180" s="25">
        <v>0.701926436781609</v>
      </c>
      <c r="AG180" s="25">
        <v>0.381807785772145</v>
      </c>
      <c r="AH180" s="25">
        <v>0.420792526063998</v>
      </c>
      <c r="AI180" s="25">
        <v>0.146545924967659</v>
      </c>
      <c r="AJ180" s="25">
        <v>0.920783222343703</v>
      </c>
      <c r="AK180" s="25">
        <v>0.231743000208127</v>
      </c>
      <c r="AL180" s="25">
        <v>-0.163747120552854</v>
      </c>
      <c r="AM180" s="365">
        <v>-0.02325</v>
      </c>
      <c r="AS180" s="379" t="s">
        <v>391</v>
      </c>
      <c r="AT180" s="382">
        <v>0.3</v>
      </c>
      <c r="AU180" s="383">
        <v>45716</v>
      </c>
      <c r="AV180" s="382">
        <v>11780.1614</v>
      </c>
      <c r="AW180" s="33"/>
      <c r="AX180" s="394">
        <v>0.006642</v>
      </c>
      <c r="AY180" s="394">
        <v>0.017894</v>
      </c>
      <c r="AZ180" s="394">
        <v>0.035528</v>
      </c>
      <c r="BA180" s="394">
        <v>0.073048</v>
      </c>
      <c r="BB180" s="394">
        <v>0.066702</v>
      </c>
      <c r="BC180" s="394">
        <v>0.053668</v>
      </c>
      <c r="BD180" s="394">
        <v>0.062466</v>
      </c>
      <c r="BE180" s="34"/>
      <c r="BF180" s="394">
        <v>0.017894</v>
      </c>
      <c r="BG180" s="394">
        <v>0.0737983702043475</v>
      </c>
      <c r="BH180" s="394">
        <v>0.0695443408494983</v>
      </c>
      <c r="BI180" s="394">
        <v>0.0473440373163284</v>
      </c>
      <c r="BJ180" s="394">
        <v>0.0325060508947672</v>
      </c>
      <c r="BK180" s="394">
        <v>0.0427957663918528</v>
      </c>
      <c r="BL180" s="394">
        <v>0.0650571021375891</v>
      </c>
      <c r="BM180" s="394">
        <v>0.0732076984019418</v>
      </c>
      <c r="BN180" s="394">
        <v>0.0662748256859117</v>
      </c>
      <c r="BO180" s="394">
        <v>0.0758065983611361</v>
      </c>
      <c r="BP180" s="394">
        <v>0.0835101929138622</v>
      </c>
      <c r="BQ180" s="394">
        <v>0.0901483766599675</v>
      </c>
      <c r="BR180" s="394">
        <v>0.0912362460788733</v>
      </c>
      <c r="BS180" s="394">
        <v>0.0929631513003728</v>
      </c>
      <c r="BT180" s="394">
        <v>0.0840086378359947</v>
      </c>
      <c r="BU180" s="394">
        <v>0.0537504341473346</v>
      </c>
    </row>
    <row r="181" spans="2:73">
      <c r="B181" s="339" t="s">
        <v>392</v>
      </c>
      <c r="C181" s="343">
        <v>1.58</v>
      </c>
      <c r="D181" s="344">
        <v>45838</v>
      </c>
      <c r="E181" s="345">
        <v>30616.2227</v>
      </c>
      <c r="F181" s="9">
        <v>-0.021703</v>
      </c>
      <c r="G181" s="10">
        <v>0.038785</v>
      </c>
      <c r="H181" s="10">
        <v>0.050998</v>
      </c>
      <c r="I181" s="10">
        <v>-0.024027</v>
      </c>
      <c r="J181" s="10">
        <v>0.252305</v>
      </c>
      <c r="K181" s="10">
        <v>0.258024</v>
      </c>
      <c r="L181" s="23">
        <v>0.139547</v>
      </c>
      <c r="M181" s="20"/>
      <c r="N181" s="24">
        <v>0.019284</v>
      </c>
      <c r="O181" s="25">
        <v>0.27743826830075</v>
      </c>
      <c r="P181" s="25">
        <v>0.400035770109034</v>
      </c>
      <c r="Q181" s="25">
        <v>0.0692877690865609</v>
      </c>
      <c r="R181" s="25">
        <v>0.310373104695794</v>
      </c>
      <c r="S181" s="25">
        <v>0.188671461186416</v>
      </c>
      <c r="T181" s="25">
        <v>0.0399629131367504</v>
      </c>
      <c r="U181" s="25">
        <v>-0.0833720496964793</v>
      </c>
      <c r="V181" s="25">
        <v>0.330187767493531</v>
      </c>
      <c r="W181" s="25">
        <v>0.020997867170726</v>
      </c>
      <c r="X181" s="25">
        <v>0.0320151574038084</v>
      </c>
      <c r="Y181" s="25">
        <v>0.491436246997253</v>
      </c>
      <c r="Z181" s="25">
        <v>0.0703594332587597</v>
      </c>
      <c r="AA181" s="25">
        <v>0.342880032044865</v>
      </c>
      <c r="AB181" s="25">
        <v>-0.23502374751034</v>
      </c>
      <c r="AC181" s="25">
        <v>0.12982516877272</v>
      </c>
      <c r="AD181" s="25">
        <v>0.864149725717971</v>
      </c>
      <c r="AE181" s="25">
        <v>-0.548645499563065</v>
      </c>
      <c r="AF181" s="25">
        <v>0.552739285635101</v>
      </c>
      <c r="AG181" s="25">
        <v>0.449550076385736</v>
      </c>
      <c r="AH181" s="25">
        <v>0.960554040379874</v>
      </c>
      <c r="AI181" s="25">
        <v>0.539311640199118</v>
      </c>
      <c r="AJ181" s="25">
        <v>1.33212247327079</v>
      </c>
      <c r="AK181" s="25">
        <v>0.0553227158424192</v>
      </c>
      <c r="AL181" s="25">
        <v>-0.455720861904567</v>
      </c>
      <c r="AM181" s="365">
        <v>-0.466166091077804</v>
      </c>
      <c r="AS181" s="379" t="s">
        <v>393</v>
      </c>
      <c r="AT181" s="382">
        <v>0.26</v>
      </c>
      <c r="AU181" s="383">
        <v>45716</v>
      </c>
      <c r="AV181" s="382">
        <v>1323.6546</v>
      </c>
      <c r="AW181" s="33"/>
      <c r="AX181" s="394">
        <v>0.00657</v>
      </c>
      <c r="AY181" s="394">
        <v>0.017993</v>
      </c>
      <c r="AZ181" s="394">
        <v>0.035825</v>
      </c>
      <c r="BA181" s="394">
        <v>0.073064</v>
      </c>
      <c r="BB181" s="394">
        <v>0.067356</v>
      </c>
      <c r="BC181" s="394">
        <v>0.054403</v>
      </c>
      <c r="BD181" s="394" t="s">
        <v>113</v>
      </c>
      <c r="BE181" s="34"/>
      <c r="BF181" s="394">
        <v>0.017993</v>
      </c>
      <c r="BG181" s="394">
        <v>0.0735165681825388</v>
      </c>
      <c r="BH181" s="394">
        <v>0.0705034357020896</v>
      </c>
      <c r="BI181" s="394">
        <v>0.0486928327154092</v>
      </c>
      <c r="BJ181" s="394">
        <v>0.0330077236827003</v>
      </c>
      <c r="BK181" s="394">
        <v>0.0428479510330816</v>
      </c>
      <c r="BL181" s="394">
        <v>0.0673365653579496</v>
      </c>
      <c r="BM181" s="394">
        <v>0.0738548785610105</v>
      </c>
      <c r="BN181" s="394">
        <v>0.0668927951587373</v>
      </c>
      <c r="BO181" s="394">
        <v>0.0341438574691195</v>
      </c>
      <c r="BP181" s="394" t="s">
        <v>113</v>
      </c>
      <c r="BQ181" s="394" t="s">
        <v>113</v>
      </c>
      <c r="BR181" s="394" t="s">
        <v>113</v>
      </c>
      <c r="BS181" s="394" t="s">
        <v>113</v>
      </c>
      <c r="BT181" s="394" t="s">
        <v>113</v>
      </c>
      <c r="BU181" s="394" t="s">
        <v>113</v>
      </c>
    </row>
    <row r="182" spans="2:73">
      <c r="B182" s="339" t="s">
        <v>394</v>
      </c>
      <c r="C182" s="343">
        <v>1.81</v>
      </c>
      <c r="D182" s="344">
        <v>45838</v>
      </c>
      <c r="E182" s="345">
        <v>4711.2365951131</v>
      </c>
      <c r="F182" s="9">
        <v>-0.021583</v>
      </c>
      <c r="G182" s="10">
        <v>0.053236</v>
      </c>
      <c r="H182" s="10">
        <v>0.056826</v>
      </c>
      <c r="I182" s="10">
        <v>-0.011463</v>
      </c>
      <c r="J182" s="10">
        <v>0.163869</v>
      </c>
      <c r="K182" s="10">
        <v>0.206405</v>
      </c>
      <c r="L182" s="23">
        <v>0.136058</v>
      </c>
      <c r="M182" s="20"/>
      <c r="N182" s="24">
        <v>-0.000922</v>
      </c>
      <c r="O182" s="25">
        <v>0.194597248443027</v>
      </c>
      <c r="P182" s="25">
        <v>0.240203053881942</v>
      </c>
      <c r="Q182" s="25">
        <v>0.0585275527463723</v>
      </c>
      <c r="R182" s="25">
        <v>0.303949109651057</v>
      </c>
      <c r="S182" s="25">
        <v>0.118808280734564</v>
      </c>
      <c r="T182" s="25">
        <v>0.135904970967285</v>
      </c>
      <c r="U182" s="25">
        <v>-0.0837951374058596</v>
      </c>
      <c r="V182" s="25">
        <v>0.459999842130606</v>
      </c>
      <c r="W182" s="25">
        <v>0.0214469430043458</v>
      </c>
      <c r="X182" s="25">
        <v>0.133070225925215</v>
      </c>
      <c r="Y182" s="25">
        <v>0.0946099999999999</v>
      </c>
      <c r="Z182" s="25" t="s">
        <v>113</v>
      </c>
      <c r="AA182" s="25" t="s">
        <v>113</v>
      </c>
      <c r="AB182" s="25" t="s">
        <v>113</v>
      </c>
      <c r="AC182" s="25" t="s">
        <v>113</v>
      </c>
      <c r="AD182" s="25" t="s">
        <v>113</v>
      </c>
      <c r="AE182" s="25" t="s">
        <v>113</v>
      </c>
      <c r="AF182" s="25" t="s">
        <v>113</v>
      </c>
      <c r="AG182" s="25" t="s">
        <v>113</v>
      </c>
      <c r="AH182" s="25" t="s">
        <v>113</v>
      </c>
      <c r="AI182" s="25" t="s">
        <v>113</v>
      </c>
      <c r="AJ182" s="25" t="s">
        <v>113</v>
      </c>
      <c r="AK182" s="25" t="s">
        <v>113</v>
      </c>
      <c r="AL182" s="25" t="s">
        <v>113</v>
      </c>
      <c r="AM182" s="365" t="s">
        <v>113</v>
      </c>
      <c r="AS182" s="379" t="s">
        <v>395</v>
      </c>
      <c r="AT182" s="382">
        <v>0.2</v>
      </c>
      <c r="AU182" s="383">
        <v>45716</v>
      </c>
      <c r="AV182" s="382">
        <v>12730.954318839</v>
      </c>
      <c r="AW182" s="33"/>
      <c r="AX182" s="394">
        <v>0.006644</v>
      </c>
      <c r="AY182" s="394">
        <v>0.017999</v>
      </c>
      <c r="AZ182" s="394">
        <v>0.035754</v>
      </c>
      <c r="BA182" s="394">
        <v>0.073053</v>
      </c>
      <c r="BB182" s="394">
        <v>0.067112</v>
      </c>
      <c r="BC182" s="394">
        <v>0.054053</v>
      </c>
      <c r="BD182" s="394">
        <v>0.061836</v>
      </c>
      <c r="BE182" s="34"/>
      <c r="BF182" s="394">
        <v>0.017999</v>
      </c>
      <c r="BG182" s="394">
        <v>0.073485529686703</v>
      </c>
      <c r="BH182" s="394">
        <v>0.0701313717212424</v>
      </c>
      <c r="BI182" s="394">
        <v>0.0483061285541021</v>
      </c>
      <c r="BJ182" s="394">
        <v>0.033039404731227</v>
      </c>
      <c r="BK182" s="394">
        <v>0.0418913338561702</v>
      </c>
      <c r="BL182" s="394">
        <v>0.0657340494654015</v>
      </c>
      <c r="BM182" s="394">
        <v>0.0734594487178927</v>
      </c>
      <c r="BN182" s="394">
        <v>0.0662663712273919</v>
      </c>
      <c r="BO182" s="394">
        <v>0.0722196398727711</v>
      </c>
      <c r="BP182" s="394">
        <v>0.0776887473215027</v>
      </c>
      <c r="BQ182" s="394">
        <v>0.0867567991831165</v>
      </c>
      <c r="BR182" s="394">
        <v>0.0816460582966872</v>
      </c>
      <c r="BS182" s="394">
        <v>0.079826019113603</v>
      </c>
      <c r="BT182" s="394">
        <v>0.0691852547497969</v>
      </c>
      <c r="BU182" s="394">
        <v>0.0425179273838988</v>
      </c>
    </row>
    <row r="183" spans="2:73">
      <c r="B183" s="339" t="s">
        <v>396</v>
      </c>
      <c r="C183" s="343">
        <v>2.44</v>
      </c>
      <c r="D183" s="344">
        <v>45838</v>
      </c>
      <c r="E183" s="345">
        <v>80.984</v>
      </c>
      <c r="F183" s="9">
        <v>-0.026919</v>
      </c>
      <c r="G183" s="10">
        <v>0.053527</v>
      </c>
      <c r="H183" s="10">
        <v>0.050489</v>
      </c>
      <c r="I183" s="10">
        <v>-0.003005</v>
      </c>
      <c r="J183" s="10">
        <v>0.191654</v>
      </c>
      <c r="K183" s="10">
        <v>0.193896</v>
      </c>
      <c r="L183" s="23">
        <v>0.125752</v>
      </c>
      <c r="M183" s="20"/>
      <c r="N183" s="24">
        <v>0.004867</v>
      </c>
      <c r="O183" s="25">
        <v>0.214609472508702</v>
      </c>
      <c r="P183" s="25">
        <v>0.287139595840032</v>
      </c>
      <c r="Q183" s="25">
        <v>0.06607175049576</v>
      </c>
      <c r="R183" s="25">
        <v>0.201169337375489</v>
      </c>
      <c r="S183" s="25">
        <v>0.136598572483384</v>
      </c>
      <c r="T183" s="25">
        <v>0.076719226182594</v>
      </c>
      <c r="U183" s="25">
        <v>0</v>
      </c>
      <c r="V183" s="25">
        <v>0.379959773267502</v>
      </c>
      <c r="W183" s="25">
        <v>0.0318867924528313</v>
      </c>
      <c r="X183" s="25">
        <v>0.0206046601193913</v>
      </c>
      <c r="Y183" s="25">
        <v>0.351288056206089</v>
      </c>
      <c r="Z183" s="25">
        <v>0.00470588235294018</v>
      </c>
      <c r="AA183" s="25">
        <v>0.286579212916246</v>
      </c>
      <c r="AB183" s="25">
        <v>-0.222135007849293</v>
      </c>
      <c r="AC183" s="25">
        <v>0.188802488335926</v>
      </c>
      <c r="AD183" s="25">
        <v>0.948484848484851</v>
      </c>
      <c r="AE183" s="25">
        <v>-0.54230235783634</v>
      </c>
      <c r="AF183" s="25">
        <v>1.11685261303582</v>
      </c>
      <c r="AG183" s="25">
        <v>-0.10131926121372</v>
      </c>
      <c r="AH183" s="25">
        <v>0.365883278430604</v>
      </c>
      <c r="AI183" s="25">
        <v>0.397611313104095</v>
      </c>
      <c r="AJ183" s="25">
        <v>0.744776944263241</v>
      </c>
      <c r="AK183" s="25">
        <v>0.311077389984826</v>
      </c>
      <c r="AL183" s="25">
        <v>-0.417844522968198</v>
      </c>
      <c r="AM183" s="365">
        <v>-0.345286292654714</v>
      </c>
      <c r="AS183" s="379" t="s">
        <v>397</v>
      </c>
      <c r="AT183" s="382">
        <v>0.37</v>
      </c>
      <c r="AU183" s="383">
        <v>45716</v>
      </c>
      <c r="AV183" s="382">
        <v>961.6249</v>
      </c>
      <c r="AW183" s="33"/>
      <c r="AX183" s="394">
        <v>0.006031</v>
      </c>
      <c r="AY183" s="394">
        <v>0.01667</v>
      </c>
      <c r="AZ183" s="394">
        <v>0.033167</v>
      </c>
      <c r="BA183" s="394">
        <v>0.068014</v>
      </c>
      <c r="BB183" s="394">
        <v>0.062386</v>
      </c>
      <c r="BC183" s="394">
        <v>0.049395</v>
      </c>
      <c r="BD183" s="394" t="s">
        <v>113</v>
      </c>
      <c r="BE183" s="34"/>
      <c r="BF183" s="394">
        <v>0.01667</v>
      </c>
      <c r="BG183" s="394">
        <v>0.0689103845231433</v>
      </c>
      <c r="BH183" s="394">
        <v>0.0654118047866452</v>
      </c>
      <c r="BI183" s="394">
        <v>0.044164206182633</v>
      </c>
      <c r="BJ183" s="394">
        <v>0.0293393385146331</v>
      </c>
      <c r="BK183" s="394">
        <v>0.0336184546676002</v>
      </c>
      <c r="BL183" s="394">
        <v>0.0548452455809404</v>
      </c>
      <c r="BM183" s="394">
        <v>0.00190999999999999</v>
      </c>
      <c r="BN183" s="394" t="s">
        <v>113</v>
      </c>
      <c r="BO183" s="394" t="s">
        <v>113</v>
      </c>
      <c r="BP183" s="394" t="s">
        <v>113</v>
      </c>
      <c r="BQ183" s="394" t="s">
        <v>113</v>
      </c>
      <c r="BR183" s="394" t="s">
        <v>113</v>
      </c>
      <c r="BS183" s="394" t="s">
        <v>113</v>
      </c>
      <c r="BT183" s="394" t="s">
        <v>113</v>
      </c>
      <c r="BU183" s="394" t="s">
        <v>113</v>
      </c>
    </row>
    <row r="184" ht="14.55" spans="2:73">
      <c r="B184" s="339" t="s">
        <v>398</v>
      </c>
      <c r="C184" s="346">
        <v>1.88</v>
      </c>
      <c r="D184" s="347">
        <v>45838</v>
      </c>
      <c r="E184" s="348">
        <v>3882.2922</v>
      </c>
      <c r="F184" s="9">
        <v>-0.032234</v>
      </c>
      <c r="G184" s="10">
        <v>0.033737</v>
      </c>
      <c r="H184" s="10">
        <v>0.052781</v>
      </c>
      <c r="I184" s="10">
        <v>-0.034704</v>
      </c>
      <c r="J184" s="10">
        <v>0.137464</v>
      </c>
      <c r="K184" s="10">
        <v>0.189164</v>
      </c>
      <c r="L184" s="23">
        <v>0.11599</v>
      </c>
      <c r="M184" s="20"/>
      <c r="N184" s="24">
        <v>0.010901</v>
      </c>
      <c r="O184" s="25">
        <v>0.139154412492387</v>
      </c>
      <c r="P184" s="25">
        <v>0.242635613700615</v>
      </c>
      <c r="Q184" s="25">
        <v>-0.0348523959962507</v>
      </c>
      <c r="R184" s="25">
        <v>0.331003684047559</v>
      </c>
      <c r="S184" s="25">
        <v>0.201829407878106</v>
      </c>
      <c r="T184" s="25">
        <v>0.103507517991339</v>
      </c>
      <c r="U184" s="25">
        <v>-0.064669758816771</v>
      </c>
      <c r="V184" s="25">
        <v>0.330997293333492</v>
      </c>
      <c r="W184" s="25">
        <v>0.0330531557318362</v>
      </c>
      <c r="X184" s="25">
        <v>0.0262232707036008</v>
      </c>
      <c r="Y184" s="25">
        <v>0.40730075360179</v>
      </c>
      <c r="Z184" s="25">
        <v>0.0714963068858709</v>
      </c>
      <c r="AA184" s="25">
        <v>0.268742442563483</v>
      </c>
      <c r="AB184" s="25">
        <v>-0.233727125318508</v>
      </c>
      <c r="AC184" s="25">
        <v>0.175653594771242</v>
      </c>
      <c r="AD184" s="25">
        <v>0.728813559322034</v>
      </c>
      <c r="AE184" s="25">
        <v>-0.546734955185659</v>
      </c>
      <c r="AF184" s="25">
        <v>0.509178743961353</v>
      </c>
      <c r="AG184" s="25">
        <v>0.185567010309278</v>
      </c>
      <c r="AH184" s="25">
        <v>0.228424015009381</v>
      </c>
      <c r="AI184" s="25" t="s">
        <v>113</v>
      </c>
      <c r="AJ184" s="25" t="s">
        <v>113</v>
      </c>
      <c r="AK184" s="25" t="s">
        <v>113</v>
      </c>
      <c r="AL184" s="25" t="s">
        <v>113</v>
      </c>
      <c r="AM184" s="365" t="s">
        <v>113</v>
      </c>
      <c r="AS184" s="379" t="s">
        <v>399</v>
      </c>
      <c r="AT184" s="382">
        <v>0.2</v>
      </c>
      <c r="AU184" s="383">
        <v>45716</v>
      </c>
      <c r="AV184" s="382">
        <v>67.734337</v>
      </c>
      <c r="AW184" s="33"/>
      <c r="AX184" s="394">
        <v>0.005841</v>
      </c>
      <c r="AY184" s="394">
        <v>0.016729</v>
      </c>
      <c r="AZ184" s="394">
        <v>0.034027</v>
      </c>
      <c r="BA184" s="394">
        <v>0.069255</v>
      </c>
      <c r="BB184" s="394">
        <v>0.064842</v>
      </c>
      <c r="BC184" s="394">
        <v>0.052469</v>
      </c>
      <c r="BD184" s="394">
        <v>0.061802</v>
      </c>
      <c r="BE184" s="34"/>
      <c r="BF184" s="394">
        <v>0.016729</v>
      </c>
      <c r="BG184" s="394">
        <v>0.069425812948857</v>
      </c>
      <c r="BH184" s="394">
        <v>0.0680939427289907</v>
      </c>
      <c r="BI184" s="394">
        <v>0.0507298947568235</v>
      </c>
      <c r="BJ184" s="394">
        <v>0.0339488048597271</v>
      </c>
      <c r="BK184" s="394">
        <v>0.0366698795480524</v>
      </c>
      <c r="BL184" s="394">
        <v>0.0621366622244469</v>
      </c>
      <c r="BM184" s="394">
        <v>0.0741233750467588</v>
      </c>
      <c r="BN184" s="394">
        <v>0.0678460983535935</v>
      </c>
      <c r="BO184" s="394">
        <v>0.0777629469698376</v>
      </c>
      <c r="BP184" s="394">
        <v>0.0835073199478092</v>
      </c>
      <c r="BQ184" s="394">
        <v>0.0924987641396959</v>
      </c>
      <c r="BR184" s="394">
        <v>0.0949382706222288</v>
      </c>
      <c r="BS184" s="394">
        <v>0.0987414617934389</v>
      </c>
      <c r="BT184" s="394">
        <v>0.0918440427421434</v>
      </c>
      <c r="BU184" s="394">
        <v>0.0472099999999999</v>
      </c>
    </row>
    <row r="185" spans="2:73">
      <c r="B185" s="4" t="s">
        <v>140</v>
      </c>
      <c r="F185" s="6">
        <v>-0.028956</v>
      </c>
      <c r="G185" s="7">
        <v>0.011756</v>
      </c>
      <c r="H185" s="7">
        <v>0.047548</v>
      </c>
      <c r="I185" s="7">
        <v>-0.006799</v>
      </c>
      <c r="J185" s="7">
        <v>0.121048</v>
      </c>
      <c r="K185" s="7">
        <v>0.166288</v>
      </c>
      <c r="L185" s="19">
        <v>0.111775</v>
      </c>
      <c r="M185" s="20"/>
      <c r="N185" s="21">
        <v>0.038989</v>
      </c>
      <c r="O185" s="22">
        <v>0.0816546064479834</v>
      </c>
      <c r="P185" s="22">
        <v>0.187366557342991</v>
      </c>
      <c r="Q185" s="22">
        <v>0.0444077315444721</v>
      </c>
      <c r="R185" s="22">
        <v>0.219941308441042</v>
      </c>
      <c r="S185" s="22">
        <v>0.157503053056523</v>
      </c>
      <c r="T185" s="22">
        <v>0.143766290260736</v>
      </c>
      <c r="U185" s="22">
        <v>0.0590630425673793</v>
      </c>
      <c r="V185" s="22">
        <v>0.27905962715284</v>
      </c>
      <c r="W185" s="22">
        <v>0.0194857555497186</v>
      </c>
      <c r="X185" s="22">
        <v>-0.0502512416625513</v>
      </c>
      <c r="Y185" s="22">
        <v>0.298938909850794</v>
      </c>
      <c r="Z185" s="22">
        <v>0.0897717626916756</v>
      </c>
      <c r="AA185" s="22">
        <v>0.256991948195138</v>
      </c>
      <c r="AB185" s="22">
        <v>-0.246435604895195</v>
      </c>
      <c r="AC185" s="22">
        <v>0.174309368381334</v>
      </c>
      <c r="AD185" s="22">
        <v>0.810329511542596</v>
      </c>
      <c r="AE185" s="22">
        <v>-0.524458285827518</v>
      </c>
      <c r="AF185" s="22">
        <v>0.4714675006945</v>
      </c>
      <c r="AG185" s="22">
        <v>0.467015608756396</v>
      </c>
      <c r="AH185" s="22">
        <v>0.423348665468165</v>
      </c>
      <c r="AI185" s="22">
        <v>0.130798977900174</v>
      </c>
      <c r="AJ185" s="22">
        <v>0.728894258101194</v>
      </c>
      <c r="AK185" s="22">
        <v>0.0352355525038853</v>
      </c>
      <c r="AL185" s="22">
        <v>-0.178692990141285</v>
      </c>
      <c r="AM185" s="366">
        <v>-0.206499634425529</v>
      </c>
      <c r="AS185" s="379" t="s">
        <v>400</v>
      </c>
      <c r="AT185" s="382">
        <v>0.32</v>
      </c>
      <c r="AU185" s="383">
        <v>45716</v>
      </c>
      <c r="AV185" s="382">
        <v>33917.1831</v>
      </c>
      <c r="AW185" s="33"/>
      <c r="AX185" s="394">
        <v>0.006708</v>
      </c>
      <c r="AY185" s="394">
        <v>0.018043</v>
      </c>
      <c r="AZ185" s="394">
        <v>0.035679</v>
      </c>
      <c r="BA185" s="394">
        <v>0.072744</v>
      </c>
      <c r="BB185" s="394">
        <v>0.066662</v>
      </c>
      <c r="BC185" s="394">
        <v>0.053826</v>
      </c>
      <c r="BD185" s="394">
        <v>0.062862</v>
      </c>
      <c r="BE185" s="34"/>
      <c r="BF185" s="394">
        <v>0.018043</v>
      </c>
      <c r="BG185" s="394">
        <v>0.0732521373005733</v>
      </c>
      <c r="BH185" s="394">
        <v>0.0695854963235226</v>
      </c>
      <c r="BI185" s="394">
        <v>0.0477477338637757</v>
      </c>
      <c r="BJ185" s="394">
        <v>0.0322237507480353</v>
      </c>
      <c r="BK185" s="394">
        <v>0.0425899034618289</v>
      </c>
      <c r="BL185" s="394">
        <v>0.0670481950951663</v>
      </c>
      <c r="BM185" s="394">
        <v>0.0744223272789792</v>
      </c>
      <c r="BN185" s="394">
        <v>0.0668869424784348</v>
      </c>
      <c r="BO185" s="394">
        <v>0.0765101455427211</v>
      </c>
      <c r="BP185" s="394">
        <v>0.0834469136122344</v>
      </c>
      <c r="BQ185" s="394">
        <v>0.0910968978963478</v>
      </c>
      <c r="BR185" s="394">
        <v>0.0924475615912505</v>
      </c>
      <c r="BS185" s="394">
        <v>0.0972964142551205</v>
      </c>
      <c r="BT185" s="394">
        <v>0.0894538928296727</v>
      </c>
      <c r="BU185" s="394">
        <v>0.0525652961998443</v>
      </c>
    </row>
    <row r="186" spans="2:73">
      <c r="B186" s="8" t="s">
        <v>234</v>
      </c>
      <c r="F186" s="9">
        <v>-0.028654</v>
      </c>
      <c r="G186" s="10">
        <v>0.038723</v>
      </c>
      <c r="H186" s="10">
        <v>0.05945</v>
      </c>
      <c r="I186" s="10">
        <v>-0.032041</v>
      </c>
      <c r="J186" s="10">
        <v>0.154431</v>
      </c>
      <c r="K186" s="10">
        <v>0.201781</v>
      </c>
      <c r="L186" s="23">
        <v>0.123351</v>
      </c>
      <c r="M186" s="20"/>
      <c r="N186" s="24">
        <v>0.022527</v>
      </c>
      <c r="O186" s="25">
        <v>0.145465796535709</v>
      </c>
      <c r="P186" s="25">
        <v>0.248498523517645</v>
      </c>
      <c r="Q186" s="25">
        <v>0.0333786905211876</v>
      </c>
      <c r="R186" s="25">
        <v>0.301140430926607</v>
      </c>
      <c r="S186" s="25">
        <v>0.168033833223551</v>
      </c>
      <c r="T186" s="25">
        <v>0.077511676096721</v>
      </c>
      <c r="U186" s="25">
        <v>-0.0308170579621176</v>
      </c>
      <c r="V186" s="25">
        <v>0.359381285994397</v>
      </c>
      <c r="W186" s="25">
        <v>0.037823178380737</v>
      </c>
      <c r="X186" s="25">
        <v>-0.00815175318655217</v>
      </c>
      <c r="Y186" s="25">
        <v>0.369590487893985</v>
      </c>
      <c r="Z186" s="25">
        <v>0.0325486673604544</v>
      </c>
      <c r="AA186" s="25">
        <v>0.311989935417777</v>
      </c>
      <c r="AB186" s="25">
        <v>-0.274131836715211</v>
      </c>
      <c r="AC186" s="25">
        <v>0.163514925645804</v>
      </c>
      <c r="AD186" s="25">
        <v>0.902289503315401</v>
      </c>
      <c r="AE186" s="25">
        <v>-0.581393156534298</v>
      </c>
      <c r="AF186" s="25">
        <v>0.63020702896736</v>
      </c>
      <c r="AG186" s="25">
        <v>0.388518319476496</v>
      </c>
      <c r="AH186" s="25">
        <v>0.365625168636339</v>
      </c>
      <c r="AI186" s="25">
        <v>0.17465220845518</v>
      </c>
      <c r="AJ186" s="25">
        <v>1.0109625827505</v>
      </c>
      <c r="AK186" s="25">
        <v>0.169921059434094</v>
      </c>
      <c r="AL186" s="25">
        <v>-0.229055845967532</v>
      </c>
      <c r="AM186" s="365">
        <v>-0.27172553923101</v>
      </c>
      <c r="AS186" s="379" t="s">
        <v>401</v>
      </c>
      <c r="AT186" s="382">
        <v>0.27</v>
      </c>
      <c r="AU186" s="383">
        <v>45716</v>
      </c>
      <c r="AV186" s="382">
        <v>2425.8606</v>
      </c>
      <c r="AW186" s="33"/>
      <c r="AX186" s="394">
        <v>0.006089</v>
      </c>
      <c r="AY186" s="394">
        <v>0.016901</v>
      </c>
      <c r="AZ186" s="394">
        <v>0.033765</v>
      </c>
      <c r="BA186" s="394">
        <v>0.069028</v>
      </c>
      <c r="BB186" s="394">
        <v>0.063074</v>
      </c>
      <c r="BC186" s="394">
        <v>0.050449</v>
      </c>
      <c r="BD186" s="394" t="s">
        <v>113</v>
      </c>
      <c r="BE186" s="34"/>
      <c r="BF186" s="394">
        <v>0.016901</v>
      </c>
      <c r="BG186" s="394">
        <v>0.0694334033321213</v>
      </c>
      <c r="BH186" s="394">
        <v>0.066089786419563</v>
      </c>
      <c r="BI186" s="394">
        <v>0.0451332736489265</v>
      </c>
      <c r="BJ186" s="394">
        <v>0.031062138996729</v>
      </c>
      <c r="BK186" s="394">
        <v>0.0363671114391934</v>
      </c>
      <c r="BL186" s="394">
        <v>0.0582722121238356</v>
      </c>
      <c r="BM186" s="394">
        <v>0.0407053000000001</v>
      </c>
      <c r="BN186" s="394" t="s">
        <v>113</v>
      </c>
      <c r="BO186" s="394" t="s">
        <v>113</v>
      </c>
      <c r="BP186" s="394" t="s">
        <v>113</v>
      </c>
      <c r="BQ186" s="394" t="s">
        <v>113</v>
      </c>
      <c r="BR186" s="394" t="s">
        <v>113</v>
      </c>
      <c r="BS186" s="394" t="s">
        <v>113</v>
      </c>
      <c r="BT186" s="394" t="s">
        <v>113</v>
      </c>
      <c r="BU186" s="394" t="s">
        <v>113</v>
      </c>
    </row>
    <row r="187" ht="14.55" spans="2:73">
      <c r="B187" s="11" t="s">
        <v>142</v>
      </c>
      <c r="F187" s="408">
        <v>-0.029341</v>
      </c>
      <c r="G187" s="409">
        <v>0.017841</v>
      </c>
      <c r="H187" s="409">
        <v>0.053596</v>
      </c>
      <c r="I187" s="409">
        <v>-0.007326</v>
      </c>
      <c r="J187" s="409">
        <v>0.129786</v>
      </c>
      <c r="K187" s="409">
        <v>0.174585</v>
      </c>
      <c r="L187" s="410">
        <v>0.112352</v>
      </c>
      <c r="M187" s="20"/>
      <c r="N187" s="24">
        <v>0.047518</v>
      </c>
      <c r="O187" s="25">
        <v>0.0880476902077809</v>
      </c>
      <c r="P187" s="25">
        <v>0.200278393101744</v>
      </c>
      <c r="Q187" s="25">
        <v>0.0432896067488569</v>
      </c>
      <c r="R187" s="25">
        <v>0.241192983710909</v>
      </c>
      <c r="S187" s="25">
        <v>0.149016514017808</v>
      </c>
      <c r="T187" s="25">
        <v>0.120220390239861</v>
      </c>
      <c r="U187" s="25">
        <v>0.0315126249916908</v>
      </c>
      <c r="V187" s="25">
        <v>0.286459478609299</v>
      </c>
      <c r="W187" s="25">
        <v>0.0301333316554141</v>
      </c>
      <c r="X187" s="25">
        <v>-0.0406087386963189</v>
      </c>
      <c r="Y187" s="25">
        <v>0.313880076142132</v>
      </c>
      <c r="Z187" s="25">
        <v>0.0675517772772687</v>
      </c>
      <c r="AA187" s="25">
        <v>0.276971649763207</v>
      </c>
      <c r="AB187" s="25">
        <v>-0.246181432879615</v>
      </c>
      <c r="AC187" s="25">
        <v>0.179473375568395</v>
      </c>
      <c r="AD187" s="25">
        <v>0.757616207356842</v>
      </c>
      <c r="AE187" s="25">
        <v>-0.517943830840908</v>
      </c>
      <c r="AF187" s="25">
        <v>0.547650262202501</v>
      </c>
      <c r="AG187" s="25">
        <v>0.398318379721845</v>
      </c>
      <c r="AH187" s="25">
        <v>0.363398221581351</v>
      </c>
      <c r="AI187" s="25">
        <v>0.106796116504854</v>
      </c>
      <c r="AJ187" s="25">
        <v>0.719021490626429</v>
      </c>
      <c r="AK187" s="25">
        <v>0.0325291534866154</v>
      </c>
      <c r="AL187" s="25">
        <v>-0.161845593763603</v>
      </c>
      <c r="AM187" s="365">
        <v>-0.146509507244419</v>
      </c>
      <c r="AS187" s="379" t="s">
        <v>402</v>
      </c>
      <c r="AT187" s="382">
        <v>0.22</v>
      </c>
      <c r="AU187" s="383">
        <v>45716</v>
      </c>
      <c r="AV187" s="382">
        <v>390.6166</v>
      </c>
      <c r="AW187" s="33"/>
      <c r="AX187" s="394">
        <v>0.006783</v>
      </c>
      <c r="AY187" s="394">
        <v>0.018161</v>
      </c>
      <c r="AZ187" s="394">
        <v>0.035989</v>
      </c>
      <c r="BA187" s="394">
        <v>0.073214</v>
      </c>
      <c r="BB187" s="394">
        <v>0.066934</v>
      </c>
      <c r="BC187" s="394">
        <v>0.054021</v>
      </c>
      <c r="BD187" s="394">
        <v>0.063036</v>
      </c>
      <c r="BE187" s="34"/>
      <c r="BF187" s="394">
        <v>0.018161</v>
      </c>
      <c r="BG187" s="394">
        <v>0.0730980154838855</v>
      </c>
      <c r="BH187" s="394">
        <v>0.0701454150632312</v>
      </c>
      <c r="BI187" s="394">
        <v>0.0480469772143066</v>
      </c>
      <c r="BJ187" s="394">
        <v>0.0326463511276585</v>
      </c>
      <c r="BK187" s="394">
        <v>0.041826381326455</v>
      </c>
      <c r="BL187" s="394">
        <v>0.0672926605624266</v>
      </c>
      <c r="BM187" s="394">
        <v>0.0744332662824466</v>
      </c>
      <c r="BN187" s="394">
        <v>0.0671439758254282</v>
      </c>
      <c r="BO187" s="394">
        <v>0.0767640621290261</v>
      </c>
      <c r="BP187" s="394">
        <v>0.083856679754785</v>
      </c>
      <c r="BQ187" s="394">
        <v>0.0905128000442123</v>
      </c>
      <c r="BR187" s="394">
        <v>0.0910273683053973</v>
      </c>
      <c r="BS187" s="394">
        <v>0.0971043552273165</v>
      </c>
      <c r="BT187" s="394">
        <v>0.0899292620987448</v>
      </c>
      <c r="BU187" s="394">
        <v>0.0556373046478587</v>
      </c>
    </row>
    <row r="188" ht="14.55" spans="2:73">
      <c r="B188" s="12" t="s">
        <v>146</v>
      </c>
      <c r="F188" s="26">
        <f>AVERAGE(F168:F184)</f>
        <v>-0.0227758823529412</v>
      </c>
      <c r="G188" s="27">
        <f t="shared" ref="G188:L188" si="25">AVERAGE(G168:G184)</f>
        <v>0.0469335882352941</v>
      </c>
      <c r="H188" s="27">
        <f t="shared" si="25"/>
        <v>0.0671918235294118</v>
      </c>
      <c r="I188" s="27">
        <f t="shared" si="25"/>
        <v>-0.0101561176470588</v>
      </c>
      <c r="J188" s="27">
        <f t="shared" si="25"/>
        <v>0.184059</v>
      </c>
      <c r="K188" s="27">
        <f t="shared" si="25"/>
        <v>0.225957823529412</v>
      </c>
      <c r="L188" s="367">
        <f t="shared" si="25"/>
        <v>0.1338668</v>
      </c>
      <c r="M188" s="20"/>
      <c r="N188" s="13">
        <f t="shared" ref="N188:AM188" si="26">AVERAGE(N168:N184)</f>
        <v>0.0185318823529412</v>
      </c>
      <c r="O188" s="14">
        <f t="shared" si="26"/>
        <v>0.202907058635469</v>
      </c>
      <c r="P188" s="14">
        <f t="shared" si="26"/>
        <v>0.282059902330165</v>
      </c>
      <c r="Q188" s="14">
        <f t="shared" si="26"/>
        <v>0.0348293583252579</v>
      </c>
      <c r="R188" s="14">
        <f t="shared" si="26"/>
        <v>0.34931918487419</v>
      </c>
      <c r="S188" s="14">
        <f t="shared" si="26"/>
        <v>0.172905872929315</v>
      </c>
      <c r="T188" s="14">
        <f t="shared" si="26"/>
        <v>0.083801098584668</v>
      </c>
      <c r="U188" s="14">
        <f t="shared" si="26"/>
        <v>-0.0559221344929986</v>
      </c>
      <c r="V188" s="14">
        <f t="shared" si="26"/>
        <v>0.38265851469727</v>
      </c>
      <c r="W188" s="14">
        <f t="shared" si="26"/>
        <v>0.0488436561650355</v>
      </c>
      <c r="X188" s="14">
        <f t="shared" si="26"/>
        <v>0.0409534933683085</v>
      </c>
      <c r="Y188" s="14">
        <f t="shared" si="26"/>
        <v>0.495104656459473</v>
      </c>
      <c r="Z188" s="14">
        <f t="shared" si="26"/>
        <v>0.0566942969957009</v>
      </c>
      <c r="AA188" s="14">
        <f t="shared" si="26"/>
        <v>0.31914827246679</v>
      </c>
      <c r="AB188" s="14">
        <f t="shared" si="26"/>
        <v>-0.226026783728395</v>
      </c>
      <c r="AC188" s="14">
        <f t="shared" si="26"/>
        <v>0.210984675338327</v>
      </c>
      <c r="AD188" s="14">
        <f t="shared" si="26"/>
        <v>0.777729944038616</v>
      </c>
      <c r="AE188" s="14">
        <f t="shared" si="26"/>
        <v>-0.447599780834178</v>
      </c>
      <c r="AF188" s="14">
        <f t="shared" si="26"/>
        <v>0.590682615952386</v>
      </c>
      <c r="AG188" s="14">
        <f t="shared" si="26"/>
        <v>0.277450411137603</v>
      </c>
      <c r="AH188" s="14">
        <f t="shared" si="26"/>
        <v>0.44918172516934</v>
      </c>
      <c r="AI188" s="14">
        <f t="shared" si="26"/>
        <v>0.37679629423493</v>
      </c>
      <c r="AJ188" s="14">
        <f t="shared" si="26"/>
        <v>1.12163862085441</v>
      </c>
      <c r="AK188" s="14">
        <f t="shared" si="26"/>
        <v>0.168119002905692</v>
      </c>
      <c r="AL188" s="14">
        <f t="shared" si="26"/>
        <v>-0.212537410820248</v>
      </c>
      <c r="AM188" s="28">
        <f t="shared" si="26"/>
        <v>-0.193668350808132</v>
      </c>
      <c r="AS188" s="379" t="s">
        <v>403</v>
      </c>
      <c r="AT188" s="382">
        <v>0.54</v>
      </c>
      <c r="AU188" s="383">
        <v>45716</v>
      </c>
      <c r="AV188" s="382">
        <v>1602.8832</v>
      </c>
      <c r="AW188" s="33"/>
      <c r="AX188" s="394">
        <v>0.006183</v>
      </c>
      <c r="AY188" s="394">
        <v>0.017644</v>
      </c>
      <c r="AZ188" s="394">
        <v>0.035244</v>
      </c>
      <c r="BA188" s="394">
        <v>0.070624</v>
      </c>
      <c r="BB188" s="394">
        <v>0.064416</v>
      </c>
      <c r="BC188" s="394">
        <v>0.055347</v>
      </c>
      <c r="BD188" s="394">
        <v>0.064598</v>
      </c>
      <c r="BE188" s="34"/>
      <c r="BF188" s="394">
        <v>0.017644</v>
      </c>
      <c r="BG188" s="394">
        <v>0.0705776410333378</v>
      </c>
      <c r="BH188" s="394">
        <v>0.0671332311353134</v>
      </c>
      <c r="BI188" s="394">
        <v>0.0474053615239212</v>
      </c>
      <c r="BJ188" s="394">
        <v>0.0394159993025371</v>
      </c>
      <c r="BK188" s="394">
        <v>0.0495212574752459</v>
      </c>
      <c r="BL188" s="394">
        <v>0.0709948376935864</v>
      </c>
      <c r="BM188" s="394">
        <v>0.071656289850724</v>
      </c>
      <c r="BN188" s="394">
        <v>0.0663818928658562</v>
      </c>
      <c r="BO188" s="394">
        <v>0.0804563427756532</v>
      </c>
      <c r="BP188" s="394">
        <v>0.0883398707565539</v>
      </c>
      <c r="BQ188" s="394">
        <v>0.0955548570928035</v>
      </c>
      <c r="BR188" s="394">
        <v>0.0966165286080754</v>
      </c>
      <c r="BS188" s="394">
        <v>0.105097191954891</v>
      </c>
      <c r="BT188" s="394">
        <v>0.102287901105406</v>
      </c>
      <c r="BU188" s="394">
        <v>0.0619157256148815</v>
      </c>
    </row>
    <row r="189" ht="14.55" spans="15:73">
      <c r="O189" s="5"/>
      <c r="AS189" s="379" t="s">
        <v>404</v>
      </c>
      <c r="AT189" s="382" t="s">
        <v>113</v>
      </c>
      <c r="AU189" s="383">
        <v>45716</v>
      </c>
      <c r="AV189" s="382">
        <v>507.2579</v>
      </c>
      <c r="AW189" s="33"/>
      <c r="AX189" s="394">
        <v>0.006041</v>
      </c>
      <c r="AY189" s="394">
        <v>0.016969</v>
      </c>
      <c r="AZ189" s="394">
        <v>0.034171</v>
      </c>
      <c r="BA189" s="394">
        <v>0.070402</v>
      </c>
      <c r="BB189" s="394" t="s">
        <v>113</v>
      </c>
      <c r="BC189" s="394" t="s">
        <v>113</v>
      </c>
      <c r="BD189" s="394" t="s">
        <v>113</v>
      </c>
      <c r="BE189" s="34"/>
      <c r="BF189" s="394">
        <v>0.016969</v>
      </c>
      <c r="BG189" s="394">
        <v>0.0712002876375766</v>
      </c>
      <c r="BH189" s="394">
        <v>0.00126000000000008</v>
      </c>
      <c r="BI189" s="394" t="s">
        <v>113</v>
      </c>
      <c r="BJ189" s="394" t="s">
        <v>113</v>
      </c>
      <c r="BK189" s="394" t="s">
        <v>113</v>
      </c>
      <c r="BL189" s="394" t="s">
        <v>113</v>
      </c>
      <c r="BM189" s="394" t="s">
        <v>113</v>
      </c>
      <c r="BN189" s="394" t="s">
        <v>113</v>
      </c>
      <c r="BO189" s="394" t="s">
        <v>113</v>
      </c>
      <c r="BP189" s="394" t="s">
        <v>113</v>
      </c>
      <c r="BQ189" s="394" t="s">
        <v>113</v>
      </c>
      <c r="BR189" s="394" t="s">
        <v>113</v>
      </c>
      <c r="BS189" s="394" t="s">
        <v>113</v>
      </c>
      <c r="BT189" s="394" t="s">
        <v>113</v>
      </c>
      <c r="BU189" s="394" t="s">
        <v>113</v>
      </c>
    </row>
    <row r="190" ht="14.55" spans="2:73">
      <c r="B190" s="350" t="s">
        <v>405</v>
      </c>
      <c r="C190" s="369" t="s">
        <v>16</v>
      </c>
      <c r="D190" s="370" t="s">
        <v>99</v>
      </c>
      <c r="E190" s="371"/>
      <c r="F190" s="360" t="s">
        <v>102</v>
      </c>
      <c r="G190" s="361"/>
      <c r="H190" s="361"/>
      <c r="I190" s="361"/>
      <c r="J190" s="361"/>
      <c r="K190" s="361"/>
      <c r="L190" s="364"/>
      <c r="N190" s="398" t="s">
        <v>103</v>
      </c>
      <c r="O190" s="399"/>
      <c r="P190" s="399"/>
      <c r="Q190" s="399"/>
      <c r="R190" s="399"/>
      <c r="S190" s="399"/>
      <c r="T190" s="399"/>
      <c r="U190" s="399"/>
      <c r="V190" s="399"/>
      <c r="W190" s="399"/>
      <c r="X190" s="399"/>
      <c r="Y190" s="399"/>
      <c r="Z190" s="399"/>
      <c r="AA190" s="399"/>
      <c r="AB190" s="399"/>
      <c r="AC190" s="401"/>
      <c r="AS190" s="379" t="s">
        <v>406</v>
      </c>
      <c r="AT190" s="382" t="s">
        <v>113</v>
      </c>
      <c r="AU190" s="383">
        <v>45716</v>
      </c>
      <c r="AV190" s="382">
        <v>507.2579</v>
      </c>
      <c r="AW190" s="33"/>
      <c r="AX190" s="394">
        <v>0.006033</v>
      </c>
      <c r="AY190" s="394">
        <v>0.016958</v>
      </c>
      <c r="AZ190" s="394">
        <v>0.034155</v>
      </c>
      <c r="BA190" s="394">
        <v>0.04885</v>
      </c>
      <c r="BB190" s="394" t="s">
        <v>113</v>
      </c>
      <c r="BC190" s="394" t="s">
        <v>113</v>
      </c>
      <c r="BD190" s="394" t="s">
        <v>113</v>
      </c>
      <c r="BE190" s="34"/>
      <c r="BF190" s="394">
        <v>0.016958</v>
      </c>
      <c r="BG190" s="394">
        <v>0.0313599999999999</v>
      </c>
      <c r="BH190" s="394">
        <v>0</v>
      </c>
      <c r="BI190" s="394" t="s">
        <v>113</v>
      </c>
      <c r="BJ190" s="394" t="s">
        <v>113</v>
      </c>
      <c r="BK190" s="394" t="s">
        <v>113</v>
      </c>
      <c r="BL190" s="394" t="s">
        <v>113</v>
      </c>
      <c r="BM190" s="394" t="s">
        <v>113</v>
      </c>
      <c r="BN190" s="394" t="s">
        <v>113</v>
      </c>
      <c r="BO190" s="394" t="s">
        <v>113</v>
      </c>
      <c r="BP190" s="394" t="s">
        <v>113</v>
      </c>
      <c r="BQ190" s="394" t="s">
        <v>113</v>
      </c>
      <c r="BR190" s="394" t="s">
        <v>113</v>
      </c>
      <c r="BS190" s="394" t="s">
        <v>113</v>
      </c>
      <c r="BT190" s="394" t="s">
        <v>113</v>
      </c>
      <c r="BU190" s="394" t="s">
        <v>113</v>
      </c>
    </row>
    <row r="191" ht="14.55" spans="2:73">
      <c r="B191" s="352"/>
      <c r="C191" s="373" t="s">
        <v>110</v>
      </c>
      <c r="D191" s="374" t="s">
        <v>104</v>
      </c>
      <c r="E191" s="375" t="s">
        <v>105</v>
      </c>
      <c r="F191" s="16" t="s">
        <v>89</v>
      </c>
      <c r="G191" s="18" t="s">
        <v>90</v>
      </c>
      <c r="H191" s="18" t="s">
        <v>91</v>
      </c>
      <c r="I191" s="18" t="s">
        <v>20</v>
      </c>
      <c r="J191" s="18" t="s">
        <v>92</v>
      </c>
      <c r="K191" s="18" t="s">
        <v>93</v>
      </c>
      <c r="L191" s="273" t="s">
        <v>111</v>
      </c>
      <c r="N191" s="16" t="s">
        <v>407</v>
      </c>
      <c r="O191" s="17">
        <v>2024</v>
      </c>
      <c r="P191" s="17">
        <v>2023</v>
      </c>
      <c r="Q191" s="18">
        <v>2022</v>
      </c>
      <c r="R191" s="18">
        <v>2021</v>
      </c>
      <c r="S191" s="18">
        <v>2020</v>
      </c>
      <c r="T191" s="18">
        <v>2019</v>
      </c>
      <c r="U191" s="18">
        <v>2018</v>
      </c>
      <c r="V191" s="18">
        <v>2017</v>
      </c>
      <c r="W191" s="18">
        <v>2016</v>
      </c>
      <c r="X191" s="18">
        <v>2015</v>
      </c>
      <c r="Y191" s="18">
        <v>2014</v>
      </c>
      <c r="Z191" s="18">
        <v>2013</v>
      </c>
      <c r="AA191" s="18"/>
      <c r="AB191" s="18"/>
      <c r="AC191" s="273"/>
      <c r="AS191" s="379" t="s">
        <v>408</v>
      </c>
      <c r="AT191" s="382">
        <v>0.26</v>
      </c>
      <c r="AU191" s="383">
        <v>45716</v>
      </c>
      <c r="AV191" s="382">
        <v>507.2579</v>
      </c>
      <c r="AW191" s="33"/>
      <c r="AX191" s="394">
        <v>0.005955</v>
      </c>
      <c r="AY191" s="394">
        <v>0.016718</v>
      </c>
      <c r="AZ191" s="394">
        <v>0.03366</v>
      </c>
      <c r="BA191" s="394">
        <v>0.069346</v>
      </c>
      <c r="BB191" s="394">
        <v>0.063999</v>
      </c>
      <c r="BC191" s="394">
        <v>0.05089</v>
      </c>
      <c r="BD191" s="394">
        <v>0.057642</v>
      </c>
      <c r="BE191" s="34"/>
      <c r="BF191" s="394">
        <v>0.016718</v>
      </c>
      <c r="BG191" s="394">
        <v>0.0701346679086216</v>
      </c>
      <c r="BH191" s="394">
        <v>0.0676697052239813</v>
      </c>
      <c r="BI191" s="394">
        <v>0.0458709126936556</v>
      </c>
      <c r="BJ191" s="394">
        <v>0.0309515933800304</v>
      </c>
      <c r="BK191" s="394">
        <v>0.0358100272594467</v>
      </c>
      <c r="BL191" s="394">
        <v>0.0603565981842717</v>
      </c>
      <c r="BM191" s="394">
        <v>0.0652111046847889</v>
      </c>
      <c r="BN191" s="394">
        <v>0.0599520383693045</v>
      </c>
      <c r="BO191" s="394">
        <v>0.0679388247300596</v>
      </c>
      <c r="BP191" s="394">
        <v>0.0783490277100053</v>
      </c>
      <c r="BQ191" s="394">
        <v>0.087674326689628</v>
      </c>
      <c r="BR191" s="394">
        <v>0.0870846171787725</v>
      </c>
      <c r="BS191" s="394">
        <v>0.0914584310310177</v>
      </c>
      <c r="BT191" s="394">
        <v>0.08663526705443</v>
      </c>
      <c r="BU191" s="394">
        <v>0.0556046506266667</v>
      </c>
    </row>
    <row r="192" ht="15" customHeight="1" spans="2:73">
      <c r="B192" s="379" t="s">
        <v>409</v>
      </c>
      <c r="C192" s="382">
        <v>1.78</v>
      </c>
      <c r="D192" s="383">
        <v>45838</v>
      </c>
      <c r="E192" s="382">
        <v>8034.1308</v>
      </c>
      <c r="F192" s="394">
        <v>-0.013486</v>
      </c>
      <c r="G192" s="394">
        <v>0.028009</v>
      </c>
      <c r="H192" s="394">
        <v>0.071739</v>
      </c>
      <c r="I192" s="394">
        <v>0.049678</v>
      </c>
      <c r="J192" s="394">
        <v>0.133697</v>
      </c>
      <c r="K192" s="394">
        <v>0.141703</v>
      </c>
      <c r="L192" s="394">
        <v>0.106853</v>
      </c>
      <c r="M192" s="34"/>
      <c r="N192" s="394">
        <v>0.061655</v>
      </c>
      <c r="O192" s="394">
        <v>0.129947975571138</v>
      </c>
      <c r="P192" s="394">
        <v>0.16541452484513</v>
      </c>
      <c r="Q192" s="394">
        <v>0.0418840977753366</v>
      </c>
      <c r="R192" s="394">
        <v>0.13409126304314</v>
      </c>
      <c r="S192" s="394">
        <v>0.153611210923464</v>
      </c>
      <c r="T192" s="394">
        <v>0.0811965811965812</v>
      </c>
      <c r="U192" s="394">
        <v>0.00743639921722105</v>
      </c>
      <c r="V192" s="394">
        <v>0.152198421645998</v>
      </c>
      <c r="W192" s="394">
        <v>0.163126147390506</v>
      </c>
      <c r="X192" s="394">
        <v>0.0361413043478262</v>
      </c>
      <c r="Y192" s="394">
        <v>0.277334258937869</v>
      </c>
      <c r="Z192" s="394">
        <v>0.0591911764705882</v>
      </c>
      <c r="AA192" s="394"/>
      <c r="AB192" s="394"/>
      <c r="AC192" s="394"/>
      <c r="AS192" s="379" t="s">
        <v>410</v>
      </c>
      <c r="AT192" s="382">
        <v>0.31</v>
      </c>
      <c r="AU192" s="383">
        <v>45716</v>
      </c>
      <c r="AV192" s="382">
        <v>66778.1347</v>
      </c>
      <c r="AW192" s="33"/>
      <c r="AX192" s="394">
        <v>0.006615</v>
      </c>
      <c r="AY192" s="394">
        <v>0.017898</v>
      </c>
      <c r="AZ192" s="394">
        <v>0.035286</v>
      </c>
      <c r="BA192" s="394">
        <v>0.072095</v>
      </c>
      <c r="BB192" s="394">
        <v>0.0664</v>
      </c>
      <c r="BC192" s="394">
        <v>0.053531</v>
      </c>
      <c r="BD192" s="394">
        <v>0.062178</v>
      </c>
      <c r="BE192" s="34"/>
      <c r="BF192" s="394">
        <v>0.017898</v>
      </c>
      <c r="BG192" s="394">
        <v>0.0726330138050206</v>
      </c>
      <c r="BH192" s="394">
        <v>0.0694606930818188</v>
      </c>
      <c r="BI192" s="394">
        <v>0.0476485821678034</v>
      </c>
      <c r="BJ192" s="394">
        <v>0.0327174631622083</v>
      </c>
      <c r="BK192" s="394">
        <v>0.0418200125247359</v>
      </c>
      <c r="BL192" s="394">
        <v>0.0651097539638399</v>
      </c>
      <c r="BM192" s="394">
        <v>0.0731020480027572</v>
      </c>
      <c r="BN192" s="394">
        <v>0.0655253610866559</v>
      </c>
      <c r="BO192" s="394">
        <v>0.0759414778683256</v>
      </c>
      <c r="BP192" s="394">
        <v>0.0828419235219037</v>
      </c>
      <c r="BQ192" s="394">
        <v>0.0904316290364753</v>
      </c>
      <c r="BR192" s="394">
        <v>0.0922148071127818</v>
      </c>
      <c r="BS192" s="394">
        <v>0.0962880181673557</v>
      </c>
      <c r="BT192" s="394">
        <v>0.0896658043258193</v>
      </c>
      <c r="BU192" s="394">
        <v>0.0547770256123945</v>
      </c>
    </row>
    <row r="193" spans="2:73">
      <c r="B193" s="379" t="s">
        <v>411</v>
      </c>
      <c r="C193" s="382">
        <v>1.93</v>
      </c>
      <c r="D193" s="383">
        <v>45838</v>
      </c>
      <c r="E193" s="382">
        <v>3342.162002</v>
      </c>
      <c r="F193" s="394">
        <v>-0.01279</v>
      </c>
      <c r="G193" s="394">
        <v>0.012634</v>
      </c>
      <c r="H193" s="394">
        <v>0.040959</v>
      </c>
      <c r="I193" s="394">
        <v>0.037849</v>
      </c>
      <c r="J193" s="394">
        <v>0.139226</v>
      </c>
      <c r="K193" s="394">
        <v>0.132156</v>
      </c>
      <c r="L193" s="394" t="s">
        <v>113</v>
      </c>
      <c r="M193" s="34"/>
      <c r="N193" s="394">
        <v>0.028628</v>
      </c>
      <c r="O193" s="394">
        <v>0.175174013921114</v>
      </c>
      <c r="P193" s="394">
        <v>0.199721642310369</v>
      </c>
      <c r="Q193" s="394">
        <v>-0.00415800415800419</v>
      </c>
      <c r="R193" s="394">
        <v>0.157177225340818</v>
      </c>
      <c r="S193" s="394">
        <v>0.100617828773169</v>
      </c>
      <c r="T193" s="394">
        <v>0.0588785046728973</v>
      </c>
      <c r="U193" s="394">
        <v>0.0268714011516314</v>
      </c>
      <c r="V193" s="394">
        <v>0.042</v>
      </c>
      <c r="W193" s="394" t="s">
        <v>113</v>
      </c>
      <c r="X193" s="394" t="s">
        <v>113</v>
      </c>
      <c r="Y193" s="394" t="s">
        <v>113</v>
      </c>
      <c r="Z193" s="394" t="s">
        <v>113</v>
      </c>
      <c r="AA193" s="394"/>
      <c r="AB193" s="394"/>
      <c r="AC193" s="394"/>
      <c r="AS193" s="379" t="s">
        <v>412</v>
      </c>
      <c r="AT193" s="382">
        <v>0.26</v>
      </c>
      <c r="AU193" s="383">
        <v>45716</v>
      </c>
      <c r="AV193" s="382">
        <v>112.7315</v>
      </c>
      <c r="AW193" s="33"/>
      <c r="AX193" s="394">
        <v>0.005837</v>
      </c>
      <c r="AY193" s="394">
        <v>0.016823</v>
      </c>
      <c r="AZ193" s="394" t="s">
        <v>113</v>
      </c>
      <c r="BA193" s="394" t="s">
        <v>113</v>
      </c>
      <c r="BB193" s="394" t="s">
        <v>113</v>
      </c>
      <c r="BC193" s="394" t="s">
        <v>113</v>
      </c>
      <c r="BD193" s="394" t="s">
        <v>113</v>
      </c>
      <c r="BE193" s="34"/>
      <c r="BF193" s="394">
        <v>0.016823</v>
      </c>
      <c r="BG193" s="394">
        <v>0.00962400000000002</v>
      </c>
      <c r="BH193" s="394" t="s">
        <v>113</v>
      </c>
      <c r="BI193" s="394" t="s">
        <v>113</v>
      </c>
      <c r="BJ193" s="394" t="s">
        <v>113</v>
      </c>
      <c r="BK193" s="394" t="s">
        <v>113</v>
      </c>
      <c r="BL193" s="394" t="s">
        <v>113</v>
      </c>
      <c r="BM193" s="394" t="s">
        <v>113</v>
      </c>
      <c r="BN193" s="394" t="s">
        <v>113</v>
      </c>
      <c r="BO193" s="394" t="s">
        <v>113</v>
      </c>
      <c r="BP193" s="394" t="s">
        <v>113</v>
      </c>
      <c r="BQ193" s="394" t="s">
        <v>113</v>
      </c>
      <c r="BR193" s="394" t="s">
        <v>113</v>
      </c>
      <c r="BS193" s="394" t="s">
        <v>113</v>
      </c>
      <c r="BT193" s="394" t="s">
        <v>113</v>
      </c>
      <c r="BU193" s="394" t="s">
        <v>113</v>
      </c>
    </row>
    <row r="194" spans="2:73">
      <c r="B194" s="379" t="s">
        <v>413</v>
      </c>
      <c r="C194" s="382">
        <v>2.05</v>
      </c>
      <c r="D194" s="383">
        <v>45838</v>
      </c>
      <c r="E194" s="382">
        <v>1338.002701</v>
      </c>
      <c r="F194" s="394">
        <v>-0.027266</v>
      </c>
      <c r="G194" s="394">
        <v>0.019782</v>
      </c>
      <c r="H194" s="394">
        <v>0.047149</v>
      </c>
      <c r="I194" s="394">
        <v>-0.002485</v>
      </c>
      <c r="J194" s="394" t="s">
        <v>113</v>
      </c>
      <c r="K194" s="394" t="s">
        <v>113</v>
      </c>
      <c r="L194" s="394" t="s">
        <v>113</v>
      </c>
      <c r="M194" s="34"/>
      <c r="N194" s="394">
        <v>0.03662</v>
      </c>
      <c r="O194" s="394">
        <v>0.0711392154925402</v>
      </c>
      <c r="P194" s="394">
        <v>0.0121</v>
      </c>
      <c r="Q194" s="394" t="s">
        <v>113</v>
      </c>
      <c r="R194" s="394" t="s">
        <v>113</v>
      </c>
      <c r="S194" s="394" t="s">
        <v>113</v>
      </c>
      <c r="T194" s="394" t="s">
        <v>113</v>
      </c>
      <c r="U194" s="394" t="s">
        <v>113</v>
      </c>
      <c r="V194" s="394" t="s">
        <v>113</v>
      </c>
      <c r="W194" s="394" t="s">
        <v>113</v>
      </c>
      <c r="X194" s="394" t="s">
        <v>113</v>
      </c>
      <c r="Y194" s="394" t="s">
        <v>113</v>
      </c>
      <c r="Z194" s="394" t="s">
        <v>113</v>
      </c>
      <c r="AA194" s="394"/>
      <c r="AB194" s="394"/>
      <c r="AC194" s="394"/>
      <c r="AS194" s="379" t="s">
        <v>414</v>
      </c>
      <c r="AT194" s="382">
        <v>0.4</v>
      </c>
      <c r="AU194" s="383">
        <v>45716</v>
      </c>
      <c r="AV194" s="382">
        <v>6619.273599</v>
      </c>
      <c r="AW194" s="33"/>
      <c r="AX194" s="394">
        <v>0.006857</v>
      </c>
      <c r="AY194" s="394">
        <v>0.018053</v>
      </c>
      <c r="AZ194" s="394">
        <v>0.035653</v>
      </c>
      <c r="BA194" s="394">
        <v>0.072786</v>
      </c>
      <c r="BB194" s="394">
        <v>0.066839</v>
      </c>
      <c r="BC194" s="394">
        <v>0.053123</v>
      </c>
      <c r="BD194" s="394">
        <v>0.05247</v>
      </c>
      <c r="BE194" s="34"/>
      <c r="BF194" s="394">
        <v>0.018053</v>
      </c>
      <c r="BG194" s="394">
        <v>0.0730367680895244</v>
      </c>
      <c r="BH194" s="394">
        <v>0.0697329251391587</v>
      </c>
      <c r="BI194" s="394">
        <v>0.0483336317137763</v>
      </c>
      <c r="BJ194" s="394">
        <v>0.0317886235314688</v>
      </c>
      <c r="BK194" s="394">
        <v>0.0376817037747392</v>
      </c>
      <c r="BL194" s="394">
        <v>0.0616877537004792</v>
      </c>
      <c r="BM194" s="394">
        <v>-0.0180547447184436</v>
      </c>
      <c r="BN194" s="394">
        <v>0.0675460335609772</v>
      </c>
      <c r="BO194" s="394">
        <v>0.0768087218845075</v>
      </c>
      <c r="BP194" s="394">
        <v>0.0842514160407409</v>
      </c>
      <c r="BQ194" s="394">
        <v>0.0907451891035725</v>
      </c>
      <c r="BR194" s="394">
        <v>0.0917445801158687</v>
      </c>
      <c r="BS194" s="394">
        <v>0.0968005325948869</v>
      </c>
      <c r="BT194" s="394">
        <v>0.0894171738112754</v>
      </c>
      <c r="BU194" s="394">
        <v>0.0536885794617754</v>
      </c>
    </row>
    <row r="195" spans="2:73">
      <c r="B195" s="379" t="s">
        <v>415</v>
      </c>
      <c r="C195" s="382">
        <v>2.02</v>
      </c>
      <c r="D195" s="383">
        <v>45838</v>
      </c>
      <c r="E195" s="382">
        <v>2301.628</v>
      </c>
      <c r="F195" s="394">
        <v>-0.004198</v>
      </c>
      <c r="G195" s="394">
        <v>0.02883</v>
      </c>
      <c r="H195" s="394">
        <v>0.051545</v>
      </c>
      <c r="I195" s="394">
        <v>0.038011</v>
      </c>
      <c r="J195" s="394">
        <v>0.110125</v>
      </c>
      <c r="K195" s="394">
        <v>0.107917</v>
      </c>
      <c r="L195" s="394">
        <v>0.083666</v>
      </c>
      <c r="M195" s="34"/>
      <c r="N195" s="394">
        <v>0.019166</v>
      </c>
      <c r="O195" s="394">
        <v>0.145808195376225</v>
      </c>
      <c r="P195" s="394">
        <v>0.148949148782787</v>
      </c>
      <c r="Q195" s="394">
        <v>-0.0183451279259662</v>
      </c>
      <c r="R195" s="394">
        <v>0.155345911949686</v>
      </c>
      <c r="S195" s="394">
        <v>0.129261363636364</v>
      </c>
      <c r="T195" s="394">
        <v>0.0864197530864197</v>
      </c>
      <c r="U195" s="394">
        <v>0.0127690167700796</v>
      </c>
      <c r="V195" s="394">
        <v>0.172558506056774</v>
      </c>
      <c r="W195" s="394">
        <v>0.0338966993823183</v>
      </c>
      <c r="X195" s="394">
        <v>0.0154301985531783</v>
      </c>
      <c r="Y195" s="394">
        <v>0.0395200000000001</v>
      </c>
      <c r="Z195" s="394" t="s">
        <v>113</v>
      </c>
      <c r="AA195" s="394"/>
      <c r="AB195" s="394"/>
      <c r="AC195" s="394"/>
      <c r="AS195" s="379" t="s">
        <v>416</v>
      </c>
      <c r="AT195" s="382">
        <v>0.32</v>
      </c>
      <c r="AU195" s="383">
        <v>45716</v>
      </c>
      <c r="AV195" s="382">
        <v>25965.1627497856</v>
      </c>
      <c r="AW195" s="33"/>
      <c r="AX195" s="394">
        <v>0.006758</v>
      </c>
      <c r="AY195" s="394">
        <v>0.018092</v>
      </c>
      <c r="AZ195" s="394">
        <v>0.03587</v>
      </c>
      <c r="BA195" s="394">
        <v>0.072916</v>
      </c>
      <c r="BB195" s="394">
        <v>0.066622</v>
      </c>
      <c r="BC195" s="394">
        <v>0.053725</v>
      </c>
      <c r="BD195" s="394">
        <v>0.06275</v>
      </c>
      <c r="BE195" s="34"/>
      <c r="BF195" s="394">
        <v>0.018092</v>
      </c>
      <c r="BG195" s="394">
        <v>0.073164222643892</v>
      </c>
      <c r="BH195" s="394">
        <v>0.0696557428989366</v>
      </c>
      <c r="BI195" s="394">
        <v>0.0476402440362377</v>
      </c>
      <c r="BJ195" s="394">
        <v>0.0322596941684416</v>
      </c>
      <c r="BK195" s="394">
        <v>0.0430400233898188</v>
      </c>
      <c r="BL195" s="394">
        <v>0.0657235013989531</v>
      </c>
      <c r="BM195" s="394">
        <v>0.0742966844809573</v>
      </c>
      <c r="BN195" s="394">
        <v>0.0668136342401995</v>
      </c>
      <c r="BO195" s="394">
        <v>0.0765169976595819</v>
      </c>
      <c r="BP195" s="394">
        <v>0.0835406378240202</v>
      </c>
      <c r="BQ195" s="394">
        <v>0.0910825637882388</v>
      </c>
      <c r="BR195" s="394">
        <v>0.0934292661582004</v>
      </c>
      <c r="BS195" s="394">
        <v>0.0980932396679135</v>
      </c>
      <c r="BT195" s="394">
        <v>0.0903285276602518</v>
      </c>
      <c r="BU195" s="394">
        <v>0.0504559355211737</v>
      </c>
    </row>
    <row r="196" spans="2:73">
      <c r="B196" s="379" t="s">
        <v>417</v>
      </c>
      <c r="C196" s="382">
        <v>2.3</v>
      </c>
      <c r="D196" s="383">
        <v>45838</v>
      </c>
      <c r="E196" s="382">
        <v>143.2244</v>
      </c>
      <c r="F196" s="394">
        <v>-0.022007</v>
      </c>
      <c r="G196" s="394">
        <v>0.023475</v>
      </c>
      <c r="H196" s="394">
        <v>0.045918</v>
      </c>
      <c r="I196" s="394">
        <v>-0.029783</v>
      </c>
      <c r="J196" s="394">
        <v>0.107952</v>
      </c>
      <c r="K196" s="394">
        <v>0.111197</v>
      </c>
      <c r="L196" s="394">
        <v>0.069429</v>
      </c>
      <c r="M196" s="34"/>
      <c r="N196" s="394">
        <v>0.029322</v>
      </c>
      <c r="O196" s="394">
        <v>0.0641603653081843</v>
      </c>
      <c r="P196" s="394">
        <v>0.184083770737157</v>
      </c>
      <c r="Q196" s="394">
        <v>0.157281648136515</v>
      </c>
      <c r="R196" s="394">
        <v>0.0716517215236203</v>
      </c>
      <c r="S196" s="394">
        <v>0.0668693432998173</v>
      </c>
      <c r="T196" s="394">
        <v>-0.0364876213510698</v>
      </c>
      <c r="U196" s="394">
        <v>-0.000906161900926333</v>
      </c>
      <c r="V196" s="394">
        <v>0.131980852518806</v>
      </c>
      <c r="W196" s="394">
        <v>0.0498815383265393</v>
      </c>
      <c r="X196" s="394">
        <v>0.0578292715857692</v>
      </c>
      <c r="Y196" s="394">
        <v>0.18504</v>
      </c>
      <c r="Z196" s="394" t="s">
        <v>113</v>
      </c>
      <c r="AA196" s="394"/>
      <c r="AB196" s="394"/>
      <c r="AC196" s="394"/>
      <c r="AS196" s="379" t="s">
        <v>418</v>
      </c>
      <c r="AT196" s="382">
        <v>0.25</v>
      </c>
      <c r="AU196" s="383">
        <v>45716</v>
      </c>
      <c r="AV196" s="382">
        <v>313.117692542</v>
      </c>
      <c r="AW196" s="33"/>
      <c r="AX196" s="394">
        <v>0.006351</v>
      </c>
      <c r="AY196" s="394">
        <v>0.017534</v>
      </c>
      <c r="AZ196" s="394">
        <v>0.034941</v>
      </c>
      <c r="BA196" s="394">
        <v>0.071358</v>
      </c>
      <c r="BB196" s="394">
        <v>0.066017</v>
      </c>
      <c r="BC196" s="394" t="s">
        <v>113</v>
      </c>
      <c r="BD196" s="394" t="s">
        <v>113</v>
      </c>
      <c r="BE196" s="34"/>
      <c r="BF196" s="394">
        <v>0.017534</v>
      </c>
      <c r="BG196" s="394">
        <v>0.0719503452020742</v>
      </c>
      <c r="BH196" s="394">
        <v>0.0696044641131064</v>
      </c>
      <c r="BI196" s="394">
        <v>0.0472974037489282</v>
      </c>
      <c r="BJ196" s="394">
        <v>0.0219081</v>
      </c>
      <c r="BK196" s="394" t="s">
        <v>113</v>
      </c>
      <c r="BL196" s="394" t="s">
        <v>113</v>
      </c>
      <c r="BM196" s="394" t="s">
        <v>113</v>
      </c>
      <c r="BN196" s="394" t="s">
        <v>113</v>
      </c>
      <c r="BO196" s="394" t="s">
        <v>113</v>
      </c>
      <c r="BP196" s="394" t="s">
        <v>113</v>
      </c>
      <c r="BQ196" s="394" t="s">
        <v>113</v>
      </c>
      <c r="BR196" s="394" t="s">
        <v>113</v>
      </c>
      <c r="BS196" s="394" t="s">
        <v>113</v>
      </c>
      <c r="BT196" s="394" t="s">
        <v>113</v>
      </c>
      <c r="BU196" s="394" t="s">
        <v>113</v>
      </c>
    </row>
    <row r="197" spans="2:73">
      <c r="B197" s="379" t="s">
        <v>419</v>
      </c>
      <c r="C197" s="382">
        <v>1.89</v>
      </c>
      <c r="D197" s="383">
        <v>45838</v>
      </c>
      <c r="E197" s="382">
        <v>4413.0209</v>
      </c>
      <c r="F197" s="394">
        <v>-0.010763</v>
      </c>
      <c r="G197" s="394">
        <v>0.055903</v>
      </c>
      <c r="H197" s="394">
        <v>0.079416</v>
      </c>
      <c r="I197" s="394">
        <v>0.051962</v>
      </c>
      <c r="J197" s="394">
        <v>0.152006</v>
      </c>
      <c r="K197" s="394">
        <v>0.153876</v>
      </c>
      <c r="L197" s="394" t="s">
        <v>113</v>
      </c>
      <c r="M197" s="34"/>
      <c r="N197" s="394">
        <v>0.043115</v>
      </c>
      <c r="O197" s="394">
        <v>0.149464223650524</v>
      </c>
      <c r="P197" s="394">
        <v>0.210745295599348</v>
      </c>
      <c r="Q197" s="394">
        <v>0.0263077858880777</v>
      </c>
      <c r="R197" s="394">
        <v>0.165131112686038</v>
      </c>
      <c r="S197" s="394">
        <v>0.262075134168157</v>
      </c>
      <c r="T197" s="394">
        <v>0.104743083003953</v>
      </c>
      <c r="U197" s="394">
        <v>0.0119999999999999</v>
      </c>
      <c r="V197" s="394" t="s">
        <v>113</v>
      </c>
      <c r="W197" s="394" t="s">
        <v>113</v>
      </c>
      <c r="X197" s="394" t="s">
        <v>113</v>
      </c>
      <c r="Y197" s="394" t="s">
        <v>113</v>
      </c>
      <c r="Z197" s="394" t="s">
        <v>113</v>
      </c>
      <c r="AA197" s="394"/>
      <c r="AB197" s="394"/>
      <c r="AC197" s="394"/>
      <c r="AS197" s="379" t="s">
        <v>420</v>
      </c>
      <c r="AT197" s="382">
        <v>0.18</v>
      </c>
      <c r="AU197" s="383">
        <v>45716</v>
      </c>
      <c r="AV197" s="382">
        <v>5169.8542</v>
      </c>
      <c r="AW197" s="33"/>
      <c r="AX197" s="394">
        <v>0.006722</v>
      </c>
      <c r="AY197" s="394">
        <v>0.018143</v>
      </c>
      <c r="AZ197" s="394">
        <v>0.035953</v>
      </c>
      <c r="BA197" s="394">
        <v>0.073235</v>
      </c>
      <c r="BB197" s="394">
        <v>0.067322</v>
      </c>
      <c r="BC197" s="394">
        <v>0.054231</v>
      </c>
      <c r="BD197" s="394">
        <v>0.058465</v>
      </c>
      <c r="BE197" s="34"/>
      <c r="BF197" s="394">
        <v>0.018143</v>
      </c>
      <c r="BG197" s="394">
        <v>0.0735326716433809</v>
      </c>
      <c r="BH197" s="394">
        <v>0.0704846409286675</v>
      </c>
      <c r="BI197" s="394">
        <v>0.0484347100814816</v>
      </c>
      <c r="BJ197" s="394">
        <v>0.0328370446741807</v>
      </c>
      <c r="BK197" s="394">
        <v>0.0431156275910544</v>
      </c>
      <c r="BL197" s="394">
        <v>0.0638835163198646</v>
      </c>
      <c r="BM197" s="394">
        <v>0.0360806830348244</v>
      </c>
      <c r="BN197" s="394">
        <v>0.0646637969981427</v>
      </c>
      <c r="BO197" s="394">
        <v>0.0743609049876737</v>
      </c>
      <c r="BP197" s="394">
        <v>0.0818929669276046</v>
      </c>
      <c r="BQ197" s="394">
        <v>0.0904497099049845</v>
      </c>
      <c r="BR197" s="394">
        <v>0.0927065695328603</v>
      </c>
      <c r="BS197" s="394">
        <v>0.0974932019926196</v>
      </c>
      <c r="BT197" s="394">
        <v>0.0482803095442821</v>
      </c>
      <c r="BU197" s="394" t="s">
        <v>113</v>
      </c>
    </row>
    <row r="198" spans="2:73">
      <c r="B198" s="379" t="s">
        <v>421</v>
      </c>
      <c r="C198" s="382">
        <v>2.09</v>
      </c>
      <c r="D198" s="383">
        <v>45838</v>
      </c>
      <c r="E198" s="382">
        <v>1506.9815</v>
      </c>
      <c r="F198" s="394">
        <v>-0.012548</v>
      </c>
      <c r="G198" s="394">
        <v>0.030211</v>
      </c>
      <c r="H198" s="394">
        <v>0.050308</v>
      </c>
      <c r="I198" s="394" t="s">
        <v>113</v>
      </c>
      <c r="J198" s="394" t="s">
        <v>113</v>
      </c>
      <c r="K198" s="394" t="s">
        <v>113</v>
      </c>
      <c r="L198" s="394" t="s">
        <v>113</v>
      </c>
      <c r="M198" s="34"/>
      <c r="N198" s="394">
        <v>0.021978</v>
      </c>
      <c r="O198" s="394">
        <v>0.000999999999999979</v>
      </c>
      <c r="P198" s="394" t="s">
        <v>113</v>
      </c>
      <c r="Q198" s="394" t="s">
        <v>113</v>
      </c>
      <c r="R198" s="394" t="s">
        <v>113</v>
      </c>
      <c r="S198" s="394" t="s">
        <v>113</v>
      </c>
      <c r="T198" s="394" t="s">
        <v>113</v>
      </c>
      <c r="U198" s="394" t="s">
        <v>113</v>
      </c>
      <c r="V198" s="394" t="s">
        <v>113</v>
      </c>
      <c r="W198" s="394" t="s">
        <v>113</v>
      </c>
      <c r="X198" s="394" t="s">
        <v>113</v>
      </c>
      <c r="Y198" s="394" t="s">
        <v>113</v>
      </c>
      <c r="Z198" s="394" t="s">
        <v>113</v>
      </c>
      <c r="AA198" s="394"/>
      <c r="AB198" s="394"/>
      <c r="AC198" s="394"/>
      <c r="AS198" s="379" t="s">
        <v>422</v>
      </c>
      <c r="AT198" s="382">
        <v>0.24</v>
      </c>
      <c r="AU198" s="383">
        <v>45716</v>
      </c>
      <c r="AV198" s="382">
        <v>24805.0723</v>
      </c>
      <c r="AW198" s="33"/>
      <c r="AX198" s="394">
        <v>0.006821</v>
      </c>
      <c r="AY198" s="394">
        <v>0.018211</v>
      </c>
      <c r="AZ198" s="394">
        <v>0.035928</v>
      </c>
      <c r="BA198" s="394">
        <v>0.07317</v>
      </c>
      <c r="BB198" s="394">
        <v>0.067163</v>
      </c>
      <c r="BC198" s="394">
        <v>0.05411</v>
      </c>
      <c r="BD198" s="394">
        <v>0.062855</v>
      </c>
      <c r="BE198" s="34"/>
      <c r="BF198" s="394">
        <v>0.018211</v>
      </c>
      <c r="BG198" s="394">
        <v>0.0733402192128902</v>
      </c>
      <c r="BH198" s="394">
        <v>0.0702709340456087</v>
      </c>
      <c r="BI198" s="394">
        <v>0.0482981011370551</v>
      </c>
      <c r="BJ198" s="394">
        <v>0.0328200508988868</v>
      </c>
      <c r="BK198" s="394">
        <v>0.0418075941756132</v>
      </c>
      <c r="BL198" s="394">
        <v>0.0662846096136798</v>
      </c>
      <c r="BM198" s="394">
        <v>0.0743590202505761</v>
      </c>
      <c r="BN198" s="394">
        <v>0.0667120914400765</v>
      </c>
      <c r="BO198" s="394">
        <v>0.0765586105273131</v>
      </c>
      <c r="BP198" s="394">
        <v>0.0828008589522238</v>
      </c>
      <c r="BQ198" s="394">
        <v>0.0908158422652575</v>
      </c>
      <c r="BR198" s="394">
        <v>0.0910537427043961</v>
      </c>
      <c r="BS198" s="394">
        <v>0.0959584392544835</v>
      </c>
      <c r="BT198" s="394">
        <v>0.0891737062453571</v>
      </c>
      <c r="BU198" s="394">
        <v>0.0539973471538135</v>
      </c>
    </row>
    <row r="199" ht="14.55" spans="2:73">
      <c r="B199" s="379" t="s">
        <v>423</v>
      </c>
      <c r="C199" s="382">
        <v>1.35</v>
      </c>
      <c r="D199" s="383">
        <v>45838</v>
      </c>
      <c r="E199" s="382">
        <v>102789.7656</v>
      </c>
      <c r="F199" s="394">
        <v>-0.018125</v>
      </c>
      <c r="G199" s="394">
        <v>0.025625</v>
      </c>
      <c r="H199" s="394">
        <v>0.053416</v>
      </c>
      <c r="I199" s="394">
        <v>0.007032</v>
      </c>
      <c r="J199" s="394">
        <v>0.199142</v>
      </c>
      <c r="K199" s="394">
        <v>0.238984</v>
      </c>
      <c r="L199" s="394">
        <v>0.141137</v>
      </c>
      <c r="M199" s="34"/>
      <c r="N199" s="394">
        <v>0.032344</v>
      </c>
      <c r="O199" s="394">
        <v>0.167102243082056</v>
      </c>
      <c r="P199" s="394">
        <v>0.312961176680204</v>
      </c>
      <c r="Q199" s="394">
        <v>0.187751989462508</v>
      </c>
      <c r="R199" s="394">
        <v>0.263608029728808</v>
      </c>
      <c r="S199" s="394">
        <v>0.0757136905588511</v>
      </c>
      <c r="T199" s="394">
        <v>0.0688847185555096</v>
      </c>
      <c r="U199" s="394">
        <v>-0.00779524080035361</v>
      </c>
      <c r="V199" s="394">
        <v>0.354170079704829</v>
      </c>
      <c r="W199" s="394">
        <v>0.0659089528668611</v>
      </c>
      <c r="X199" s="394">
        <v>-0.00365369340746627</v>
      </c>
      <c r="Y199" s="394">
        <v>0.428517397881997</v>
      </c>
      <c r="Z199" s="394">
        <v>-0.0139899630272872</v>
      </c>
      <c r="AA199" s="394"/>
      <c r="AB199" s="394"/>
      <c r="AC199" s="394"/>
      <c r="AS199" s="379" t="s">
        <v>424</v>
      </c>
      <c r="AT199" s="382">
        <v>0.3</v>
      </c>
      <c r="AU199" s="383">
        <v>45716</v>
      </c>
      <c r="AV199" s="382">
        <v>347.1612</v>
      </c>
      <c r="AW199" s="33"/>
      <c r="AX199" s="394">
        <v>0.00652</v>
      </c>
      <c r="AY199" s="394">
        <v>0.017856</v>
      </c>
      <c r="AZ199" s="394">
        <v>0.035404</v>
      </c>
      <c r="BA199" s="394">
        <v>0.072019</v>
      </c>
      <c r="BB199" s="394">
        <v>0.06529</v>
      </c>
      <c r="BC199" s="394">
        <v>0.051115</v>
      </c>
      <c r="BD199" s="394" t="s">
        <v>113</v>
      </c>
      <c r="BE199" s="34"/>
      <c r="BF199" s="394">
        <v>0.017856</v>
      </c>
      <c r="BG199" s="394">
        <v>0.0725518128493844</v>
      </c>
      <c r="BH199" s="394">
        <v>0.0685326065396241</v>
      </c>
      <c r="BI199" s="394">
        <v>0.04438131566903</v>
      </c>
      <c r="BJ199" s="394">
        <v>0.0292736693761902</v>
      </c>
      <c r="BK199" s="394">
        <v>0.0360567737316534</v>
      </c>
      <c r="BL199" s="394">
        <v>0.0633969200515534</v>
      </c>
      <c r="BM199" s="394" t="s">
        <v>113</v>
      </c>
      <c r="BN199" s="394" t="s">
        <v>113</v>
      </c>
      <c r="BO199" s="394" t="s">
        <v>113</v>
      </c>
      <c r="BP199" s="394" t="s">
        <v>113</v>
      </c>
      <c r="BQ199" s="394" t="s">
        <v>113</v>
      </c>
      <c r="BR199" s="394" t="s">
        <v>113</v>
      </c>
      <c r="BS199" s="394" t="s">
        <v>113</v>
      </c>
      <c r="BT199" s="394" t="s">
        <v>113</v>
      </c>
      <c r="BU199" s="394" t="s">
        <v>113</v>
      </c>
    </row>
    <row r="200" ht="14.55" spans="2:73">
      <c r="B200" s="379" t="s">
        <v>425</v>
      </c>
      <c r="C200" s="382">
        <v>2.11</v>
      </c>
      <c r="D200" s="383">
        <v>45838</v>
      </c>
      <c r="E200" s="382">
        <v>1555.1272</v>
      </c>
      <c r="F200" s="394">
        <v>0.003091</v>
      </c>
      <c r="G200" s="394">
        <v>0.035117</v>
      </c>
      <c r="H200" s="394">
        <v>0.049197</v>
      </c>
      <c r="I200" s="394">
        <v>0.029967</v>
      </c>
      <c r="J200" s="394">
        <v>0.123627</v>
      </c>
      <c r="K200" s="394">
        <v>0.105275</v>
      </c>
      <c r="L200" s="394">
        <v>0.076082</v>
      </c>
      <c r="M200" s="34"/>
      <c r="N200" s="394">
        <v>0.013958</v>
      </c>
      <c r="O200" s="394">
        <v>0.153874076384482</v>
      </c>
      <c r="P200" s="394">
        <v>0.179742739773827</v>
      </c>
      <c r="Q200" s="394">
        <v>0.0180687873405458</v>
      </c>
      <c r="R200" s="394">
        <v>0.0836016237402015</v>
      </c>
      <c r="S200" s="394">
        <v>0.127970316570617</v>
      </c>
      <c r="T200" s="394">
        <v>0.0816788352333376</v>
      </c>
      <c r="U200" s="394">
        <v>0.0340853900834473</v>
      </c>
      <c r="V200" s="394">
        <v>0.11445160655415</v>
      </c>
      <c r="W200" s="394">
        <v>0.0194121187800963</v>
      </c>
      <c r="X200" s="394">
        <v>0.0382792562887349</v>
      </c>
      <c r="Y200" s="394">
        <v>0.496687193078182</v>
      </c>
      <c r="Z200" s="394">
        <v>0.0723898687620163</v>
      </c>
      <c r="AA200" s="394"/>
      <c r="AB200" s="394"/>
      <c r="AC200" s="394"/>
      <c r="AS200" s="4" t="s">
        <v>146</v>
      </c>
      <c r="AT200"/>
      <c r="AU200"/>
      <c r="AV200"/>
      <c r="AW200" s="395"/>
      <c r="AX200" s="396">
        <f t="shared" ref="AX200:BD200" si="27">AVERAGE(AX161:AX199)</f>
        <v>0.00652648717948718</v>
      </c>
      <c r="AY200" s="396">
        <f t="shared" si="27"/>
        <v>0.0177760256410256</v>
      </c>
      <c r="AZ200" s="396">
        <f t="shared" si="27"/>
        <v>0.0353601842105263</v>
      </c>
      <c r="BA200" s="396">
        <f t="shared" si="27"/>
        <v>0.0715978684210526</v>
      </c>
      <c r="BB200" s="396">
        <f t="shared" si="27"/>
        <v>0.0662704857142857</v>
      </c>
      <c r="BC200" s="396">
        <f t="shared" si="27"/>
        <v>0.0532033823529412</v>
      </c>
      <c r="BD200" s="396">
        <f t="shared" si="27"/>
        <v>0.0617918275862069</v>
      </c>
      <c r="BE200" s="395"/>
      <c r="BF200" s="396">
        <f t="shared" ref="BF200:BU200" si="28">AVERAGE(BF161:BF199)</f>
        <v>0.0177760256410256</v>
      </c>
      <c r="BG200" s="396">
        <f t="shared" si="28"/>
        <v>0.0699363034044772</v>
      </c>
      <c r="BH200" s="396">
        <f t="shared" si="28"/>
        <v>0.0646936136830093</v>
      </c>
      <c r="BI200" s="396">
        <f t="shared" si="28"/>
        <v>0.0476390119226116</v>
      </c>
      <c r="BJ200" s="396">
        <f t="shared" si="28"/>
        <v>0.0320466153114921</v>
      </c>
      <c r="BK200" s="396">
        <f t="shared" si="28"/>
        <v>0.0402914671651325</v>
      </c>
      <c r="BL200" s="396">
        <f t="shared" si="28"/>
        <v>0.0638293378615622</v>
      </c>
      <c r="BM200" s="396">
        <f t="shared" si="28"/>
        <v>0.0660677940261568</v>
      </c>
      <c r="BN200" s="396">
        <f t="shared" si="28"/>
        <v>0.0662102932373132</v>
      </c>
      <c r="BO200" s="396">
        <f t="shared" si="28"/>
        <v>0.0743055044226096</v>
      </c>
      <c r="BP200" s="396">
        <f t="shared" si="28"/>
        <v>0.0829967389524803</v>
      </c>
      <c r="BQ200" s="396">
        <f t="shared" si="28"/>
        <v>0.0906550523200219</v>
      </c>
      <c r="BR200" s="396">
        <f t="shared" si="28"/>
        <v>0.0891880675872744</v>
      </c>
      <c r="BS200" s="396">
        <f t="shared" si="28"/>
        <v>0.0956511951191601</v>
      </c>
      <c r="BT200" s="396">
        <f t="shared" si="28"/>
        <v>0.071089904157708</v>
      </c>
      <c r="BU200" s="396">
        <f t="shared" si="28"/>
        <v>0.053545358605131</v>
      </c>
    </row>
    <row r="201" spans="2:73">
      <c r="B201" s="379" t="s">
        <v>63</v>
      </c>
      <c r="C201" s="382">
        <v>1.44</v>
      </c>
      <c r="D201" s="383">
        <v>45838</v>
      </c>
      <c r="E201" s="382">
        <v>65297.8735882379</v>
      </c>
      <c r="F201" s="394">
        <v>-0.007679</v>
      </c>
      <c r="G201" s="394">
        <v>0.029922</v>
      </c>
      <c r="H201" s="394">
        <v>0.067536</v>
      </c>
      <c r="I201" s="394">
        <v>0.059856</v>
      </c>
      <c r="J201" s="394">
        <v>0.132507</v>
      </c>
      <c r="K201" s="394">
        <v>0.147989</v>
      </c>
      <c r="L201" s="394">
        <v>0.107756</v>
      </c>
      <c r="M201" s="34"/>
      <c r="N201" s="394">
        <v>0.064913</v>
      </c>
      <c r="O201" s="394">
        <v>0.123071927260919</v>
      </c>
      <c r="P201" s="394">
        <v>0.165153234960273</v>
      </c>
      <c r="Q201" s="394">
        <v>0.0789957134109001</v>
      </c>
      <c r="R201" s="394">
        <v>0.151351351351351</v>
      </c>
      <c r="S201" s="394">
        <v>0.117091100026253</v>
      </c>
      <c r="T201" s="394">
        <v>0.107911576497964</v>
      </c>
      <c r="U201" s="394">
        <v>0.0244338498212157</v>
      </c>
      <c r="V201" s="394">
        <v>0.190070921985816</v>
      </c>
      <c r="W201" s="394">
        <v>0.0734678340312143</v>
      </c>
      <c r="X201" s="394">
        <v>0.0670186839967506</v>
      </c>
      <c r="Y201" s="394">
        <v>0.290356394129979</v>
      </c>
      <c r="Z201" s="394">
        <v>0.109302325581395</v>
      </c>
      <c r="AA201" s="394"/>
      <c r="AB201" s="394"/>
      <c r="AC201" s="394"/>
      <c r="AN201" s="5">
        <v>1.17</v>
      </c>
      <c r="AO201" s="5">
        <v>0.53</v>
      </c>
      <c r="AP201" s="5">
        <v>25.93</v>
      </c>
      <c r="AQ201" s="5">
        <v>3.96</v>
      </c>
      <c r="AS201" s="4" t="s">
        <v>162</v>
      </c>
      <c r="AT201"/>
      <c r="AU201"/>
      <c r="AV201"/>
      <c r="AW201"/>
      <c r="AX201" s="397">
        <v>0.0087263867959253</v>
      </c>
      <c r="AY201" s="397">
        <v>0.0207643930788102</v>
      </c>
      <c r="AZ201" s="397">
        <v>0.0377184412193585</v>
      </c>
      <c r="BA201" s="397">
        <v>0.080280059411505</v>
      </c>
      <c r="BB201" s="397">
        <v>0.0659301709109001</v>
      </c>
      <c r="BC201" s="397">
        <v>0.0655149768088614</v>
      </c>
      <c r="BD201" s="397">
        <v>0.0738047315298365</v>
      </c>
      <c r="BE201" s="400"/>
      <c r="BF201" s="397">
        <v>0.0207643930788102</v>
      </c>
      <c r="BG201" s="397">
        <v>0.0797029257152309</v>
      </c>
      <c r="BH201" s="397">
        <v>0.0725988870220093</v>
      </c>
      <c r="BI201" s="397">
        <v>0.0358682288812193</v>
      </c>
      <c r="BJ201" s="397">
        <v>0.0437965988907254</v>
      </c>
      <c r="BK201" s="397">
        <v>0.104161972570555</v>
      </c>
      <c r="BL201" s="397">
        <v>0.0953364838894115</v>
      </c>
      <c r="BM201" s="397">
        <v>0.0665068187794211</v>
      </c>
      <c r="BN201" s="397">
        <v>0.0602957159773323</v>
      </c>
      <c r="BO201" s="397">
        <v>0.0986738756953636</v>
      </c>
      <c r="BP201" s="397">
        <v>0.0865549936165921</v>
      </c>
      <c r="BQ201" s="397">
        <v>0.104681934209951</v>
      </c>
      <c r="BR201" s="397">
        <v>0.0827206164504672</v>
      </c>
      <c r="BS201" s="397">
        <v>0.0912371315059957</v>
      </c>
      <c r="BT201" s="397">
        <v>0.0786771029274067</v>
      </c>
      <c r="BU201" s="397">
        <v>0.0470040326565153</v>
      </c>
    </row>
    <row r="202" ht="14.55" spans="2:73">
      <c r="B202" s="379" t="s">
        <v>426</v>
      </c>
      <c r="C202" s="382">
        <v>2.37</v>
      </c>
      <c r="D202" s="383">
        <v>45838</v>
      </c>
      <c r="E202" s="382">
        <v>408.1451</v>
      </c>
      <c r="F202" s="394">
        <v>-0.016236</v>
      </c>
      <c r="G202" s="394">
        <v>0.029542</v>
      </c>
      <c r="H202" s="394">
        <v>0.04628</v>
      </c>
      <c r="I202" s="394">
        <v>0.019077</v>
      </c>
      <c r="J202" s="394">
        <v>0.115878</v>
      </c>
      <c r="K202" s="394">
        <v>0.107243</v>
      </c>
      <c r="L202" s="394" t="s">
        <v>113</v>
      </c>
      <c r="M202" s="34"/>
      <c r="N202" s="394">
        <v>0.014781</v>
      </c>
      <c r="O202" s="394">
        <v>0.135216451948468</v>
      </c>
      <c r="P202" s="394">
        <v>0.171458300134047</v>
      </c>
      <c r="Q202" s="394">
        <v>-0.0310453509178271</v>
      </c>
      <c r="R202" s="394">
        <v>0.220939516933928</v>
      </c>
      <c r="S202" s="394">
        <v>-0.09826</v>
      </c>
      <c r="T202" s="394">
        <v>0</v>
      </c>
      <c r="U202" s="394" t="s">
        <v>113</v>
      </c>
      <c r="V202" s="394" t="s">
        <v>113</v>
      </c>
      <c r="W202" s="394" t="s">
        <v>113</v>
      </c>
      <c r="X202" s="394" t="s">
        <v>113</v>
      </c>
      <c r="Y202" s="394" t="s">
        <v>113</v>
      </c>
      <c r="Z202" s="394" t="s">
        <v>113</v>
      </c>
      <c r="AA202" s="394"/>
      <c r="AB202" s="394"/>
      <c r="AC202" s="394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</row>
    <row r="203" ht="14.55" spans="2:73">
      <c r="B203" s="379" t="s">
        <v>65</v>
      </c>
      <c r="C203" s="382">
        <v>1.65</v>
      </c>
      <c r="D203" s="383">
        <v>45838</v>
      </c>
      <c r="E203" s="382">
        <v>17677.4963</v>
      </c>
      <c r="F203" s="394">
        <v>-0.011369</v>
      </c>
      <c r="G203" s="394">
        <v>0.028053</v>
      </c>
      <c r="H203" s="394">
        <v>0.05268</v>
      </c>
      <c r="I203" s="394">
        <v>0.039089</v>
      </c>
      <c r="J203" s="394">
        <v>0.124126</v>
      </c>
      <c r="K203" s="394">
        <v>0.124873</v>
      </c>
      <c r="L203" s="394" t="s">
        <v>113</v>
      </c>
      <c r="M203" s="34"/>
      <c r="N203" s="394">
        <v>0.033177</v>
      </c>
      <c r="O203" s="394">
        <v>0.14339166474787</v>
      </c>
      <c r="P203" s="394">
        <v>0.160609299839658</v>
      </c>
      <c r="Q203" s="394">
        <v>0.0375710522667406</v>
      </c>
      <c r="R203" s="394">
        <v>0.129590478427688</v>
      </c>
      <c r="S203" s="394">
        <v>0.136412172984517</v>
      </c>
      <c r="T203" s="394">
        <v>0.121444965572298</v>
      </c>
      <c r="U203" s="394">
        <v>0.00210000000000008</v>
      </c>
      <c r="V203" s="394" t="s">
        <v>113</v>
      </c>
      <c r="W203" s="394" t="s">
        <v>113</v>
      </c>
      <c r="X203" s="394" t="s">
        <v>113</v>
      </c>
      <c r="Y203" s="394" t="s">
        <v>113</v>
      </c>
      <c r="Z203" s="394" t="s">
        <v>113</v>
      </c>
      <c r="AA203" s="394"/>
      <c r="AB203" s="394"/>
      <c r="AC203" s="394"/>
      <c r="AN203" s="5">
        <v>0.85</v>
      </c>
      <c r="AO203" s="5">
        <v>0.69</v>
      </c>
      <c r="AP203" s="5">
        <v>23.65</v>
      </c>
      <c r="AQ203" s="5">
        <v>3.7</v>
      </c>
      <c r="AS203" s="350" t="s">
        <v>427</v>
      </c>
      <c r="AT203" s="369" t="s">
        <v>16</v>
      </c>
      <c r="AU203" s="411" t="s">
        <v>99</v>
      </c>
      <c r="AV203" s="412"/>
      <c r="AW203" s="386"/>
      <c r="AX203" s="353" t="s">
        <v>102</v>
      </c>
      <c r="AY203" s="354"/>
      <c r="AZ203" s="354"/>
      <c r="BA203" s="354"/>
      <c r="BB203" s="354"/>
      <c r="BC203" s="354"/>
      <c r="BD203" s="363"/>
      <c r="BE203" s="386"/>
      <c r="BF203" s="411" t="s">
        <v>103</v>
      </c>
      <c r="BG203" s="414"/>
      <c r="BH203" s="414"/>
      <c r="BI203" s="414"/>
      <c r="BJ203" s="414"/>
      <c r="BK203" s="414"/>
      <c r="BL203" s="414"/>
      <c r="BM203" s="414"/>
      <c r="BN203" s="414"/>
      <c r="BO203" s="414"/>
      <c r="BP203" s="414"/>
      <c r="BQ203" s="414"/>
      <c r="BR203" s="414"/>
      <c r="BS203" s="414"/>
      <c r="BT203" s="414"/>
      <c r="BU203" s="416"/>
    </row>
    <row r="204" ht="17.5" customHeight="1" spans="2:73">
      <c r="B204" s="379" t="s">
        <v>428</v>
      </c>
      <c r="C204" s="382">
        <v>2.21</v>
      </c>
      <c r="D204" s="383">
        <v>45838</v>
      </c>
      <c r="E204" s="382">
        <v>845.3469</v>
      </c>
      <c r="F204" s="394">
        <v>-0.019874</v>
      </c>
      <c r="G204" s="394">
        <v>0.027909</v>
      </c>
      <c r="H204" s="394">
        <v>0.049187</v>
      </c>
      <c r="I204" s="394">
        <v>0.046303</v>
      </c>
      <c r="J204" s="394">
        <v>0.106492</v>
      </c>
      <c r="K204" s="394" t="s">
        <v>113</v>
      </c>
      <c r="L204" s="394" t="s">
        <v>113</v>
      </c>
      <c r="M204" s="34"/>
      <c r="N204" s="394">
        <v>0.032221</v>
      </c>
      <c r="O204" s="394">
        <v>0.120799250386203</v>
      </c>
      <c r="P204" s="394">
        <v>0.132546822566613</v>
      </c>
      <c r="Q204" s="394">
        <v>0.0537572661971973</v>
      </c>
      <c r="R204" s="394">
        <v>-0.00739000000000001</v>
      </c>
      <c r="S204" s="394" t="s">
        <v>113</v>
      </c>
      <c r="T204" s="394" t="s">
        <v>113</v>
      </c>
      <c r="U204" s="394" t="s">
        <v>113</v>
      </c>
      <c r="V204" s="394" t="s">
        <v>113</v>
      </c>
      <c r="W204" s="394" t="s">
        <v>113</v>
      </c>
      <c r="X204" s="394" t="s">
        <v>113</v>
      </c>
      <c r="Y204" s="394" t="s">
        <v>113</v>
      </c>
      <c r="Z204" s="394" t="s">
        <v>113</v>
      </c>
      <c r="AA204" s="394"/>
      <c r="AB204" s="394"/>
      <c r="AC204" s="394"/>
      <c r="AS204" s="352"/>
      <c r="AT204" s="373" t="s">
        <v>110</v>
      </c>
      <c r="AU204" s="374" t="s">
        <v>104</v>
      </c>
      <c r="AV204" s="375" t="s">
        <v>105</v>
      </c>
      <c r="AW204" s="387"/>
      <c r="AX204" s="16" t="s">
        <v>89</v>
      </c>
      <c r="AY204" s="18" t="s">
        <v>90</v>
      </c>
      <c r="AZ204" s="18" t="s">
        <v>91</v>
      </c>
      <c r="BA204" s="18" t="s">
        <v>20</v>
      </c>
      <c r="BB204" s="18" t="s">
        <v>92</v>
      </c>
      <c r="BC204" s="18" t="s">
        <v>93</v>
      </c>
      <c r="BD204" s="273" t="s">
        <v>111</v>
      </c>
      <c r="BE204" s="387"/>
      <c r="BF204" s="16">
        <v>2025</v>
      </c>
      <c r="BG204" s="16">
        <v>2024</v>
      </c>
      <c r="BH204" s="16">
        <v>2023</v>
      </c>
      <c r="BI204" s="18">
        <v>2022</v>
      </c>
      <c r="BJ204" s="18">
        <v>2021</v>
      </c>
      <c r="BK204" s="18">
        <v>2020</v>
      </c>
      <c r="BL204" s="18">
        <v>2019</v>
      </c>
      <c r="BM204" s="18">
        <v>2018</v>
      </c>
      <c r="BN204" s="18">
        <v>2017</v>
      </c>
      <c r="BO204" s="18">
        <v>2016</v>
      </c>
      <c r="BP204" s="18">
        <v>2015</v>
      </c>
      <c r="BQ204" s="18">
        <v>2014</v>
      </c>
      <c r="BR204" s="18">
        <v>2013</v>
      </c>
      <c r="BS204" s="18">
        <v>2012</v>
      </c>
      <c r="BT204" s="18">
        <v>2011</v>
      </c>
      <c r="BU204" s="273">
        <v>2010</v>
      </c>
    </row>
    <row r="205" spans="2:73">
      <c r="B205" s="379" t="s">
        <v>429</v>
      </c>
      <c r="C205" s="382">
        <v>2.19</v>
      </c>
      <c r="D205" s="383">
        <v>45838</v>
      </c>
      <c r="E205" s="382">
        <v>932.6537</v>
      </c>
      <c r="F205" s="394">
        <v>-0.012968</v>
      </c>
      <c r="G205" s="394">
        <v>0.039624</v>
      </c>
      <c r="H205" s="394">
        <v>0.05999</v>
      </c>
      <c r="I205" s="394">
        <v>0.02053</v>
      </c>
      <c r="J205" s="394">
        <v>0.135562</v>
      </c>
      <c r="K205" s="394" t="s">
        <v>113</v>
      </c>
      <c r="L205" s="394" t="s">
        <v>113</v>
      </c>
      <c r="M205" s="34"/>
      <c r="N205" s="394">
        <v>0.02493</v>
      </c>
      <c r="O205" s="394">
        <v>0.141407181017081</v>
      </c>
      <c r="P205" s="394">
        <v>0.199103731858347</v>
      </c>
      <c r="Q205" s="394">
        <v>0.0287100000000001</v>
      </c>
      <c r="R205" s="394">
        <v>0</v>
      </c>
      <c r="S205" s="394" t="s">
        <v>113</v>
      </c>
      <c r="T205" s="394" t="s">
        <v>113</v>
      </c>
      <c r="U205" s="394" t="s">
        <v>113</v>
      </c>
      <c r="V205" s="394" t="s">
        <v>113</v>
      </c>
      <c r="W205" s="394" t="s">
        <v>113</v>
      </c>
      <c r="X205" s="394" t="s">
        <v>113</v>
      </c>
      <c r="Y205" s="394" t="s">
        <v>113</v>
      </c>
      <c r="Z205" s="394" t="s">
        <v>113</v>
      </c>
      <c r="AA205" s="394"/>
      <c r="AB205" s="394"/>
      <c r="AC205" s="394"/>
      <c r="AS205" s="379" t="s">
        <v>430</v>
      </c>
      <c r="AT205" s="382">
        <v>1.09</v>
      </c>
      <c r="AU205" s="383">
        <v>45716</v>
      </c>
      <c r="AV205" s="382">
        <v>150.8095</v>
      </c>
      <c r="AW205" s="33"/>
      <c r="AX205" s="394">
        <v>0.026649</v>
      </c>
      <c r="AY205" s="394">
        <v>0.026741</v>
      </c>
      <c r="AZ205" s="394">
        <v>0.03388</v>
      </c>
      <c r="BA205" s="394">
        <v>0.093116</v>
      </c>
      <c r="BB205" s="394" t="s">
        <v>113</v>
      </c>
      <c r="BC205" s="394" t="s">
        <v>113</v>
      </c>
      <c r="BD205" s="394" t="s">
        <v>113</v>
      </c>
      <c r="BE205" s="34"/>
      <c r="BF205" s="394">
        <v>0.026741</v>
      </c>
      <c r="BG205" s="394">
        <v>0.105014531614134</v>
      </c>
      <c r="BH205" s="394">
        <v>0.0727095478939036</v>
      </c>
      <c r="BI205" s="394">
        <v>0.03604</v>
      </c>
      <c r="BJ205" s="394" t="s">
        <v>113</v>
      </c>
      <c r="BK205" s="394" t="s">
        <v>113</v>
      </c>
      <c r="BL205" s="394" t="s">
        <v>113</v>
      </c>
      <c r="BM205" s="394" t="s">
        <v>113</v>
      </c>
      <c r="BN205" s="394" t="s">
        <v>113</v>
      </c>
      <c r="BO205" s="394" t="s">
        <v>113</v>
      </c>
      <c r="BP205" s="394" t="s">
        <v>113</v>
      </c>
      <c r="BQ205" s="394" t="s">
        <v>113</v>
      </c>
      <c r="BR205" s="394" t="s">
        <v>113</v>
      </c>
      <c r="BS205" s="394" t="s">
        <v>113</v>
      </c>
      <c r="BT205" s="394" t="s">
        <v>113</v>
      </c>
      <c r="BU205" s="394" t="s">
        <v>113</v>
      </c>
    </row>
    <row r="206" spans="2:73">
      <c r="B206" s="379" t="s">
        <v>431</v>
      </c>
      <c r="C206" s="382">
        <v>1.74</v>
      </c>
      <c r="D206" s="383">
        <v>45838</v>
      </c>
      <c r="E206" s="382">
        <v>9390.8935</v>
      </c>
      <c r="F206" s="394">
        <v>-0.007947</v>
      </c>
      <c r="G206" s="394">
        <v>0.022717</v>
      </c>
      <c r="H206" s="394">
        <v>0.050583</v>
      </c>
      <c r="I206" s="394">
        <v>0.027673</v>
      </c>
      <c r="J206" s="394">
        <v>0.12653</v>
      </c>
      <c r="K206" s="394">
        <v>0.140432</v>
      </c>
      <c r="L206" s="394">
        <v>0.096531</v>
      </c>
      <c r="M206" s="34"/>
      <c r="N206" s="394">
        <v>0.039729</v>
      </c>
      <c r="O206" s="394">
        <v>0.130026592901433</v>
      </c>
      <c r="P206" s="394">
        <v>0.175053663484805</v>
      </c>
      <c r="Q206" s="394">
        <v>0.0508773000971936</v>
      </c>
      <c r="R206" s="394">
        <v>0.157058356308759</v>
      </c>
      <c r="S206" s="394">
        <v>0.111653998892056</v>
      </c>
      <c r="T206" s="394">
        <v>0.0825672263211469</v>
      </c>
      <c r="U206" s="394">
        <v>0.00448802059711784</v>
      </c>
      <c r="V206" s="394">
        <v>0.252278304299947</v>
      </c>
      <c r="W206" s="394">
        <v>0.063912028708752</v>
      </c>
      <c r="X206" s="394">
        <v>0.00940036037042726</v>
      </c>
      <c r="Y206" s="394">
        <v>0.383597059890873</v>
      </c>
      <c r="Z206" s="394">
        <v>0.0461809767713527</v>
      </c>
      <c r="AA206" s="394"/>
      <c r="AB206" s="394"/>
      <c r="AC206" s="394"/>
      <c r="AS206" s="379" t="s">
        <v>432</v>
      </c>
      <c r="AT206" s="382">
        <v>0.76</v>
      </c>
      <c r="AU206" s="383">
        <v>45716</v>
      </c>
      <c r="AV206" s="382">
        <v>474.126499</v>
      </c>
      <c r="AW206" s="33"/>
      <c r="AX206" s="394">
        <v>0.030169</v>
      </c>
      <c r="AY206" s="394">
        <v>0.027005</v>
      </c>
      <c r="AZ206" s="394">
        <v>0.028551</v>
      </c>
      <c r="BA206" s="394">
        <v>0.092004</v>
      </c>
      <c r="BB206" s="394" t="s">
        <v>113</v>
      </c>
      <c r="BC206" s="394" t="s">
        <v>113</v>
      </c>
      <c r="BD206" s="394" t="s">
        <v>113</v>
      </c>
      <c r="BE206" s="34"/>
      <c r="BF206" s="394">
        <v>0.027005</v>
      </c>
      <c r="BG206" s="394">
        <v>0.111280362714652</v>
      </c>
      <c r="BH206" s="394">
        <v>0.0715121359794994</v>
      </c>
      <c r="BI206" s="394">
        <v>0.00196280000000002</v>
      </c>
      <c r="BJ206" s="394" t="s">
        <v>113</v>
      </c>
      <c r="BK206" s="394" t="s">
        <v>113</v>
      </c>
      <c r="BL206" s="394" t="s">
        <v>113</v>
      </c>
      <c r="BM206" s="394" t="s">
        <v>113</v>
      </c>
      <c r="BN206" s="394" t="s">
        <v>113</v>
      </c>
      <c r="BO206" s="394" t="s">
        <v>113</v>
      </c>
      <c r="BP206" s="394" t="s">
        <v>113</v>
      </c>
      <c r="BQ206" s="394" t="s">
        <v>113</v>
      </c>
      <c r="BR206" s="394" t="s">
        <v>113</v>
      </c>
      <c r="BS206" s="394" t="s">
        <v>113</v>
      </c>
      <c r="BT206" s="394" t="s">
        <v>113</v>
      </c>
      <c r="BU206" s="394" t="s">
        <v>113</v>
      </c>
    </row>
    <row r="207" spans="2:73">
      <c r="B207" s="379" t="s">
        <v>433</v>
      </c>
      <c r="C207" s="382">
        <v>1.89</v>
      </c>
      <c r="D207" s="383">
        <v>45838</v>
      </c>
      <c r="E207" s="382">
        <v>3837.88598</v>
      </c>
      <c r="F207" s="394">
        <v>-0.006579</v>
      </c>
      <c r="G207" s="394">
        <v>0.036613</v>
      </c>
      <c r="H207" s="394">
        <v>0.031891</v>
      </c>
      <c r="I207" s="394">
        <v>-0.046316</v>
      </c>
      <c r="J207" s="394">
        <v>0.122092</v>
      </c>
      <c r="K207" s="394" t="s">
        <v>113</v>
      </c>
      <c r="L207" s="394" t="s">
        <v>113</v>
      </c>
      <c r="M207" s="34"/>
      <c r="N207" s="394">
        <v>0.008909</v>
      </c>
      <c r="O207" s="394">
        <v>0.100490196078431</v>
      </c>
      <c r="P207" s="394">
        <v>0.230150753768844</v>
      </c>
      <c r="Q207" s="394">
        <v>-0.00200601805416262</v>
      </c>
      <c r="R207" s="394">
        <v>-0.00299999999999994</v>
      </c>
      <c r="S207" s="394" t="s">
        <v>113</v>
      </c>
      <c r="T207" s="394" t="s">
        <v>113</v>
      </c>
      <c r="U207" s="394" t="s">
        <v>113</v>
      </c>
      <c r="V207" s="394" t="s">
        <v>113</v>
      </c>
      <c r="W207" s="394" t="s">
        <v>113</v>
      </c>
      <c r="X207" s="394" t="s">
        <v>113</v>
      </c>
      <c r="Y207" s="394" t="s">
        <v>113</v>
      </c>
      <c r="Z207" s="394" t="s">
        <v>113</v>
      </c>
      <c r="AA207" s="394"/>
      <c r="AB207" s="394"/>
      <c r="AC207" s="394"/>
      <c r="AS207" s="379" t="s">
        <v>434</v>
      </c>
      <c r="AT207" s="382">
        <v>0.67</v>
      </c>
      <c r="AU207" s="383">
        <v>45716</v>
      </c>
      <c r="AV207" s="382">
        <v>186.2824</v>
      </c>
      <c r="AW207" s="33"/>
      <c r="AX207" s="394">
        <v>0.030852</v>
      </c>
      <c r="AY207" s="394">
        <v>0.02848</v>
      </c>
      <c r="AZ207" s="394">
        <v>0.029279</v>
      </c>
      <c r="BA207" s="394">
        <v>0.091836</v>
      </c>
      <c r="BB207" s="394" t="s">
        <v>113</v>
      </c>
      <c r="BC207" s="394" t="s">
        <v>113</v>
      </c>
      <c r="BD207" s="394" t="s">
        <v>113</v>
      </c>
      <c r="BE207" s="34"/>
      <c r="BF207" s="394">
        <v>0.02848</v>
      </c>
      <c r="BG207" s="394">
        <v>0.0691599999999999</v>
      </c>
      <c r="BH207" s="394" t="s">
        <v>113</v>
      </c>
      <c r="BI207" s="394" t="s">
        <v>113</v>
      </c>
      <c r="BJ207" s="394" t="s">
        <v>113</v>
      </c>
      <c r="BK207" s="394" t="s">
        <v>113</v>
      </c>
      <c r="BL207" s="394" t="s">
        <v>113</v>
      </c>
      <c r="BM207" s="394" t="s">
        <v>113</v>
      </c>
      <c r="BN207" s="394" t="s">
        <v>113</v>
      </c>
      <c r="BO207" s="394" t="s">
        <v>113</v>
      </c>
      <c r="BP207" s="394" t="s">
        <v>113</v>
      </c>
      <c r="BQ207" s="394" t="s">
        <v>113</v>
      </c>
      <c r="BR207" s="394" t="s">
        <v>113</v>
      </c>
      <c r="BS207" s="394" t="s">
        <v>113</v>
      </c>
      <c r="BT207" s="394" t="s">
        <v>113</v>
      </c>
      <c r="BU207" s="394" t="s">
        <v>113</v>
      </c>
    </row>
    <row r="208" ht="15" customHeight="1" spans="2:73">
      <c r="B208" s="379" t="s">
        <v>435</v>
      </c>
      <c r="C208" s="382">
        <v>1.56</v>
      </c>
      <c r="D208" s="383">
        <v>45838</v>
      </c>
      <c r="E208" s="382">
        <v>36637.4701</v>
      </c>
      <c r="F208" s="394">
        <v>-0.019406</v>
      </c>
      <c r="G208" s="394">
        <v>0.015102</v>
      </c>
      <c r="H208" s="394">
        <v>0.047542</v>
      </c>
      <c r="I208" s="394">
        <v>0.03322</v>
      </c>
      <c r="J208" s="394">
        <v>0.139721</v>
      </c>
      <c r="K208" s="394" t="s">
        <v>113</v>
      </c>
      <c r="L208" s="394" t="s">
        <v>113</v>
      </c>
      <c r="M208" s="34"/>
      <c r="N208" s="394">
        <v>0.040899</v>
      </c>
      <c r="O208" s="394">
        <v>0.134637256191441</v>
      </c>
      <c r="P208" s="394">
        <v>0.203902757078987</v>
      </c>
      <c r="Q208" s="394">
        <v>0.0506640047757456</v>
      </c>
      <c r="R208" s="394">
        <v>0.0218299999999999</v>
      </c>
      <c r="S208" s="394" t="s">
        <v>113</v>
      </c>
      <c r="T208" s="394" t="s">
        <v>113</v>
      </c>
      <c r="U208" s="394" t="s">
        <v>113</v>
      </c>
      <c r="V208" s="394" t="s">
        <v>113</v>
      </c>
      <c r="W208" s="394" t="s">
        <v>113</v>
      </c>
      <c r="X208" s="394" t="s">
        <v>113</v>
      </c>
      <c r="Y208" s="394" t="s">
        <v>113</v>
      </c>
      <c r="Z208" s="394" t="s">
        <v>113</v>
      </c>
      <c r="AA208" s="394"/>
      <c r="AB208" s="394"/>
      <c r="AC208" s="394"/>
      <c r="AS208" s="379" t="s">
        <v>436</v>
      </c>
      <c r="AT208" s="382">
        <v>0.85</v>
      </c>
      <c r="AU208" s="383">
        <v>45716</v>
      </c>
      <c r="AV208" s="382">
        <v>27.991403794</v>
      </c>
      <c r="AW208" s="33"/>
      <c r="AX208" s="394">
        <v>0.023149</v>
      </c>
      <c r="AY208" s="394">
        <v>0.029659</v>
      </c>
      <c r="AZ208" s="394" t="s">
        <v>113</v>
      </c>
      <c r="BA208" s="394" t="s">
        <v>113</v>
      </c>
      <c r="BB208" s="394" t="s">
        <v>113</v>
      </c>
      <c r="BC208" s="394" t="s">
        <v>113</v>
      </c>
      <c r="BD208" s="394" t="s">
        <v>113</v>
      </c>
      <c r="BE208" s="34"/>
      <c r="BF208" s="394">
        <v>0.029659</v>
      </c>
      <c r="BG208" s="394">
        <v>0.00103000000000009</v>
      </c>
      <c r="BH208" s="394" t="s">
        <v>113</v>
      </c>
      <c r="BI208" s="394" t="s">
        <v>113</v>
      </c>
      <c r="BJ208" s="394" t="s">
        <v>113</v>
      </c>
      <c r="BK208" s="394" t="s">
        <v>113</v>
      </c>
      <c r="BL208" s="394" t="s">
        <v>113</v>
      </c>
      <c r="BM208" s="394" t="s">
        <v>113</v>
      </c>
      <c r="BN208" s="394" t="s">
        <v>113</v>
      </c>
      <c r="BO208" s="394" t="s">
        <v>113</v>
      </c>
      <c r="BP208" s="394" t="s">
        <v>113</v>
      </c>
      <c r="BQ208" s="394" t="s">
        <v>113</v>
      </c>
      <c r="BR208" s="394" t="s">
        <v>113</v>
      </c>
      <c r="BS208" s="394" t="s">
        <v>113</v>
      </c>
      <c r="BT208" s="394" t="s">
        <v>113</v>
      </c>
      <c r="BU208" s="394" t="s">
        <v>113</v>
      </c>
    </row>
    <row r="209" spans="2:73">
      <c r="B209" s="379" t="s">
        <v>64</v>
      </c>
      <c r="C209" s="382">
        <v>1.69</v>
      </c>
      <c r="D209" s="383">
        <v>45838</v>
      </c>
      <c r="E209" s="382">
        <v>10353.0941156144</v>
      </c>
      <c r="F209" s="394">
        <v>-0.009833</v>
      </c>
      <c r="G209" s="394">
        <v>0.026203</v>
      </c>
      <c r="H209" s="394">
        <v>0.04154</v>
      </c>
      <c r="I209" s="394">
        <v>0.009206</v>
      </c>
      <c r="J209" s="394">
        <v>0.114158</v>
      </c>
      <c r="K209" s="394">
        <v>0.13002</v>
      </c>
      <c r="L209" s="394" t="s">
        <v>113</v>
      </c>
      <c r="M209" s="34"/>
      <c r="N209" s="394">
        <v>0.027955</v>
      </c>
      <c r="O209" s="394">
        <v>0.107589676656459</v>
      </c>
      <c r="P209" s="394">
        <v>0.170086541097231</v>
      </c>
      <c r="Q209" s="394">
        <v>0.0547539719690504</v>
      </c>
      <c r="R209" s="394">
        <v>0.164697015858762</v>
      </c>
      <c r="S209" s="394">
        <v>0.155351766939929</v>
      </c>
      <c r="T209" s="394">
        <v>0.0795500000000001</v>
      </c>
      <c r="U209" s="394" t="s">
        <v>113</v>
      </c>
      <c r="V209" s="394" t="s">
        <v>113</v>
      </c>
      <c r="W209" s="394" t="s">
        <v>113</v>
      </c>
      <c r="X209" s="394" t="s">
        <v>113</v>
      </c>
      <c r="Y209" s="394" t="s">
        <v>113</v>
      </c>
      <c r="Z209" s="394" t="s">
        <v>113</v>
      </c>
      <c r="AA209" s="394"/>
      <c r="AB209" s="394"/>
      <c r="AC209" s="394"/>
      <c r="AN209" s="5">
        <v>0.81</v>
      </c>
      <c r="AO209" s="5">
        <v>0.67</v>
      </c>
      <c r="AP209" s="5">
        <v>23.28</v>
      </c>
      <c r="AQ209" s="5">
        <v>3.25</v>
      </c>
      <c r="AS209" s="379" t="s">
        <v>437</v>
      </c>
      <c r="AT209" s="382">
        <v>0.65</v>
      </c>
      <c r="AU209" s="383">
        <v>45716</v>
      </c>
      <c r="AV209" s="382">
        <v>5604.3653</v>
      </c>
      <c r="AW209" s="33"/>
      <c r="AX209" s="394">
        <v>0.030444</v>
      </c>
      <c r="AY209" s="394">
        <v>0.027959</v>
      </c>
      <c r="AZ209" s="394">
        <v>0.029591</v>
      </c>
      <c r="BA209" s="394">
        <v>0.091371</v>
      </c>
      <c r="BB209" s="394" t="s">
        <v>113</v>
      </c>
      <c r="BC209" s="394" t="s">
        <v>113</v>
      </c>
      <c r="BD209" s="394" t="s">
        <v>113</v>
      </c>
      <c r="BE209" s="34"/>
      <c r="BF209" s="394">
        <v>0.027959</v>
      </c>
      <c r="BG209" s="394">
        <v>0.113781283748885</v>
      </c>
      <c r="BH209" s="394">
        <v>0.06485</v>
      </c>
      <c r="BI209" s="394" t="s">
        <v>113</v>
      </c>
      <c r="BJ209" s="394" t="s">
        <v>113</v>
      </c>
      <c r="BK209" s="394" t="s">
        <v>113</v>
      </c>
      <c r="BL209" s="394" t="s">
        <v>113</v>
      </c>
      <c r="BM209" s="394" t="s">
        <v>113</v>
      </c>
      <c r="BN209" s="394" t="s">
        <v>113</v>
      </c>
      <c r="BO209" s="394" t="s">
        <v>113</v>
      </c>
      <c r="BP209" s="394" t="s">
        <v>113</v>
      </c>
      <c r="BQ209" s="394" t="s">
        <v>113</v>
      </c>
      <c r="BR209" s="394" t="s">
        <v>113</v>
      </c>
      <c r="BS209" s="394" t="s">
        <v>113</v>
      </c>
      <c r="BT209" s="394" t="s">
        <v>113</v>
      </c>
      <c r="BU209" s="394" t="s">
        <v>113</v>
      </c>
    </row>
    <row r="210" spans="2:73">
      <c r="B210" s="379" t="s">
        <v>438</v>
      </c>
      <c r="C210" s="382">
        <v>2.15</v>
      </c>
      <c r="D210" s="383">
        <v>45838</v>
      </c>
      <c r="E210" s="382">
        <v>1395.3116</v>
      </c>
      <c r="F210" s="394">
        <v>-0.006893</v>
      </c>
      <c r="G210" s="394">
        <v>0.030659</v>
      </c>
      <c r="H210" s="394">
        <v>0.057682</v>
      </c>
      <c r="I210" s="394">
        <v>0.017659</v>
      </c>
      <c r="J210" s="394">
        <v>0.104434</v>
      </c>
      <c r="K210" s="394">
        <v>0.11236</v>
      </c>
      <c r="L210" s="394" t="s">
        <v>113</v>
      </c>
      <c r="M210" s="34"/>
      <c r="N210" s="394">
        <v>0.031714</v>
      </c>
      <c r="O210" s="394">
        <v>0.100168823860439</v>
      </c>
      <c r="P210" s="394">
        <v>0.155396618985696</v>
      </c>
      <c r="Q210" s="394">
        <v>0.0253333333333334</v>
      </c>
      <c r="R210" s="394">
        <v>0.0940919037199124</v>
      </c>
      <c r="S210" s="394">
        <v>0.219750889679715</v>
      </c>
      <c r="T210" s="394">
        <v>0.0998043052837573</v>
      </c>
      <c r="U210" s="394">
        <v>0.0220000000000001</v>
      </c>
      <c r="V210" s="394">
        <v>0</v>
      </c>
      <c r="W210" s="394" t="s">
        <v>113</v>
      </c>
      <c r="X210" s="394" t="s">
        <v>113</v>
      </c>
      <c r="Y210" s="394" t="s">
        <v>113</v>
      </c>
      <c r="Z210" s="394" t="s">
        <v>113</v>
      </c>
      <c r="AA210" s="394"/>
      <c r="AB210" s="394"/>
      <c r="AC210" s="394"/>
      <c r="AS210" s="379" t="s">
        <v>439</v>
      </c>
      <c r="AT210" s="382">
        <v>0.97</v>
      </c>
      <c r="AU210" s="383">
        <v>45716</v>
      </c>
      <c r="AV210" s="382">
        <v>1207.0483964707</v>
      </c>
      <c r="AW210" s="33"/>
      <c r="AX210" s="394">
        <v>0.024965</v>
      </c>
      <c r="AY210" s="394">
        <v>0.031288</v>
      </c>
      <c r="AZ210" s="394">
        <v>0.044289</v>
      </c>
      <c r="BA210" s="394">
        <v>0.098277</v>
      </c>
      <c r="BB210" s="394">
        <v>0.072787</v>
      </c>
      <c r="BC210" s="394">
        <v>0.05703</v>
      </c>
      <c r="BD210" s="394">
        <v>0.07293</v>
      </c>
      <c r="BE210" s="34"/>
      <c r="BF210" s="394">
        <v>0.031288</v>
      </c>
      <c r="BG210" s="394">
        <v>0.101126153491971</v>
      </c>
      <c r="BH210" s="394">
        <v>0.0682500081977068</v>
      </c>
      <c r="BI210" s="394">
        <v>0.0125532968659644</v>
      </c>
      <c r="BJ210" s="394">
        <v>0.00401557336859526</v>
      </c>
      <c r="BK210" s="394">
        <v>0.110242898934242</v>
      </c>
      <c r="BL210" s="394">
        <v>0.12133101847849</v>
      </c>
      <c r="BM210" s="394">
        <v>0.0678970169484014</v>
      </c>
      <c r="BN210" s="394">
        <v>0.0412379657705849</v>
      </c>
      <c r="BO210" s="394">
        <v>0.157454432154541</v>
      </c>
      <c r="BP210" s="394">
        <v>0.0508332670711002</v>
      </c>
      <c r="BQ210" s="394">
        <v>0.169203257190045</v>
      </c>
      <c r="BR210" s="394">
        <v>0.00857684967623082</v>
      </c>
      <c r="BS210" s="394">
        <v>0.102149867627972</v>
      </c>
      <c r="BT210" s="394">
        <v>0.0697106552606509</v>
      </c>
      <c r="BU210" s="394">
        <v>0.0295242972915977</v>
      </c>
    </row>
    <row r="211" spans="2:73">
      <c r="B211" s="379" t="s">
        <v>440</v>
      </c>
      <c r="C211" s="382">
        <v>2.05</v>
      </c>
      <c r="D211" s="383">
        <v>45838</v>
      </c>
      <c r="E211" s="382">
        <v>1654.0077</v>
      </c>
      <c r="F211" s="394">
        <v>-0.009145</v>
      </c>
      <c r="G211" s="394">
        <v>0.033979</v>
      </c>
      <c r="H211" s="394">
        <v>0.068031</v>
      </c>
      <c r="I211" s="394">
        <v>0.07091</v>
      </c>
      <c r="J211" s="394" t="s">
        <v>113</v>
      </c>
      <c r="K211" s="394" t="s">
        <v>113</v>
      </c>
      <c r="L211" s="394" t="s">
        <v>113</v>
      </c>
      <c r="M211" s="34"/>
      <c r="N211" s="394">
        <v>0.043332</v>
      </c>
      <c r="O211" s="394">
        <v>0.16763202725724</v>
      </c>
      <c r="P211" s="394">
        <v>0.174</v>
      </c>
      <c r="Q211" s="394" t="s">
        <v>113</v>
      </c>
      <c r="R211" s="394" t="s">
        <v>113</v>
      </c>
      <c r="S211" s="394" t="s">
        <v>113</v>
      </c>
      <c r="T211" s="394" t="s">
        <v>113</v>
      </c>
      <c r="U211" s="394" t="s">
        <v>113</v>
      </c>
      <c r="V211" s="394" t="s">
        <v>113</v>
      </c>
      <c r="W211" s="394" t="s">
        <v>113</v>
      </c>
      <c r="X211" s="394" t="s">
        <v>113</v>
      </c>
      <c r="Y211" s="394" t="s">
        <v>113</v>
      </c>
      <c r="Z211" s="394" t="s">
        <v>113</v>
      </c>
      <c r="AA211" s="394"/>
      <c r="AB211" s="394"/>
      <c r="AC211" s="394"/>
      <c r="AS211" s="379" t="s">
        <v>441</v>
      </c>
      <c r="AT211" s="382">
        <v>0.62</v>
      </c>
      <c r="AU211" s="383">
        <v>45716</v>
      </c>
      <c r="AV211" s="382">
        <v>148.892</v>
      </c>
      <c r="AW211" s="33"/>
      <c r="AX211" s="394">
        <v>0.030616</v>
      </c>
      <c r="AY211" s="394">
        <v>0.029457</v>
      </c>
      <c r="AZ211" s="394">
        <v>0.031807</v>
      </c>
      <c r="BA211" s="394">
        <v>0.094458</v>
      </c>
      <c r="BB211" s="394" t="s">
        <v>113</v>
      </c>
      <c r="BC211" s="394" t="s">
        <v>113</v>
      </c>
      <c r="BD211" s="394" t="s">
        <v>113</v>
      </c>
      <c r="BE211" s="34"/>
      <c r="BF211" s="394">
        <v>0.029457</v>
      </c>
      <c r="BG211" s="394">
        <v>0.06699</v>
      </c>
      <c r="BH211" s="394" t="s">
        <v>113</v>
      </c>
      <c r="BI211" s="394" t="s">
        <v>113</v>
      </c>
      <c r="BJ211" s="394" t="s">
        <v>113</v>
      </c>
      <c r="BK211" s="394" t="s">
        <v>113</v>
      </c>
      <c r="BL211" s="394" t="s">
        <v>113</v>
      </c>
      <c r="BM211" s="394" t="s">
        <v>113</v>
      </c>
      <c r="BN211" s="394" t="s">
        <v>113</v>
      </c>
      <c r="BO211" s="394" t="s">
        <v>113</v>
      </c>
      <c r="BP211" s="394" t="s">
        <v>113</v>
      </c>
      <c r="BQ211" s="394" t="s">
        <v>113</v>
      </c>
      <c r="BR211" s="394" t="s">
        <v>113</v>
      </c>
      <c r="BS211" s="394" t="s">
        <v>113</v>
      </c>
      <c r="BT211" s="394" t="s">
        <v>113</v>
      </c>
      <c r="BU211" s="394" t="s">
        <v>113</v>
      </c>
    </row>
    <row r="212" spans="2:73">
      <c r="B212" s="379" t="s">
        <v>442</v>
      </c>
      <c r="C212" s="382">
        <v>1.9</v>
      </c>
      <c r="D212" s="383">
        <v>45838</v>
      </c>
      <c r="E212" s="382">
        <v>3453.7215</v>
      </c>
      <c r="F212" s="394">
        <v>0.000399</v>
      </c>
      <c r="G212" s="394">
        <v>0.025193</v>
      </c>
      <c r="H212" s="394">
        <v>0.054303</v>
      </c>
      <c r="I212" s="394">
        <v>0.058435</v>
      </c>
      <c r="J212" s="394">
        <v>0.115537</v>
      </c>
      <c r="K212" s="394">
        <v>0.109321</v>
      </c>
      <c r="L212" s="394">
        <v>0.089706</v>
      </c>
      <c r="M212" s="34"/>
      <c r="N212" s="394">
        <v>0.050204</v>
      </c>
      <c r="O212" s="394">
        <v>0.123709573784536</v>
      </c>
      <c r="P212" s="394">
        <v>0.170644870123358</v>
      </c>
      <c r="Q212" s="394">
        <v>0.000752747528478977</v>
      </c>
      <c r="R212" s="394">
        <v>0.0930883159626988</v>
      </c>
      <c r="S212" s="394">
        <v>0.129282041751843</v>
      </c>
      <c r="T212" s="394">
        <v>0.0879498584714922</v>
      </c>
      <c r="U212" s="394">
        <v>0.0361008309475595</v>
      </c>
      <c r="V212" s="394">
        <v>0.125165973962712</v>
      </c>
      <c r="W212" s="394">
        <v>0.0766829647926641</v>
      </c>
      <c r="X212" s="394">
        <v>0.0447085855684681</v>
      </c>
      <c r="Y212" s="394">
        <v>0.13155</v>
      </c>
      <c r="Z212" s="394" t="s">
        <v>113</v>
      </c>
      <c r="AA212" s="394"/>
      <c r="AB212" s="394"/>
      <c r="AC212" s="394"/>
      <c r="AS212" s="379" t="s">
        <v>443</v>
      </c>
      <c r="AT212" s="382">
        <v>0.76</v>
      </c>
      <c r="AU212" s="383">
        <v>45716</v>
      </c>
      <c r="AV212" s="382">
        <v>36.79647855</v>
      </c>
      <c r="AW212" s="33"/>
      <c r="AX212" s="394">
        <v>0.029207</v>
      </c>
      <c r="AY212" s="394">
        <v>0.027696</v>
      </c>
      <c r="AZ212" s="394" t="s">
        <v>113</v>
      </c>
      <c r="BA212" s="394" t="s">
        <v>113</v>
      </c>
      <c r="BB212" s="394" t="s">
        <v>113</v>
      </c>
      <c r="BC212" s="394" t="s">
        <v>113</v>
      </c>
      <c r="BD212" s="394" t="s">
        <v>113</v>
      </c>
      <c r="BE212" s="34"/>
      <c r="BF212" s="394">
        <v>0.027696</v>
      </c>
      <c r="BG212" s="394">
        <v>0.00122999999999998</v>
      </c>
      <c r="BH212" s="394" t="s">
        <v>113</v>
      </c>
      <c r="BI212" s="394" t="s">
        <v>113</v>
      </c>
      <c r="BJ212" s="394" t="s">
        <v>113</v>
      </c>
      <c r="BK212" s="394" t="s">
        <v>113</v>
      </c>
      <c r="BL212" s="394" t="s">
        <v>113</v>
      </c>
      <c r="BM212" s="394" t="s">
        <v>113</v>
      </c>
      <c r="BN212" s="394" t="s">
        <v>113</v>
      </c>
      <c r="BO212" s="394" t="s">
        <v>113</v>
      </c>
      <c r="BP212" s="394" t="s">
        <v>113</v>
      </c>
      <c r="BQ212" s="394" t="s">
        <v>113</v>
      </c>
      <c r="BR212" s="394" t="s">
        <v>113</v>
      </c>
      <c r="BS212" s="394" t="s">
        <v>113</v>
      </c>
      <c r="BT212" s="394" t="s">
        <v>113</v>
      </c>
      <c r="BU212" s="394" t="s">
        <v>113</v>
      </c>
    </row>
    <row r="213" spans="2:73">
      <c r="B213" s="379" t="s">
        <v>66</v>
      </c>
      <c r="C213" s="382">
        <v>1.68</v>
      </c>
      <c r="D213" s="383">
        <v>45838</v>
      </c>
      <c r="E213" s="382">
        <v>13046.9552</v>
      </c>
      <c r="F213" s="394">
        <v>-0.020448</v>
      </c>
      <c r="G213" s="394">
        <v>0.025484</v>
      </c>
      <c r="H213" s="394">
        <v>0.044002</v>
      </c>
      <c r="I213" s="394">
        <v>-0.000199</v>
      </c>
      <c r="J213" s="394">
        <v>0.12387</v>
      </c>
      <c r="K213" s="394">
        <v>0.141532</v>
      </c>
      <c r="L213" s="394">
        <v>0.100384</v>
      </c>
      <c r="M213" s="34"/>
      <c r="N213" s="394">
        <v>0.02132</v>
      </c>
      <c r="O213" s="394">
        <v>0.130624426078971</v>
      </c>
      <c r="P213" s="394">
        <v>0.187892009817289</v>
      </c>
      <c r="Q213" s="394">
        <v>0.0214484679665739</v>
      </c>
      <c r="R213" s="394">
        <v>0.187562024478994</v>
      </c>
      <c r="S213" s="394">
        <v>0.226369168356998</v>
      </c>
      <c r="T213" s="394">
        <v>0.0778312199387843</v>
      </c>
      <c r="U213" s="394">
        <v>0.0187082405345212</v>
      </c>
      <c r="V213" s="394">
        <v>0.238962472406181</v>
      </c>
      <c r="W213" s="394">
        <v>-0.0152173913043477</v>
      </c>
      <c r="X213" s="394">
        <v>0.0372040586245772</v>
      </c>
      <c r="Y213" s="394">
        <v>0.290181818181818</v>
      </c>
      <c r="Z213" s="394">
        <v>0.0938743038981702</v>
      </c>
      <c r="AA213" s="394"/>
      <c r="AB213" s="394"/>
      <c r="AC213" s="394"/>
      <c r="AN213" s="5">
        <v>0.73</v>
      </c>
      <c r="AO213" s="5">
        <v>0.82</v>
      </c>
      <c r="AP213" s="5">
        <v>22.65</v>
      </c>
      <c r="AQ213" s="5">
        <v>3.56</v>
      </c>
      <c r="AS213" s="379" t="s">
        <v>444</v>
      </c>
      <c r="AT213" s="382">
        <v>0.62</v>
      </c>
      <c r="AU213" s="383">
        <v>45716</v>
      </c>
      <c r="AV213" s="382">
        <v>9489.0931</v>
      </c>
      <c r="AW213" s="33"/>
      <c r="AX213" s="394">
        <v>0.023208</v>
      </c>
      <c r="AY213" s="394">
        <v>0.029094</v>
      </c>
      <c r="AZ213" s="394">
        <v>0.03419</v>
      </c>
      <c r="BA213" s="394">
        <v>0.095567</v>
      </c>
      <c r="BB213" s="394">
        <v>0.079124</v>
      </c>
      <c r="BC213" s="394">
        <v>0.063706</v>
      </c>
      <c r="BD213" s="394" t="s">
        <v>113</v>
      </c>
      <c r="BE213" s="34"/>
      <c r="BF213" s="394">
        <v>0.029094</v>
      </c>
      <c r="BG213" s="394">
        <v>0.113060012805836</v>
      </c>
      <c r="BH213" s="394">
        <v>0.0725448983414147</v>
      </c>
      <c r="BI213" s="394">
        <v>0.0241111071644231</v>
      </c>
      <c r="BJ213" s="394">
        <v>0.00822971579188622</v>
      </c>
      <c r="BK213" s="394">
        <v>0.134277914987651</v>
      </c>
      <c r="BL213" s="394">
        <v>0.12722077731785</v>
      </c>
      <c r="BM213" s="394">
        <v>0.0919600000000001</v>
      </c>
      <c r="BN213" s="394" t="s">
        <v>113</v>
      </c>
      <c r="BO213" s="394" t="s">
        <v>113</v>
      </c>
      <c r="BP213" s="394" t="s">
        <v>113</v>
      </c>
      <c r="BQ213" s="394" t="s">
        <v>113</v>
      </c>
      <c r="BR213" s="394" t="s">
        <v>113</v>
      </c>
      <c r="BS213" s="394" t="s">
        <v>113</v>
      </c>
      <c r="BT213" s="394" t="s">
        <v>113</v>
      </c>
      <c r="BU213" s="394" t="s">
        <v>113</v>
      </c>
    </row>
    <row r="214" spans="2:73">
      <c r="B214" s="379" t="s">
        <v>445</v>
      </c>
      <c r="C214" s="382">
        <v>1.93</v>
      </c>
      <c r="D214" s="383">
        <v>45838</v>
      </c>
      <c r="E214" s="382">
        <v>2737.640097164</v>
      </c>
      <c r="F214" s="394">
        <v>-0.005974</v>
      </c>
      <c r="G214" s="394">
        <v>0.026284</v>
      </c>
      <c r="H214" s="394">
        <v>0.050736</v>
      </c>
      <c r="I214" s="394">
        <v>0.039951</v>
      </c>
      <c r="J214" s="394" t="s">
        <v>113</v>
      </c>
      <c r="K214" s="394" t="s">
        <v>113</v>
      </c>
      <c r="L214" s="394" t="s">
        <v>113</v>
      </c>
      <c r="M214" s="34"/>
      <c r="N214" s="394">
        <v>0.027509</v>
      </c>
      <c r="O214" s="394">
        <v>0.153533504814668</v>
      </c>
      <c r="P214" s="394">
        <v>0.189794697244647</v>
      </c>
      <c r="Q214" s="394">
        <v>0.0194699999999999</v>
      </c>
      <c r="R214" s="394" t="s">
        <v>113</v>
      </c>
      <c r="S214" s="394" t="s">
        <v>113</v>
      </c>
      <c r="T214" s="394" t="s">
        <v>113</v>
      </c>
      <c r="U214" s="394" t="s">
        <v>113</v>
      </c>
      <c r="V214" s="394" t="s">
        <v>113</v>
      </c>
      <c r="W214" s="394" t="s">
        <v>113</v>
      </c>
      <c r="X214" s="394" t="s">
        <v>113</v>
      </c>
      <c r="Y214" s="394" t="s">
        <v>113</v>
      </c>
      <c r="Z214" s="394" t="s">
        <v>113</v>
      </c>
      <c r="AA214" s="394"/>
      <c r="AB214" s="394"/>
      <c r="AC214" s="394"/>
      <c r="AS214" s="379" t="s">
        <v>446</v>
      </c>
      <c r="AT214" s="382">
        <v>0.66</v>
      </c>
      <c r="AU214" s="383">
        <v>45716</v>
      </c>
      <c r="AV214" s="382">
        <v>2901.2718</v>
      </c>
      <c r="AW214" s="33"/>
      <c r="AX214" s="394">
        <v>0.028742</v>
      </c>
      <c r="AY214" s="394">
        <v>0.027772</v>
      </c>
      <c r="AZ214" s="394">
        <v>0.029534</v>
      </c>
      <c r="BA214" s="394">
        <v>0.0905</v>
      </c>
      <c r="BB214" s="394" t="s">
        <v>113</v>
      </c>
      <c r="BC214" s="394" t="s">
        <v>113</v>
      </c>
      <c r="BD214" s="394" t="s">
        <v>113</v>
      </c>
      <c r="BE214" s="34"/>
      <c r="BF214" s="394">
        <v>0.027772</v>
      </c>
      <c r="BG214" s="394">
        <v>0.112063680778733</v>
      </c>
      <c r="BH214" s="394">
        <v>0.0781941634786788</v>
      </c>
      <c r="BI214" s="394">
        <v>-0.00145999999999997</v>
      </c>
      <c r="BJ214" s="394" t="s">
        <v>113</v>
      </c>
      <c r="BK214" s="394" t="s">
        <v>113</v>
      </c>
      <c r="BL214" s="394" t="s">
        <v>113</v>
      </c>
      <c r="BM214" s="394" t="s">
        <v>113</v>
      </c>
      <c r="BN214" s="394" t="s">
        <v>113</v>
      </c>
      <c r="BO214" s="394" t="s">
        <v>113</v>
      </c>
      <c r="BP214" s="394" t="s">
        <v>113</v>
      </c>
      <c r="BQ214" s="394" t="s">
        <v>113</v>
      </c>
      <c r="BR214" s="394" t="s">
        <v>113</v>
      </c>
      <c r="BS214" s="394" t="s">
        <v>113</v>
      </c>
      <c r="BT214" s="394" t="s">
        <v>113</v>
      </c>
      <c r="BU214" s="394" t="s">
        <v>113</v>
      </c>
    </row>
    <row r="215" ht="14.55" spans="2:73">
      <c r="B215" s="379" t="s">
        <v>447</v>
      </c>
      <c r="C215" s="382">
        <v>2.41</v>
      </c>
      <c r="D215" s="383">
        <v>45838</v>
      </c>
      <c r="E215" s="382">
        <v>313.348227778</v>
      </c>
      <c r="F215" s="394">
        <v>-0.009709</v>
      </c>
      <c r="G215" s="394">
        <v>0.037928</v>
      </c>
      <c r="H215" s="394">
        <v>0.054511</v>
      </c>
      <c r="I215" s="394">
        <v>0.015385</v>
      </c>
      <c r="J215" s="394" t="s">
        <v>113</v>
      </c>
      <c r="K215" s="394" t="s">
        <v>113</v>
      </c>
      <c r="L215" s="394" t="s">
        <v>113</v>
      </c>
      <c r="M215" s="34"/>
      <c r="N215" s="394">
        <v>0.006278</v>
      </c>
      <c r="O215" s="394">
        <v>0.115</v>
      </c>
      <c r="P215" s="394" t="s">
        <v>113</v>
      </c>
      <c r="Q215" s="394" t="s">
        <v>113</v>
      </c>
      <c r="R215" s="394" t="s">
        <v>113</v>
      </c>
      <c r="S215" s="394" t="s">
        <v>113</v>
      </c>
      <c r="T215" s="394" t="s">
        <v>113</v>
      </c>
      <c r="U215" s="394" t="s">
        <v>113</v>
      </c>
      <c r="V215" s="394" t="s">
        <v>113</v>
      </c>
      <c r="W215" s="394" t="s">
        <v>113</v>
      </c>
      <c r="X215" s="394" t="s">
        <v>113</v>
      </c>
      <c r="Y215" s="394" t="s">
        <v>113</v>
      </c>
      <c r="Z215" s="394" t="s">
        <v>113</v>
      </c>
      <c r="AA215" s="394"/>
      <c r="AB215" s="394"/>
      <c r="AC215" s="394"/>
      <c r="AS215" s="379" t="s">
        <v>448</v>
      </c>
      <c r="AT215" s="382">
        <v>1.5</v>
      </c>
      <c r="AU215" s="383">
        <v>45716</v>
      </c>
      <c r="AV215" s="382">
        <v>119.6313</v>
      </c>
      <c r="AW215" s="33"/>
      <c r="AX215" s="394">
        <v>0.030904</v>
      </c>
      <c r="AY215" s="394">
        <v>0.027485</v>
      </c>
      <c r="AZ215" s="394">
        <v>0.028521</v>
      </c>
      <c r="BA215" s="394">
        <v>0.083282</v>
      </c>
      <c r="BB215" s="394" t="s">
        <v>113</v>
      </c>
      <c r="BC215" s="394" t="s">
        <v>113</v>
      </c>
      <c r="BD215" s="394" t="s">
        <v>113</v>
      </c>
      <c r="BE215" s="34"/>
      <c r="BF215" s="394">
        <v>0.027485</v>
      </c>
      <c r="BG215" s="394">
        <v>0.102658346867254</v>
      </c>
      <c r="BH215" s="394">
        <v>0.05291</v>
      </c>
      <c r="BI215" s="394" t="s">
        <v>113</v>
      </c>
      <c r="BJ215" s="394" t="s">
        <v>113</v>
      </c>
      <c r="BK215" s="394" t="s">
        <v>113</v>
      </c>
      <c r="BL215" s="394" t="s">
        <v>113</v>
      </c>
      <c r="BM215" s="394" t="s">
        <v>113</v>
      </c>
      <c r="BN215" s="394" t="s">
        <v>113</v>
      </c>
      <c r="BO215" s="394" t="s">
        <v>113</v>
      </c>
      <c r="BP215" s="394" t="s">
        <v>113</v>
      </c>
      <c r="BQ215" s="394" t="s">
        <v>113</v>
      </c>
      <c r="BR215" s="394" t="s">
        <v>113</v>
      </c>
      <c r="BS215" s="394" t="s">
        <v>113</v>
      </c>
      <c r="BT215" s="394" t="s">
        <v>113</v>
      </c>
      <c r="BU215" s="394" t="s">
        <v>113</v>
      </c>
    </row>
    <row r="216" ht="14.55" spans="2:73">
      <c r="B216" s="379" t="s">
        <v>449</v>
      </c>
      <c r="C216" s="382">
        <v>2.09</v>
      </c>
      <c r="D216" s="383">
        <v>45838</v>
      </c>
      <c r="E216" s="382">
        <v>1024.3373</v>
      </c>
      <c r="F216" s="394">
        <v>-0.011029</v>
      </c>
      <c r="G216" s="394">
        <v>0.033026</v>
      </c>
      <c r="H216" s="394">
        <v>0.04203</v>
      </c>
      <c r="I216" s="394">
        <v>0.030059</v>
      </c>
      <c r="J216" s="394">
        <v>0.140046</v>
      </c>
      <c r="K216" s="394">
        <v>0.127469</v>
      </c>
      <c r="L216" s="394">
        <v>0.090865</v>
      </c>
      <c r="M216" s="34"/>
      <c r="N216" s="394">
        <v>0.011088</v>
      </c>
      <c r="O216" s="394">
        <v>0.158754355400697</v>
      </c>
      <c r="P216" s="394">
        <v>0.201465201465202</v>
      </c>
      <c r="Q216" s="394">
        <v>0.0405662945820855</v>
      </c>
      <c r="R216" s="394">
        <v>0.1311980289498</v>
      </c>
      <c r="S216" s="394">
        <v>0.0783792759880438</v>
      </c>
      <c r="T216" s="394">
        <v>0.0905469032959073</v>
      </c>
      <c r="U216" s="394">
        <v>-0.0459571527297858</v>
      </c>
      <c r="V216" s="394">
        <v>0.30477908025248</v>
      </c>
      <c r="W216" s="394">
        <v>0.0273274664196387</v>
      </c>
      <c r="X216" s="394">
        <v>0.054714215925745</v>
      </c>
      <c r="Y216" s="394">
        <v>0.254289215686274</v>
      </c>
      <c r="Z216" s="394">
        <v>0.192982456140351</v>
      </c>
      <c r="AA216" s="394"/>
      <c r="AB216" s="394"/>
      <c r="AC216" s="394"/>
      <c r="AS216" s="4" t="s">
        <v>146</v>
      </c>
      <c r="AT216"/>
      <c r="AU216"/>
      <c r="AV216"/>
      <c r="AW216" s="395"/>
      <c r="AX216" s="396">
        <f t="shared" ref="AX216:BD216" si="29">AVERAGE(AX205:AX215)</f>
        <v>0.0280822727272727</v>
      </c>
      <c r="AY216" s="396">
        <f t="shared" si="29"/>
        <v>0.0284214545454545</v>
      </c>
      <c r="AZ216" s="396">
        <f t="shared" si="29"/>
        <v>0.0321824444444444</v>
      </c>
      <c r="BA216" s="396">
        <f t="shared" si="29"/>
        <v>0.0922678888888889</v>
      </c>
      <c r="BB216" s="396">
        <f t="shared" si="29"/>
        <v>0.0759555</v>
      </c>
      <c r="BC216" s="396">
        <f t="shared" si="29"/>
        <v>0.060368</v>
      </c>
      <c r="BD216" s="396">
        <f t="shared" si="29"/>
        <v>0.07293</v>
      </c>
      <c r="BE216" s="395"/>
      <c r="BF216" s="396">
        <f t="shared" ref="BF216:BU216" si="30">AVERAGE(BF205:BF215)</f>
        <v>0.0284214545454545</v>
      </c>
      <c r="BG216" s="396">
        <f t="shared" si="30"/>
        <v>0.0815813065474059</v>
      </c>
      <c r="BH216" s="396">
        <f t="shared" si="30"/>
        <v>0.0687101076987433</v>
      </c>
      <c r="BI216" s="396">
        <f t="shared" si="30"/>
        <v>0.0146414408060775</v>
      </c>
      <c r="BJ216" s="396">
        <f t="shared" si="30"/>
        <v>0.00612264458024074</v>
      </c>
      <c r="BK216" s="396">
        <f t="shared" si="30"/>
        <v>0.122260406960946</v>
      </c>
      <c r="BL216" s="396">
        <f t="shared" si="30"/>
        <v>0.12427589789817</v>
      </c>
      <c r="BM216" s="396">
        <f t="shared" si="30"/>
        <v>0.0799285084742007</v>
      </c>
      <c r="BN216" s="396">
        <f t="shared" si="30"/>
        <v>0.0412379657705849</v>
      </c>
      <c r="BO216" s="396">
        <f t="shared" si="30"/>
        <v>0.157454432154541</v>
      </c>
      <c r="BP216" s="396">
        <f t="shared" si="30"/>
        <v>0.0508332670711002</v>
      </c>
      <c r="BQ216" s="396">
        <f t="shared" si="30"/>
        <v>0.169203257190045</v>
      </c>
      <c r="BR216" s="396">
        <f t="shared" si="30"/>
        <v>0.00857684967623082</v>
      </c>
      <c r="BS216" s="396">
        <f t="shared" si="30"/>
        <v>0.102149867627972</v>
      </c>
      <c r="BT216" s="396">
        <f t="shared" si="30"/>
        <v>0.0697106552606509</v>
      </c>
      <c r="BU216" s="396">
        <f t="shared" si="30"/>
        <v>0.0295242972915977</v>
      </c>
    </row>
    <row r="217" spans="2:73">
      <c r="B217" s="379" t="s">
        <v>450</v>
      </c>
      <c r="C217" s="382">
        <v>2.05</v>
      </c>
      <c r="D217" s="383">
        <v>45838</v>
      </c>
      <c r="E217" s="382">
        <v>1899.1373</v>
      </c>
      <c r="F217" s="394">
        <v>-0.008655</v>
      </c>
      <c r="G217" s="394">
        <v>0.03383</v>
      </c>
      <c r="H217" s="394">
        <v>0.063647</v>
      </c>
      <c r="I217" s="394">
        <v>0.041473</v>
      </c>
      <c r="J217" s="394" t="s">
        <v>113</v>
      </c>
      <c r="K217" s="394" t="s">
        <v>113</v>
      </c>
      <c r="L217" s="394" t="s">
        <v>113</v>
      </c>
      <c r="M217" s="34"/>
      <c r="N217" s="394">
        <v>0.050324</v>
      </c>
      <c r="O217" s="394">
        <v>0.11145177328472</v>
      </c>
      <c r="P217" s="394">
        <v>0.18174696435566</v>
      </c>
      <c r="Q217" s="394">
        <v>0.0212</v>
      </c>
      <c r="R217" s="394" t="s">
        <v>113</v>
      </c>
      <c r="S217" s="394" t="s">
        <v>113</v>
      </c>
      <c r="T217" s="394" t="s">
        <v>113</v>
      </c>
      <c r="U217" s="394" t="s">
        <v>113</v>
      </c>
      <c r="V217" s="394" t="s">
        <v>113</v>
      </c>
      <c r="W217" s="394" t="s">
        <v>113</v>
      </c>
      <c r="X217" s="394" t="s">
        <v>113</v>
      </c>
      <c r="Y217" s="394" t="s">
        <v>113</v>
      </c>
      <c r="Z217" s="394" t="s">
        <v>113</v>
      </c>
      <c r="AA217" s="394"/>
      <c r="AB217" s="394"/>
      <c r="AC217" s="394"/>
      <c r="AS217" s="4" t="s">
        <v>162</v>
      </c>
      <c r="AT217"/>
      <c r="AU217"/>
      <c r="AV217"/>
      <c r="AW217"/>
      <c r="AX217" s="397">
        <v>0.0087263867959253</v>
      </c>
      <c r="AY217" s="397">
        <v>0.0207643930788102</v>
      </c>
      <c r="AZ217" s="397">
        <v>0.0377184412193585</v>
      </c>
      <c r="BA217" s="397">
        <v>0.080280059411505</v>
      </c>
      <c r="BB217" s="397">
        <v>0.0659301709109001</v>
      </c>
      <c r="BC217" s="397">
        <v>0.0655149768088614</v>
      </c>
      <c r="BD217" s="397">
        <v>0.0738047315298365</v>
      </c>
      <c r="BE217" s="400"/>
      <c r="BF217" s="397">
        <v>0.0207643930788102</v>
      </c>
      <c r="BG217" s="397">
        <v>0.0797029257152309</v>
      </c>
      <c r="BH217" s="397">
        <v>0.0725988870220093</v>
      </c>
      <c r="BI217" s="397">
        <v>0.0358682288812193</v>
      </c>
      <c r="BJ217" s="397">
        <v>0.0437965988907254</v>
      </c>
      <c r="BK217" s="397">
        <v>0.104161972570555</v>
      </c>
      <c r="BL217" s="397">
        <v>0.0953364838894115</v>
      </c>
      <c r="BM217" s="397">
        <v>0.0665068187794211</v>
      </c>
      <c r="BN217" s="397">
        <v>0.0602957159773323</v>
      </c>
      <c r="BO217" s="397">
        <v>0.0986738756953636</v>
      </c>
      <c r="BP217" s="397">
        <v>0.0865549936165921</v>
      </c>
      <c r="BQ217" s="397">
        <v>0.104681934209951</v>
      </c>
      <c r="BR217" s="397">
        <v>0.0827206164504672</v>
      </c>
      <c r="BS217" s="397">
        <v>0.0912371315059957</v>
      </c>
      <c r="BT217" s="397">
        <v>0.0786771029274067</v>
      </c>
      <c r="BU217" s="397">
        <v>0.0470040326565153</v>
      </c>
    </row>
    <row r="218" ht="14.55" spans="2:73">
      <c r="B218" s="379" t="s">
        <v>451</v>
      </c>
      <c r="C218" s="382">
        <v>2.24</v>
      </c>
      <c r="D218" s="383">
        <v>45838</v>
      </c>
      <c r="E218" s="382">
        <v>913.1023</v>
      </c>
      <c r="F218" s="394">
        <v>0.006885</v>
      </c>
      <c r="G218" s="394">
        <v>0.088681</v>
      </c>
      <c r="H218" s="394">
        <v>0.028317</v>
      </c>
      <c r="I218" s="394">
        <v>-0.105971</v>
      </c>
      <c r="J218" s="394">
        <v>0.090867</v>
      </c>
      <c r="K218" s="394">
        <v>0.079296</v>
      </c>
      <c r="L218" s="394" t="s">
        <v>113</v>
      </c>
      <c r="M218" s="34"/>
      <c r="N218" s="394">
        <v>-0.0547</v>
      </c>
      <c r="O218" s="394">
        <v>0.0936573424359771</v>
      </c>
      <c r="P218" s="394">
        <v>0.241042899795715</v>
      </c>
      <c r="Q218" s="394">
        <v>-0.0110788078140884</v>
      </c>
      <c r="R218" s="394">
        <v>0.0740668618600866</v>
      </c>
      <c r="S218" s="394">
        <v>0.0880165257988604</v>
      </c>
      <c r="T218" s="394">
        <v>0.109043914637933</v>
      </c>
      <c r="U218" s="394">
        <v>-0.00842930368792439</v>
      </c>
      <c r="V218" s="394">
        <v>0.24391632422809</v>
      </c>
      <c r="W218" s="394">
        <v>-0.0338900000000001</v>
      </c>
      <c r="X218" s="394" t="s">
        <v>113</v>
      </c>
      <c r="Y218" s="394" t="s">
        <v>113</v>
      </c>
      <c r="Z218" s="394" t="s">
        <v>113</v>
      </c>
      <c r="AA218" s="394"/>
      <c r="AB218" s="394"/>
      <c r="AC218" s="394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</row>
    <row r="219" ht="14.55" spans="2:73">
      <c r="B219" s="379" t="s">
        <v>452</v>
      </c>
      <c r="C219" s="382">
        <v>0.63</v>
      </c>
      <c r="D219" s="383">
        <v>45838</v>
      </c>
      <c r="E219" s="382">
        <v>2238.3492</v>
      </c>
      <c r="F219" s="394">
        <v>0.004483</v>
      </c>
      <c r="G219" s="394">
        <v>0.014603</v>
      </c>
      <c r="H219" s="394">
        <v>0.040255</v>
      </c>
      <c r="I219" s="394">
        <v>0.060464</v>
      </c>
      <c r="J219" s="394" t="s">
        <v>113</v>
      </c>
      <c r="K219" s="394" t="s">
        <v>113</v>
      </c>
      <c r="L219" s="394" t="s">
        <v>113</v>
      </c>
      <c r="M219" s="34"/>
      <c r="N219" s="394">
        <v>0.045839</v>
      </c>
      <c r="O219" s="394">
        <v>0.0862</v>
      </c>
      <c r="P219" s="394" t="s">
        <v>113</v>
      </c>
      <c r="Q219" s="394" t="s">
        <v>113</v>
      </c>
      <c r="R219" s="394" t="s">
        <v>113</v>
      </c>
      <c r="S219" s="394" t="s">
        <v>113</v>
      </c>
      <c r="T219" s="394" t="s">
        <v>113</v>
      </c>
      <c r="U219" s="394" t="s">
        <v>113</v>
      </c>
      <c r="V219" s="394" t="s">
        <v>113</v>
      </c>
      <c r="W219" s="394" t="s">
        <v>113</v>
      </c>
      <c r="X219" s="394" t="s">
        <v>113</v>
      </c>
      <c r="Y219" s="394" t="s">
        <v>113</v>
      </c>
      <c r="Z219" s="394" t="s">
        <v>113</v>
      </c>
      <c r="AA219" s="394"/>
      <c r="AB219" s="394"/>
      <c r="AC219" s="394"/>
      <c r="AS219" s="350" t="s">
        <v>453</v>
      </c>
      <c r="AT219" s="369" t="s">
        <v>16</v>
      </c>
      <c r="AU219" s="411" t="s">
        <v>99</v>
      </c>
      <c r="AV219" s="412"/>
      <c r="AW219" s="386"/>
      <c r="AX219" s="353" t="s">
        <v>102</v>
      </c>
      <c r="AY219" s="354"/>
      <c r="AZ219" s="354"/>
      <c r="BA219" s="354"/>
      <c r="BB219" s="354"/>
      <c r="BC219" s="354"/>
      <c r="BD219" s="363"/>
      <c r="BE219" s="386"/>
      <c r="BF219" s="411" t="s">
        <v>103</v>
      </c>
      <c r="BG219" s="414"/>
      <c r="BH219" s="414"/>
      <c r="BI219" s="414"/>
      <c r="BJ219" s="414"/>
      <c r="BK219" s="414"/>
      <c r="BL219" s="414"/>
      <c r="BM219" s="414"/>
      <c r="BN219" s="414"/>
      <c r="BO219" s="414"/>
      <c r="BP219" s="414"/>
      <c r="BQ219" s="414"/>
      <c r="BR219" s="414"/>
      <c r="BS219" s="414"/>
      <c r="BT219" s="414"/>
      <c r="BU219" s="416"/>
    </row>
    <row r="220" ht="14.55" spans="2:73">
      <c r="B220" s="379" t="s">
        <v>454</v>
      </c>
      <c r="C220" s="382">
        <v>2.18</v>
      </c>
      <c r="D220" s="383">
        <v>45838</v>
      </c>
      <c r="E220" s="382">
        <v>994.7332</v>
      </c>
      <c r="F220" s="394">
        <v>-0.016688</v>
      </c>
      <c r="G220" s="394">
        <v>0.033041</v>
      </c>
      <c r="H220" s="394">
        <v>0.065369</v>
      </c>
      <c r="I220" s="394">
        <v>0.028878</v>
      </c>
      <c r="J220" s="394">
        <v>0.106796</v>
      </c>
      <c r="K220" s="394" t="s">
        <v>113</v>
      </c>
      <c r="L220" s="394" t="s">
        <v>113</v>
      </c>
      <c r="M220" s="34"/>
      <c r="N220" s="394">
        <v>0.046448</v>
      </c>
      <c r="O220" s="394">
        <v>0.101580135440181</v>
      </c>
      <c r="P220" s="394">
        <v>0.154648132059079</v>
      </c>
      <c r="Q220" s="394">
        <v>0.0105355575065847</v>
      </c>
      <c r="R220" s="394">
        <v>0.139</v>
      </c>
      <c r="S220" s="394" t="s">
        <v>113</v>
      </c>
      <c r="T220" s="394" t="s">
        <v>113</v>
      </c>
      <c r="U220" s="394" t="s">
        <v>113</v>
      </c>
      <c r="V220" s="394" t="s">
        <v>113</v>
      </c>
      <c r="W220" s="394" t="s">
        <v>113</v>
      </c>
      <c r="X220" s="394" t="s">
        <v>113</v>
      </c>
      <c r="Y220" s="394" t="s">
        <v>113</v>
      </c>
      <c r="Z220" s="394" t="s">
        <v>113</v>
      </c>
      <c r="AA220" s="394"/>
      <c r="AB220" s="394"/>
      <c r="AC220" s="394"/>
      <c r="AS220" s="352"/>
      <c r="AT220" s="373" t="s">
        <v>110</v>
      </c>
      <c r="AU220" s="374" t="s">
        <v>104</v>
      </c>
      <c r="AV220" s="375" t="s">
        <v>105</v>
      </c>
      <c r="AW220" s="387"/>
      <c r="AX220" s="16" t="s">
        <v>89</v>
      </c>
      <c r="AY220" s="18" t="s">
        <v>90</v>
      </c>
      <c r="AZ220" s="18" t="s">
        <v>91</v>
      </c>
      <c r="BA220" s="18" t="s">
        <v>20</v>
      </c>
      <c r="BB220" s="18" t="s">
        <v>92</v>
      </c>
      <c r="BC220" s="18" t="s">
        <v>93</v>
      </c>
      <c r="BD220" s="273" t="s">
        <v>111</v>
      </c>
      <c r="BE220" s="387"/>
      <c r="BF220" s="16">
        <v>2025</v>
      </c>
      <c r="BG220" s="16">
        <v>2024</v>
      </c>
      <c r="BH220" s="16">
        <v>2023</v>
      </c>
      <c r="BI220" s="18">
        <v>2022</v>
      </c>
      <c r="BJ220" s="18">
        <v>2021</v>
      </c>
      <c r="BK220" s="18">
        <v>2020</v>
      </c>
      <c r="BL220" s="18">
        <v>2019</v>
      </c>
      <c r="BM220" s="18">
        <v>2018</v>
      </c>
      <c r="BN220" s="18">
        <v>2017</v>
      </c>
      <c r="BO220" s="18">
        <v>2016</v>
      </c>
      <c r="BP220" s="18">
        <v>2015</v>
      </c>
      <c r="BQ220" s="18">
        <v>2014</v>
      </c>
      <c r="BR220" s="18">
        <v>2013</v>
      </c>
      <c r="BS220" s="18">
        <v>2012</v>
      </c>
      <c r="BT220" s="18">
        <v>2011</v>
      </c>
      <c r="BU220" s="273">
        <v>2010</v>
      </c>
    </row>
    <row r="221" spans="2:73">
      <c r="B221" s="379" t="s">
        <v>455</v>
      </c>
      <c r="C221" s="382">
        <v>2.13</v>
      </c>
      <c r="D221" s="383">
        <v>45838</v>
      </c>
      <c r="E221" s="382">
        <v>1260.432</v>
      </c>
      <c r="F221" s="394">
        <v>-0.022506</v>
      </c>
      <c r="G221" s="394">
        <v>0.040115</v>
      </c>
      <c r="H221" s="394">
        <v>0.053641</v>
      </c>
      <c r="I221" s="394">
        <v>-0.059724</v>
      </c>
      <c r="J221" s="394" t="s">
        <v>113</v>
      </c>
      <c r="K221" s="394" t="s">
        <v>113</v>
      </c>
      <c r="L221" s="394" t="s">
        <v>113</v>
      </c>
      <c r="M221" s="34"/>
      <c r="N221" s="394">
        <v>0.031273</v>
      </c>
      <c r="O221" s="394">
        <v>0.202389708641679</v>
      </c>
      <c r="P221" s="394">
        <v>0.33238</v>
      </c>
      <c r="Q221" s="394" t="s">
        <v>113</v>
      </c>
      <c r="R221" s="394" t="s">
        <v>113</v>
      </c>
      <c r="S221" s="394" t="s">
        <v>113</v>
      </c>
      <c r="T221" s="394" t="s">
        <v>113</v>
      </c>
      <c r="U221" s="394" t="s">
        <v>113</v>
      </c>
      <c r="V221" s="394" t="s">
        <v>113</v>
      </c>
      <c r="W221" s="394" t="s">
        <v>113</v>
      </c>
      <c r="X221" s="394" t="s">
        <v>113</v>
      </c>
      <c r="Y221" s="394" t="s">
        <v>113</v>
      </c>
      <c r="Z221" s="394" t="s">
        <v>113</v>
      </c>
      <c r="AA221" s="394"/>
      <c r="AB221" s="394"/>
      <c r="AC221" s="394"/>
      <c r="AS221" s="379" t="s">
        <v>456</v>
      </c>
      <c r="AT221" s="382">
        <v>1.19</v>
      </c>
      <c r="AU221" s="383">
        <v>45716</v>
      </c>
      <c r="AV221" s="382">
        <v>12214.0372</v>
      </c>
      <c r="AW221" s="33"/>
      <c r="AX221" s="394">
        <v>0.008041</v>
      </c>
      <c r="AY221" s="394">
        <v>0.018093</v>
      </c>
      <c r="AZ221" s="394">
        <v>0.035219</v>
      </c>
      <c r="BA221" s="394">
        <v>0.071114</v>
      </c>
      <c r="BB221" s="394">
        <v>0.062913</v>
      </c>
      <c r="BC221" s="394">
        <v>0.05879</v>
      </c>
      <c r="BD221" s="394">
        <v>0.067155</v>
      </c>
      <c r="BE221" s="34"/>
      <c r="BF221" s="394">
        <v>0.018093</v>
      </c>
      <c r="BG221" s="394">
        <v>0.0713159768860095</v>
      </c>
      <c r="BH221" s="394">
        <v>0.0670078778452168</v>
      </c>
      <c r="BI221" s="394">
        <v>0.0428937757254991</v>
      </c>
      <c r="BJ221" s="394">
        <v>0.0350089975073168</v>
      </c>
      <c r="BK221" s="394">
        <v>0.0770855907505363</v>
      </c>
      <c r="BL221" s="394">
        <v>0.0820774584377985</v>
      </c>
      <c r="BM221" s="394">
        <v>0.0715309677746408</v>
      </c>
      <c r="BN221" s="394">
        <v>0.0640509777195499</v>
      </c>
      <c r="BO221" s="394">
        <v>0.0846847181353211</v>
      </c>
      <c r="BP221" s="394">
        <v>0.08067184793139</v>
      </c>
      <c r="BQ221" s="394">
        <v>0.0906253916198492</v>
      </c>
      <c r="BR221" s="394">
        <v>0.0875810687097766</v>
      </c>
      <c r="BS221" s="394">
        <v>0.0910647702658365</v>
      </c>
      <c r="BT221" s="394">
        <v>0.0865954791053964</v>
      </c>
      <c r="BU221" s="394">
        <v>0.0514119291496065</v>
      </c>
    </row>
    <row r="222" spans="2:73">
      <c r="B222" s="379" t="s">
        <v>457</v>
      </c>
      <c r="C222" s="382">
        <v>2.41</v>
      </c>
      <c r="D222" s="383">
        <v>45838</v>
      </c>
      <c r="E222" s="382">
        <v>426.7757</v>
      </c>
      <c r="F222" s="394">
        <v>0.002844</v>
      </c>
      <c r="G222" s="394">
        <v>0.055888</v>
      </c>
      <c r="H222" s="394">
        <v>0.021236</v>
      </c>
      <c r="I222" s="394">
        <v>-0.076789</v>
      </c>
      <c r="J222" s="394" t="s">
        <v>113</v>
      </c>
      <c r="K222" s="394" t="s">
        <v>113</v>
      </c>
      <c r="L222" s="394" t="s">
        <v>113</v>
      </c>
      <c r="M222" s="34"/>
      <c r="N222" s="394">
        <v>-0.030247</v>
      </c>
      <c r="O222" s="394">
        <v>0.091</v>
      </c>
      <c r="P222" s="394">
        <v>0</v>
      </c>
      <c r="Q222" s="394" t="s">
        <v>113</v>
      </c>
      <c r="R222" s="394" t="s">
        <v>113</v>
      </c>
      <c r="S222" s="394" t="s">
        <v>113</v>
      </c>
      <c r="T222" s="394" t="s">
        <v>113</v>
      </c>
      <c r="U222" s="394" t="s">
        <v>113</v>
      </c>
      <c r="V222" s="394" t="s">
        <v>113</v>
      </c>
      <c r="W222" s="394" t="s">
        <v>113</v>
      </c>
      <c r="X222" s="394" t="s">
        <v>113</v>
      </c>
      <c r="Y222" s="394" t="s">
        <v>113</v>
      </c>
      <c r="Z222" s="394" t="s">
        <v>113</v>
      </c>
      <c r="AA222" s="394"/>
      <c r="AB222" s="394"/>
      <c r="AC222" s="394"/>
      <c r="AS222" s="379" t="s">
        <v>458</v>
      </c>
      <c r="AT222" s="382">
        <v>0.66</v>
      </c>
      <c r="AU222" s="383">
        <v>45716</v>
      </c>
      <c r="AV222" s="382">
        <v>5933.175601</v>
      </c>
      <c r="AW222" s="33"/>
      <c r="AX222" s="394">
        <v>0.008512</v>
      </c>
      <c r="AY222" s="394">
        <v>0.01991</v>
      </c>
      <c r="AZ222" s="394">
        <v>0.03825</v>
      </c>
      <c r="BA222" s="394">
        <v>0.07722</v>
      </c>
      <c r="BB222" s="394">
        <v>0.066686</v>
      </c>
      <c r="BC222" s="394">
        <v>0.06085</v>
      </c>
      <c r="BD222" s="394">
        <v>0.069228</v>
      </c>
      <c r="BE222" s="34"/>
      <c r="BF222" s="394">
        <v>0.01991</v>
      </c>
      <c r="BG222" s="394">
        <v>0.0766819469972341</v>
      </c>
      <c r="BH222" s="394">
        <v>0.0702154687924531</v>
      </c>
      <c r="BI222" s="394">
        <v>0.0438435997134425</v>
      </c>
      <c r="BJ222" s="394">
        <v>0.0372403444242619</v>
      </c>
      <c r="BK222" s="394">
        <v>0.0734659644360929</v>
      </c>
      <c r="BL222" s="394">
        <v>0.0879532787119515</v>
      </c>
      <c r="BM222" s="394">
        <v>0.0729522162084371</v>
      </c>
      <c r="BN222" s="394">
        <v>0.0658550024371119</v>
      </c>
      <c r="BO222" s="394">
        <v>0.0815536882891269</v>
      </c>
      <c r="BP222" s="394">
        <v>0.0853359273373511</v>
      </c>
      <c r="BQ222" s="394">
        <v>0.0872093306128968</v>
      </c>
      <c r="BR222" s="394">
        <v>0.0942227756244016</v>
      </c>
      <c r="BS222" s="394">
        <v>0.0971451326933446</v>
      </c>
      <c r="BT222" s="394">
        <v>0.0914942097239061</v>
      </c>
      <c r="BU222" s="394">
        <v>0.0557481059753077</v>
      </c>
    </row>
    <row r="223" spans="2:73">
      <c r="B223" s="379" t="s">
        <v>459</v>
      </c>
      <c r="C223" s="382">
        <v>2.38</v>
      </c>
      <c r="D223" s="383">
        <v>45838</v>
      </c>
      <c r="E223" s="382">
        <v>62.7768</v>
      </c>
      <c r="F223" s="394">
        <v>-0.024076</v>
      </c>
      <c r="G223" s="394">
        <v>0.008572</v>
      </c>
      <c r="H223" s="394">
        <v>0.033858</v>
      </c>
      <c r="I223" s="394">
        <v>-0.06973</v>
      </c>
      <c r="J223" s="394">
        <v>0.084704</v>
      </c>
      <c r="K223" s="394">
        <v>0.095688</v>
      </c>
      <c r="L223" s="394" t="s">
        <v>113</v>
      </c>
      <c r="M223" s="34"/>
      <c r="N223" s="394">
        <v>-0.038375</v>
      </c>
      <c r="O223" s="394">
        <v>0.093844302625196</v>
      </c>
      <c r="P223" s="394">
        <v>0.192605337500751</v>
      </c>
      <c r="Q223" s="394">
        <v>0.0268089275657494</v>
      </c>
      <c r="R223" s="394">
        <v>0.0939034887842423</v>
      </c>
      <c r="S223" s="394">
        <v>0.139737991266376</v>
      </c>
      <c r="T223" s="394">
        <v>0.0396599999999999</v>
      </c>
      <c r="U223" s="394" t="s">
        <v>113</v>
      </c>
      <c r="V223" s="394" t="s">
        <v>113</v>
      </c>
      <c r="W223" s="394" t="s">
        <v>113</v>
      </c>
      <c r="X223" s="394" t="s">
        <v>113</v>
      </c>
      <c r="Y223" s="394" t="s">
        <v>113</v>
      </c>
      <c r="Z223" s="394" t="s">
        <v>113</v>
      </c>
      <c r="AA223" s="394"/>
      <c r="AB223" s="394"/>
      <c r="AC223" s="394"/>
      <c r="AS223" s="379" t="s">
        <v>460</v>
      </c>
      <c r="AT223" s="382">
        <v>0.6</v>
      </c>
      <c r="AU223" s="383">
        <v>45716</v>
      </c>
      <c r="AV223" s="382">
        <v>5374.2574</v>
      </c>
      <c r="AW223" s="33"/>
      <c r="AX223" s="394">
        <v>0.007911</v>
      </c>
      <c r="AY223" s="394">
        <v>0.019593</v>
      </c>
      <c r="AZ223" s="394">
        <v>0.036927</v>
      </c>
      <c r="BA223" s="394">
        <v>0.074352</v>
      </c>
      <c r="BB223" s="394">
        <v>0.064359</v>
      </c>
      <c r="BC223" s="394">
        <v>0.057667</v>
      </c>
      <c r="BD223" s="394">
        <v>0.068179</v>
      </c>
      <c r="BE223" s="34"/>
      <c r="BF223" s="394">
        <v>0.019593</v>
      </c>
      <c r="BG223" s="394">
        <v>0.073148290139549</v>
      </c>
      <c r="BH223" s="394">
        <v>0.0694298754544751</v>
      </c>
      <c r="BI223" s="394">
        <v>0.0403454780744395</v>
      </c>
      <c r="BJ223" s="394">
        <v>0.0347903716880192</v>
      </c>
      <c r="BK223" s="394">
        <v>0.0694391997321041</v>
      </c>
      <c r="BL223" s="394">
        <v>0.0832799487508007</v>
      </c>
      <c r="BM223" s="394">
        <v>0.0722440382840852</v>
      </c>
      <c r="BN223" s="394">
        <v>0.0698011058039212</v>
      </c>
      <c r="BO223" s="394">
        <v>0.0877367848303623</v>
      </c>
      <c r="BP223" s="394">
        <v>0.0869324010299998</v>
      </c>
      <c r="BQ223" s="394">
        <v>0.0943435130243535</v>
      </c>
      <c r="BR223" s="394">
        <v>0.0942067132937253</v>
      </c>
      <c r="BS223" s="394">
        <v>0.102486682189717</v>
      </c>
      <c r="BT223" s="394">
        <v>0.0953847783967063</v>
      </c>
      <c r="BU223" s="394">
        <v>0.0560777543321183</v>
      </c>
    </row>
    <row r="224" spans="2:73">
      <c r="B224" s="379" t="s">
        <v>461</v>
      </c>
      <c r="C224" s="382">
        <v>2.06</v>
      </c>
      <c r="D224" s="383">
        <v>45838</v>
      </c>
      <c r="E224" s="382">
        <v>1596.75538843876</v>
      </c>
      <c r="F224" s="394">
        <v>-0.010118</v>
      </c>
      <c r="G224" s="394">
        <v>0.020234</v>
      </c>
      <c r="H224" s="394">
        <v>0.050705</v>
      </c>
      <c r="I224" s="394">
        <v>0.019531</v>
      </c>
      <c r="J224" s="394">
        <v>0.115095</v>
      </c>
      <c r="K224" s="394">
        <v>0.105145</v>
      </c>
      <c r="L224" s="394">
        <v>0.075618</v>
      </c>
      <c r="M224" s="34"/>
      <c r="N224" s="394">
        <v>0.024124</v>
      </c>
      <c r="O224" s="394">
        <v>0.126406462243827</v>
      </c>
      <c r="P224" s="394">
        <v>0.141028431608022</v>
      </c>
      <c r="Q224" s="394">
        <v>0.0573758457173468</v>
      </c>
      <c r="R224" s="394">
        <v>0.108688957325121</v>
      </c>
      <c r="S224" s="394">
        <v>0.100193610842207</v>
      </c>
      <c r="T224" s="394">
        <v>0.0102689486552568</v>
      </c>
      <c r="U224" s="394">
        <v>0.0323069156991419</v>
      </c>
      <c r="V224" s="394">
        <v>0.131353512278698</v>
      </c>
      <c r="W224" s="394">
        <v>0.0453731343283583</v>
      </c>
      <c r="X224" s="394">
        <v>0.0339506172839507</v>
      </c>
      <c r="Y224" s="394">
        <v>0.341059602649007</v>
      </c>
      <c r="Z224" s="394">
        <v>0.0541012216404886</v>
      </c>
      <c r="AA224" s="394"/>
      <c r="AB224" s="394"/>
      <c r="AC224" s="394"/>
      <c r="AS224" s="379" t="s">
        <v>462</v>
      </c>
      <c r="AT224" s="382">
        <v>1.1</v>
      </c>
      <c r="AU224" s="383">
        <v>45716</v>
      </c>
      <c r="AV224" s="382">
        <v>283.978</v>
      </c>
      <c r="AW224" s="33"/>
      <c r="AX224" s="394">
        <v>0.008148</v>
      </c>
      <c r="AY224" s="394">
        <v>0.018772</v>
      </c>
      <c r="AZ224" s="394">
        <v>0.035163</v>
      </c>
      <c r="BA224" s="394">
        <v>0.070755</v>
      </c>
      <c r="BB224" s="394">
        <v>0.061114</v>
      </c>
      <c r="BC224" s="394">
        <v>0.055373</v>
      </c>
      <c r="BD224" s="394">
        <v>0.064229</v>
      </c>
      <c r="BE224" s="34"/>
      <c r="BF224" s="394">
        <v>0.018772</v>
      </c>
      <c r="BG224" s="394">
        <v>0.069786844804169</v>
      </c>
      <c r="BH224" s="394">
        <v>0.0673194976554295</v>
      </c>
      <c r="BI224" s="394">
        <v>0.0373585971114833</v>
      </c>
      <c r="BJ224" s="394">
        <v>0.0335757810294459</v>
      </c>
      <c r="BK224" s="394">
        <v>0.0732116656624148</v>
      </c>
      <c r="BL224" s="394">
        <v>0.0700960624241828</v>
      </c>
      <c r="BM224" s="394">
        <v>0.0706738588628998</v>
      </c>
      <c r="BN224" s="394">
        <v>0.063779733379803</v>
      </c>
      <c r="BO224" s="394">
        <v>0.081351369540346</v>
      </c>
      <c r="BP224" s="394">
        <v>0.0788969242833493</v>
      </c>
      <c r="BQ224" s="394">
        <v>0.0856263006327119</v>
      </c>
      <c r="BR224" s="394">
        <v>0.0908986677062074</v>
      </c>
      <c r="BS224" s="394">
        <v>0.0997793329550469</v>
      </c>
      <c r="BT224" s="394">
        <v>0.0921146854687673</v>
      </c>
      <c r="BU224" s="394">
        <v>0.057594139364855</v>
      </c>
    </row>
    <row r="225" spans="2:73">
      <c r="B225" s="379" t="s">
        <v>463</v>
      </c>
      <c r="C225" s="382">
        <v>1.52</v>
      </c>
      <c r="D225" s="383">
        <v>45838</v>
      </c>
      <c r="E225" s="382">
        <v>668.242170106</v>
      </c>
      <c r="F225" s="394">
        <v>0.006853</v>
      </c>
      <c r="G225" s="394">
        <v>0.017071</v>
      </c>
      <c r="H225" s="394" t="s">
        <v>113</v>
      </c>
      <c r="I225" s="394" t="s">
        <v>113</v>
      </c>
      <c r="J225" s="394" t="s">
        <v>113</v>
      </c>
      <c r="K225" s="394" t="s">
        <v>113</v>
      </c>
      <c r="L225" s="394" t="s">
        <v>113</v>
      </c>
      <c r="M225" s="34"/>
      <c r="N225" s="394" t="s">
        <v>113</v>
      </c>
      <c r="O225" s="394" t="s">
        <v>113</v>
      </c>
      <c r="P225" s="394" t="s">
        <v>113</v>
      </c>
      <c r="Q225" s="394" t="s">
        <v>113</v>
      </c>
      <c r="R225" s="394" t="s">
        <v>113</v>
      </c>
      <c r="S225" s="394" t="s">
        <v>113</v>
      </c>
      <c r="T225" s="394" t="s">
        <v>113</v>
      </c>
      <c r="U225" s="394" t="s">
        <v>113</v>
      </c>
      <c r="V225" s="394" t="s">
        <v>113</v>
      </c>
      <c r="W225" s="394" t="s">
        <v>113</v>
      </c>
      <c r="X225" s="394" t="s">
        <v>113</v>
      </c>
      <c r="Y225" s="394" t="s">
        <v>113</v>
      </c>
      <c r="Z225" s="394" t="s">
        <v>113</v>
      </c>
      <c r="AA225" s="394"/>
      <c r="AB225" s="394"/>
      <c r="AC225" s="394"/>
      <c r="AS225" s="379" t="s">
        <v>464</v>
      </c>
      <c r="AT225" s="382">
        <v>0.63</v>
      </c>
      <c r="AU225" s="383">
        <v>45716</v>
      </c>
      <c r="AV225" s="382">
        <v>770.2555</v>
      </c>
      <c r="AW225" s="33"/>
      <c r="AX225" s="394">
        <v>0.008248</v>
      </c>
      <c r="AY225" s="394">
        <v>0.018899</v>
      </c>
      <c r="AZ225" s="394">
        <v>0.036583</v>
      </c>
      <c r="BA225" s="394">
        <v>0.074032</v>
      </c>
      <c r="BB225" s="394">
        <v>0.064653</v>
      </c>
      <c r="BC225" s="394">
        <v>0.056401</v>
      </c>
      <c r="BD225" s="394">
        <v>0.066086</v>
      </c>
      <c r="BE225" s="34"/>
      <c r="BF225" s="394">
        <v>0.018899</v>
      </c>
      <c r="BG225" s="394">
        <v>0.0737073794785815</v>
      </c>
      <c r="BH225" s="394">
        <v>0.0696927884765221</v>
      </c>
      <c r="BI225" s="394">
        <v>0.0409202710912661</v>
      </c>
      <c r="BJ225" s="394">
        <v>0.031121518063496</v>
      </c>
      <c r="BK225" s="394">
        <v>0.0640934786899781</v>
      </c>
      <c r="BL225" s="394">
        <v>0.0809318106297767</v>
      </c>
      <c r="BM225" s="394">
        <v>0.0693060048996691</v>
      </c>
      <c r="BN225" s="394">
        <v>0.0678283582685656</v>
      </c>
      <c r="BO225" s="394">
        <v>0.0842427076837802</v>
      </c>
      <c r="BP225" s="394">
        <v>0.083395886503528</v>
      </c>
      <c r="BQ225" s="394">
        <v>0.0904142665670818</v>
      </c>
      <c r="BR225" s="394">
        <v>0.0903016375886841</v>
      </c>
      <c r="BS225" s="394">
        <v>0.0995553647542241</v>
      </c>
      <c r="BT225" s="394">
        <v>0.095785002889746</v>
      </c>
      <c r="BU225" s="394">
        <v>0.0571477287258984</v>
      </c>
    </row>
    <row r="226" spans="2:73">
      <c r="B226" s="379" t="s">
        <v>465</v>
      </c>
      <c r="C226" s="382">
        <v>1.9</v>
      </c>
      <c r="D226" s="383">
        <v>45838</v>
      </c>
      <c r="E226" s="382">
        <v>3035.69</v>
      </c>
      <c r="F226" s="394">
        <v>-0.015381</v>
      </c>
      <c r="G226" s="394">
        <v>0.01693</v>
      </c>
      <c r="H226" s="394">
        <v>0.050291</v>
      </c>
      <c r="I226" s="394">
        <v>0.050423</v>
      </c>
      <c r="J226" s="394" t="s">
        <v>113</v>
      </c>
      <c r="K226" s="394" t="s">
        <v>113</v>
      </c>
      <c r="L226" s="394" t="s">
        <v>113</v>
      </c>
      <c r="M226" s="34"/>
      <c r="N226" s="394">
        <v>0.046381</v>
      </c>
      <c r="O226" s="394">
        <v>0.109088558261528</v>
      </c>
      <c r="P226" s="394">
        <v>0.08279</v>
      </c>
      <c r="Q226" s="394" t="s">
        <v>113</v>
      </c>
      <c r="R226" s="394" t="s">
        <v>113</v>
      </c>
      <c r="S226" s="394" t="s">
        <v>113</v>
      </c>
      <c r="T226" s="394" t="s">
        <v>113</v>
      </c>
      <c r="U226" s="394" t="s">
        <v>113</v>
      </c>
      <c r="V226" s="394" t="s">
        <v>113</v>
      </c>
      <c r="W226" s="394" t="s">
        <v>113</v>
      </c>
      <c r="X226" s="394" t="s">
        <v>113</v>
      </c>
      <c r="Y226" s="394" t="s">
        <v>113</v>
      </c>
      <c r="Z226" s="394" t="s">
        <v>113</v>
      </c>
      <c r="AA226" s="394"/>
      <c r="AB226" s="394"/>
      <c r="AC226" s="394"/>
      <c r="AS226" s="379" t="s">
        <v>466</v>
      </c>
      <c r="AT226" s="382">
        <v>0.57</v>
      </c>
      <c r="AU226" s="383">
        <v>45716</v>
      </c>
      <c r="AV226" s="382">
        <v>4741.7627</v>
      </c>
      <c r="AW226" s="33"/>
      <c r="AX226" s="394">
        <v>0.008208</v>
      </c>
      <c r="AY226" s="394">
        <v>0.019487</v>
      </c>
      <c r="AZ226" s="394">
        <v>0.037104</v>
      </c>
      <c r="BA226" s="394">
        <v>0.074889</v>
      </c>
      <c r="BB226" s="394">
        <v>0.064856</v>
      </c>
      <c r="BC226" s="394">
        <v>0.058064</v>
      </c>
      <c r="BD226" s="394">
        <v>0.067847</v>
      </c>
      <c r="BE226" s="34"/>
      <c r="BF226" s="394">
        <v>0.019487</v>
      </c>
      <c r="BG226" s="394">
        <v>0.0739994144012252</v>
      </c>
      <c r="BH226" s="394">
        <v>0.0690375435660668</v>
      </c>
      <c r="BI226" s="394">
        <v>0.0419797533775732</v>
      </c>
      <c r="BJ226" s="394">
        <v>0.034681030566552</v>
      </c>
      <c r="BK226" s="394">
        <v>0.066846678436667</v>
      </c>
      <c r="BL226" s="394">
        <v>0.0867782275661766</v>
      </c>
      <c r="BM226" s="394">
        <v>0.0732010626872422</v>
      </c>
      <c r="BN226" s="394">
        <v>0.0651637264430893</v>
      </c>
      <c r="BO226" s="394">
        <v>0.0852126348803344</v>
      </c>
      <c r="BP226" s="394">
        <v>0.0713200000000001</v>
      </c>
      <c r="BQ226" s="394" t="s">
        <v>113</v>
      </c>
      <c r="BR226" s="394" t="s">
        <v>113</v>
      </c>
      <c r="BS226" s="394" t="s">
        <v>113</v>
      </c>
      <c r="BT226" s="394" t="s">
        <v>113</v>
      </c>
      <c r="BU226" s="394" t="s">
        <v>113</v>
      </c>
    </row>
    <row r="227" ht="14.55" spans="2:73">
      <c r="B227" s="379" t="s">
        <v>467</v>
      </c>
      <c r="C227" s="382">
        <v>1.64</v>
      </c>
      <c r="D227" s="383">
        <v>45838</v>
      </c>
      <c r="E227" s="382">
        <v>5489.2341</v>
      </c>
      <c r="F227" s="394">
        <v>-0.00644</v>
      </c>
      <c r="G227" s="394">
        <v>0.018028</v>
      </c>
      <c r="H227" s="394">
        <v>0.051116</v>
      </c>
      <c r="I227" s="394">
        <v>0.072013</v>
      </c>
      <c r="J227" s="394">
        <v>0.092669</v>
      </c>
      <c r="K227" s="394">
        <v>0.107804</v>
      </c>
      <c r="L227" s="394">
        <v>0.079625</v>
      </c>
      <c r="M227" s="34"/>
      <c r="N227" s="394">
        <v>0.041815</v>
      </c>
      <c r="O227" s="394">
        <v>0.114450796840794</v>
      </c>
      <c r="P227" s="394">
        <v>0.119633921313482</v>
      </c>
      <c r="Q227" s="394">
        <v>-0.0236942083171119</v>
      </c>
      <c r="R227" s="394">
        <v>0.145830235846937</v>
      </c>
      <c r="S227" s="394">
        <v>0.140348871136905</v>
      </c>
      <c r="T227" s="394">
        <v>0.00235948794764191</v>
      </c>
      <c r="U227" s="394">
        <v>0.0254559455297101</v>
      </c>
      <c r="V227" s="394">
        <v>0.170704396428199</v>
      </c>
      <c r="W227" s="394">
        <v>0.0696026836236999</v>
      </c>
      <c r="X227" s="394">
        <v>0.0620246956165552</v>
      </c>
      <c r="Y227" s="394">
        <v>0.217304626629265</v>
      </c>
      <c r="Z227" s="394">
        <v>0.0362821666082775</v>
      </c>
      <c r="AA227" s="396"/>
      <c r="AB227" s="396"/>
      <c r="AC227" s="396"/>
      <c r="AS227" s="379" t="s">
        <v>468</v>
      </c>
      <c r="AT227" s="382">
        <v>1.01</v>
      </c>
      <c r="AU227" s="383">
        <v>45716</v>
      </c>
      <c r="AV227" s="382">
        <v>18130.9015</v>
      </c>
      <c r="AW227" s="33"/>
      <c r="AX227" s="394">
        <v>0.008323</v>
      </c>
      <c r="AY227" s="394">
        <v>0.019163</v>
      </c>
      <c r="AZ227" s="394">
        <v>0.036476</v>
      </c>
      <c r="BA227" s="394">
        <v>0.074506</v>
      </c>
      <c r="BB227" s="394">
        <v>0.065115</v>
      </c>
      <c r="BC227" s="394">
        <v>0.060979</v>
      </c>
      <c r="BD227" s="394">
        <v>0.067194</v>
      </c>
      <c r="BE227" s="34"/>
      <c r="BF227" s="394">
        <v>0.019163</v>
      </c>
      <c r="BG227" s="394">
        <v>0.0739294868694684</v>
      </c>
      <c r="BH227" s="394">
        <v>0.0703422486246075</v>
      </c>
      <c r="BI227" s="394">
        <v>0.0409950553311462</v>
      </c>
      <c r="BJ227" s="394">
        <v>0.0367819431253142</v>
      </c>
      <c r="BK227" s="394">
        <v>0.0814739803366172</v>
      </c>
      <c r="BL227" s="394">
        <v>0.0796274987149279</v>
      </c>
      <c r="BM227" s="394">
        <v>0.0653740305228922</v>
      </c>
      <c r="BN227" s="394">
        <v>0.063723460878822</v>
      </c>
      <c r="BO227" s="394">
        <v>0.086169628490032</v>
      </c>
      <c r="BP227" s="394">
        <v>0.076664787797262</v>
      </c>
      <c r="BQ227" s="394">
        <v>0.0840412052691162</v>
      </c>
      <c r="BR227" s="394">
        <v>0.082339289481799</v>
      </c>
      <c r="BS227" s="394">
        <v>0.0891013857466062</v>
      </c>
      <c r="BT227" s="394">
        <v>0.0858491833483677</v>
      </c>
      <c r="BU227" s="394">
        <v>0.054017832307529</v>
      </c>
    </row>
    <row r="228" ht="14.55" spans="2:73">
      <c r="B228" s="4" t="s">
        <v>146</v>
      </c>
      <c r="C228"/>
      <c r="D228"/>
      <c r="E228"/>
      <c r="F228" s="396">
        <f>AVERAGE(F192:F227)</f>
        <v>-0.0104328055555556</v>
      </c>
      <c r="G228" s="396">
        <f t="shared" ref="G228:Z228" si="31">AVERAGE(G192:G227)</f>
        <v>0.0298560277777778</v>
      </c>
      <c r="H228" s="396">
        <f t="shared" si="31"/>
        <v>0.0504744571428571</v>
      </c>
      <c r="I228" s="396">
        <f t="shared" si="31"/>
        <v>0.017165794117647</v>
      </c>
      <c r="J228" s="396">
        <f t="shared" si="31"/>
        <v>0.12227436</v>
      </c>
      <c r="K228" s="396">
        <f t="shared" si="31"/>
        <v>0.126014</v>
      </c>
      <c r="L228" s="396">
        <f t="shared" si="31"/>
        <v>0.0931376666666667</v>
      </c>
      <c r="M228"/>
      <c r="N228" s="396">
        <f t="shared" si="31"/>
        <v>0.0265322</v>
      </c>
      <c r="O228" s="396">
        <f t="shared" si="31"/>
        <v>0.122108351341286</v>
      </c>
      <c r="P228" s="396">
        <f t="shared" si="31"/>
        <v>0.173339140243329</v>
      </c>
      <c r="Q228" s="396">
        <f t="shared" si="31"/>
        <v>0.0340661953456594</v>
      </c>
      <c r="R228" s="396">
        <f t="shared" si="31"/>
        <v>0.117324536952824</v>
      </c>
      <c r="S228" s="396">
        <f t="shared" si="31"/>
        <v>0.123022315079707</v>
      </c>
      <c r="T228" s="396">
        <f t="shared" si="31"/>
        <v>0.0677126130509905</v>
      </c>
      <c r="U228" s="396">
        <f t="shared" si="31"/>
        <v>0.0115098912489797</v>
      </c>
      <c r="V228" s="396">
        <f t="shared" si="31"/>
        <v>0.174972696821512</v>
      </c>
      <c r="W228" s="396">
        <f t="shared" si="31"/>
        <v>0.0491910905651</v>
      </c>
      <c r="X228" s="396">
        <f t="shared" si="31"/>
        <v>0.0377539628962097</v>
      </c>
      <c r="Y228" s="396">
        <f t="shared" si="31"/>
        <v>0.277953130588772</v>
      </c>
      <c r="Z228" s="396">
        <f t="shared" si="31"/>
        <v>0.0722571703161503</v>
      </c>
      <c r="AA228" s="397"/>
      <c r="AB228" s="397"/>
      <c r="AC228" s="397"/>
      <c r="AS228" s="379" t="s">
        <v>469</v>
      </c>
      <c r="AT228" s="382">
        <v>1.08</v>
      </c>
      <c r="AU228" s="383">
        <v>45716</v>
      </c>
      <c r="AV228" s="382">
        <v>531.3069</v>
      </c>
      <c r="AW228" s="33"/>
      <c r="AX228" s="394">
        <v>0.009384</v>
      </c>
      <c r="AY228" s="394">
        <v>0.019994</v>
      </c>
      <c r="AZ228" s="394">
        <v>0.037326</v>
      </c>
      <c r="BA228" s="394">
        <v>0.075848</v>
      </c>
      <c r="BB228" s="394">
        <v>0.065352</v>
      </c>
      <c r="BC228" s="394">
        <v>0.057718</v>
      </c>
      <c r="BD228" s="394">
        <v>0.067127</v>
      </c>
      <c r="BE228" s="34"/>
      <c r="BF228" s="394">
        <v>0.019994</v>
      </c>
      <c r="BG228" s="394">
        <v>0.0747062490629167</v>
      </c>
      <c r="BH228" s="394">
        <v>0.0711641195563972</v>
      </c>
      <c r="BI228" s="394">
        <v>0.0394640307523338</v>
      </c>
      <c r="BJ228" s="394">
        <v>0.0343863890428886</v>
      </c>
      <c r="BK228" s="394">
        <v>0.0687096304210577</v>
      </c>
      <c r="BL228" s="394">
        <v>0.0511135954098327</v>
      </c>
      <c r="BM228" s="394">
        <v>0.0659610937287443</v>
      </c>
      <c r="BN228" s="394">
        <v>0.0832085725400511</v>
      </c>
      <c r="BO228" s="394">
        <v>0.0979679005953923</v>
      </c>
      <c r="BP228" s="394">
        <v>0.0884679595100063</v>
      </c>
      <c r="BQ228" s="394">
        <v>0.102335730148623</v>
      </c>
      <c r="BR228" s="394">
        <v>0.0770697600508502</v>
      </c>
      <c r="BS228" s="394">
        <v>0.0920258286069175</v>
      </c>
      <c r="BT228" s="394">
        <v>0.089321779272333</v>
      </c>
      <c r="BU228" s="394">
        <v>0.00512999999999995</v>
      </c>
    </row>
    <row r="229" spans="2:73">
      <c r="B229" s="4" t="s">
        <v>470</v>
      </c>
      <c r="C229"/>
      <c r="D229"/>
      <c r="E229"/>
      <c r="F229" s="397">
        <v>-0.0116284987700614</v>
      </c>
      <c r="G229" s="397">
        <v>0.02937935006152</v>
      </c>
      <c r="H229" s="397">
        <v>0.0542720523586115</v>
      </c>
      <c r="I229" s="397">
        <v>0.0280292519567873</v>
      </c>
      <c r="J229" s="454">
        <v>0.11763739546963</v>
      </c>
      <c r="K229" s="397">
        <v>0.133154908114355</v>
      </c>
      <c r="L229" s="397">
        <v>0.102254024682437</v>
      </c>
      <c r="M229" s="400"/>
      <c r="N229" s="397">
        <v>0.0394817439618318</v>
      </c>
      <c r="O229" s="397">
        <v>0.115148190648015</v>
      </c>
      <c r="P229" s="397">
        <v>0.158535642831628</v>
      </c>
      <c r="Q229" s="397">
        <v>0.0384086093157168</v>
      </c>
      <c r="R229" s="397">
        <v>0.168711766321198</v>
      </c>
      <c r="S229" s="397">
        <v>0.148189449432945</v>
      </c>
      <c r="T229" s="397">
        <v>0.0888221485237766</v>
      </c>
      <c r="U229" s="397">
        <v>0.0188333181532216</v>
      </c>
      <c r="V229" s="397">
        <v>0.201956865520734</v>
      </c>
      <c r="W229" s="397">
        <v>0.070857183193495</v>
      </c>
      <c r="X229" s="397">
        <v>0.0413438415560257</v>
      </c>
      <c r="Y229" s="397">
        <v>0.232549751336473</v>
      </c>
      <c r="Z229" s="397">
        <v>0.0607850113233515</v>
      </c>
      <c r="AS229" s="379" t="s">
        <v>471</v>
      </c>
      <c r="AT229" s="382">
        <v>0.53</v>
      </c>
      <c r="AU229" s="383">
        <v>45716</v>
      </c>
      <c r="AV229" s="382">
        <v>22237.6478447949</v>
      </c>
      <c r="AW229" s="33"/>
      <c r="AX229" s="394">
        <v>0.008483</v>
      </c>
      <c r="AY229" s="394">
        <v>0.019917</v>
      </c>
      <c r="AZ229" s="394">
        <v>0.038688</v>
      </c>
      <c r="BA229" s="394">
        <v>0.078997</v>
      </c>
      <c r="BB229" s="394">
        <v>0.071019</v>
      </c>
      <c r="BC229" s="394">
        <v>0.065687</v>
      </c>
      <c r="BD229" s="394">
        <v>0.072989</v>
      </c>
      <c r="BE229" s="34"/>
      <c r="BF229" s="394">
        <v>0.019917</v>
      </c>
      <c r="BG229" s="394">
        <v>0.0796774463711682</v>
      </c>
      <c r="BH229" s="394">
        <v>0.0762801871511003</v>
      </c>
      <c r="BI229" s="394">
        <v>0.0449640802275311</v>
      </c>
      <c r="BJ229" s="394">
        <v>0.0376976580298877</v>
      </c>
      <c r="BK229" s="394">
        <v>0.0858713449801984</v>
      </c>
      <c r="BL229" s="394">
        <v>0.0877845143031117</v>
      </c>
      <c r="BM229" s="394">
        <v>0.0725415437298396</v>
      </c>
      <c r="BN229" s="394">
        <v>0.071019007955402</v>
      </c>
      <c r="BO229" s="394">
        <v>0.0906666809528148</v>
      </c>
      <c r="BP229" s="394">
        <v>0.0880512798591706</v>
      </c>
      <c r="BQ229" s="394">
        <v>0.0949133691222968</v>
      </c>
      <c r="BR229" s="394">
        <v>0.0962494210341951</v>
      </c>
      <c r="BS229" s="394">
        <v>0.0966892288678862</v>
      </c>
      <c r="BT229" s="394">
        <v>0.0917774840147686</v>
      </c>
      <c r="BU229" s="394">
        <v>0.0575068701722017</v>
      </c>
    </row>
    <row r="230" spans="15:73">
      <c r="O230" s="5"/>
      <c r="AS230" s="379" t="s">
        <v>472</v>
      </c>
      <c r="AT230" s="382">
        <v>0.6</v>
      </c>
      <c r="AU230" s="383">
        <v>45716</v>
      </c>
      <c r="AV230" s="382">
        <v>1501.7798</v>
      </c>
      <c r="AW230" s="33"/>
      <c r="AX230" s="394">
        <v>0.008095</v>
      </c>
      <c r="AY230" s="394">
        <v>0.01908</v>
      </c>
      <c r="AZ230" s="394">
        <v>0.036982</v>
      </c>
      <c r="BA230" s="394">
        <v>0.074807</v>
      </c>
      <c r="BB230" s="394">
        <v>0.064662</v>
      </c>
      <c r="BC230" s="394">
        <v>0.058554</v>
      </c>
      <c r="BD230" s="394">
        <v>0.067682</v>
      </c>
      <c r="BE230" s="34"/>
      <c r="BF230" s="394">
        <v>0.01908</v>
      </c>
      <c r="BG230" s="394">
        <v>0.0758233947092528</v>
      </c>
      <c r="BH230" s="394">
        <v>0.0683652437374447</v>
      </c>
      <c r="BI230" s="394">
        <v>0.0399995927246834</v>
      </c>
      <c r="BJ230" s="394">
        <v>0.0347726257137416</v>
      </c>
      <c r="BK230" s="394">
        <v>0.0708558147081356</v>
      </c>
      <c r="BL230" s="394">
        <v>0.0892052806050335</v>
      </c>
      <c r="BM230" s="394">
        <v>0.0705249032045166</v>
      </c>
      <c r="BN230" s="394">
        <v>0.0628620925632676</v>
      </c>
      <c r="BO230" s="394">
        <v>0.0851741161156543</v>
      </c>
      <c r="BP230" s="394">
        <v>0.0838583575699141</v>
      </c>
      <c r="BQ230" s="394">
        <v>0.0902485552603308</v>
      </c>
      <c r="BR230" s="394">
        <v>0.0887014740843536</v>
      </c>
      <c r="BS230" s="394">
        <v>0.0979842427614769</v>
      </c>
      <c r="BT230" s="394">
        <v>0.0925622256970412</v>
      </c>
      <c r="BU230" s="394">
        <v>0.0574322435318832</v>
      </c>
    </row>
    <row r="231" ht="14.4" spans="2:73">
      <c r="B231" s="417" t="s">
        <v>98</v>
      </c>
      <c r="C231" s="418"/>
      <c r="D231" s="418"/>
      <c r="E231" s="418"/>
      <c r="F231" s="419" t="s">
        <v>473</v>
      </c>
      <c r="G231" s="420" t="s">
        <v>474</v>
      </c>
      <c r="H231" s="420" t="s">
        <v>475</v>
      </c>
      <c r="I231" s="420" t="s">
        <v>476</v>
      </c>
      <c r="J231" s="455" t="s">
        <v>477</v>
      </c>
      <c r="K231" s="455" t="s">
        <v>478</v>
      </c>
      <c r="L231" s="456" t="s">
        <v>479</v>
      </c>
      <c r="M231" s="446"/>
      <c r="N231" s="457" t="s">
        <v>480</v>
      </c>
      <c r="O231" s="455">
        <v>2024</v>
      </c>
      <c r="P231" s="420">
        <v>2023</v>
      </c>
      <c r="Q231" s="420">
        <v>2022</v>
      </c>
      <c r="R231" s="420">
        <v>2021</v>
      </c>
      <c r="S231" s="420">
        <v>2020</v>
      </c>
      <c r="T231" s="420">
        <v>2019</v>
      </c>
      <c r="U231" s="420">
        <v>2018</v>
      </c>
      <c r="V231" s="420">
        <v>2017</v>
      </c>
      <c r="W231" s="420">
        <v>2016</v>
      </c>
      <c r="X231" s="420">
        <v>2015</v>
      </c>
      <c r="Y231" s="420">
        <v>2014</v>
      </c>
      <c r="Z231" s="420">
        <v>2013</v>
      </c>
      <c r="AA231" s="420">
        <v>2012</v>
      </c>
      <c r="AB231" s="420">
        <v>2011</v>
      </c>
      <c r="AC231" s="420">
        <v>2010</v>
      </c>
      <c r="AD231" s="420">
        <v>2009</v>
      </c>
      <c r="AE231" s="468">
        <v>2008</v>
      </c>
      <c r="AS231" s="379" t="s">
        <v>481</v>
      </c>
      <c r="AT231" s="382">
        <v>0.7</v>
      </c>
      <c r="AU231" s="383">
        <v>45716</v>
      </c>
      <c r="AV231" s="382">
        <v>219.356769731</v>
      </c>
      <c r="AW231" s="33"/>
      <c r="AX231" s="394">
        <v>0.008261</v>
      </c>
      <c r="AY231" s="394">
        <v>0.019432</v>
      </c>
      <c r="AZ231" s="394">
        <v>0.036813</v>
      </c>
      <c r="BA231" s="394">
        <v>0.074784</v>
      </c>
      <c r="BB231" s="394">
        <v>0.063316</v>
      </c>
      <c r="BC231" s="394">
        <v>0.093807</v>
      </c>
      <c r="BD231" s="394">
        <v>0.062544</v>
      </c>
      <c r="BE231" s="34"/>
      <c r="BF231" s="394">
        <v>0.019432</v>
      </c>
      <c r="BG231" s="394">
        <v>0.0735117389274581</v>
      </c>
      <c r="BH231" s="394">
        <v>0.0657184768617936</v>
      </c>
      <c r="BI231" s="394">
        <v>0.0408257355815329</v>
      </c>
      <c r="BJ231" s="394">
        <v>0.0312772401057045</v>
      </c>
      <c r="BK231" s="394">
        <v>0.26784084009313</v>
      </c>
      <c r="BL231" s="394">
        <v>-0.120462115943922</v>
      </c>
      <c r="BM231" s="394">
        <v>0.0699528084714548</v>
      </c>
      <c r="BN231" s="394">
        <v>0.0672235359149955</v>
      </c>
      <c r="BO231" s="394">
        <v>0.0857176879658959</v>
      </c>
      <c r="BP231" s="394">
        <v>0.0834920290864801</v>
      </c>
      <c r="BQ231" s="394">
        <v>0.0905268963654168</v>
      </c>
      <c r="BR231" s="394">
        <v>0.0914731158356421</v>
      </c>
      <c r="BS231" s="394">
        <v>0.100757319629454</v>
      </c>
      <c r="BT231" s="394">
        <v>0.0922855349163558</v>
      </c>
      <c r="BU231" s="394">
        <v>0.0548150110237693</v>
      </c>
    </row>
    <row r="232" ht="14.4" spans="2:73">
      <c r="B232" s="421" t="s">
        <v>482</v>
      </c>
      <c r="C232" s="422"/>
      <c r="D232" s="422"/>
      <c r="E232" s="422"/>
      <c r="F232" s="423">
        <v>-0.0425</v>
      </c>
      <c r="G232" s="424">
        <v>-0.00890367087499988</v>
      </c>
      <c r="H232" s="424">
        <v>0.00732384902929395</v>
      </c>
      <c r="I232" s="424">
        <v>-0.0343478236971326</v>
      </c>
      <c r="J232" s="424">
        <v>0.0608824617032582</v>
      </c>
      <c r="K232" s="424">
        <v>0.132488637080043</v>
      </c>
      <c r="L232" s="458" t="s">
        <v>113</v>
      </c>
      <c r="M232" s="459"/>
      <c r="N232" s="423">
        <v>0.0078275109538084</v>
      </c>
      <c r="O232" s="424">
        <v>0.00610338981834713</v>
      </c>
      <c r="P232" s="424">
        <v>0.14078202961083</v>
      </c>
      <c r="Q232" s="424">
        <v>-0.022324356202355</v>
      </c>
      <c r="R232" s="424">
        <v>0.286863662027515</v>
      </c>
      <c r="S232" s="424">
        <v>0.249212498038064</v>
      </c>
      <c r="T232" s="424" t="s">
        <v>113</v>
      </c>
      <c r="U232" s="424" t="s">
        <v>113</v>
      </c>
      <c r="V232" s="424" t="s">
        <v>113</v>
      </c>
      <c r="W232" s="424" t="s">
        <v>113</v>
      </c>
      <c r="X232" s="424" t="s">
        <v>113</v>
      </c>
      <c r="Y232" s="424" t="s">
        <v>113</v>
      </c>
      <c r="Z232" s="424" t="s">
        <v>113</v>
      </c>
      <c r="AA232" s="424" t="s">
        <v>113</v>
      </c>
      <c r="AB232" s="424" t="s">
        <v>113</v>
      </c>
      <c r="AC232" s="424" t="s">
        <v>113</v>
      </c>
      <c r="AD232" s="424" t="s">
        <v>113</v>
      </c>
      <c r="AE232" s="458" t="s">
        <v>113</v>
      </c>
      <c r="AS232" s="379" t="s">
        <v>483</v>
      </c>
      <c r="AT232" s="382">
        <v>1.17</v>
      </c>
      <c r="AU232" s="383">
        <v>45716</v>
      </c>
      <c r="AV232" s="382">
        <v>11754.8171</v>
      </c>
      <c r="AW232" s="33"/>
      <c r="AX232" s="394">
        <v>0.008169</v>
      </c>
      <c r="AY232" s="394">
        <v>0.018531</v>
      </c>
      <c r="AZ232" s="394">
        <v>0.036697</v>
      </c>
      <c r="BA232" s="394">
        <v>0.073594</v>
      </c>
      <c r="BB232" s="394">
        <v>0.062924</v>
      </c>
      <c r="BC232" s="394">
        <v>0.058618</v>
      </c>
      <c r="BD232" s="394">
        <v>0.069548</v>
      </c>
      <c r="BE232" s="34"/>
      <c r="BF232" s="394">
        <v>0.018531</v>
      </c>
      <c r="BG232" s="394">
        <v>0.0734746159138425</v>
      </c>
      <c r="BH232" s="394">
        <v>0.066743612603924</v>
      </c>
      <c r="BI232" s="394">
        <v>0.0388938129504915</v>
      </c>
      <c r="BJ232" s="394">
        <v>0.0346168417541875</v>
      </c>
      <c r="BK232" s="394">
        <v>0.0790463205517948</v>
      </c>
      <c r="BL232" s="394">
        <v>0.0834001093491267</v>
      </c>
      <c r="BM232" s="394">
        <v>0.0734176929578188</v>
      </c>
      <c r="BN232" s="394">
        <v>0.0714308125796619</v>
      </c>
      <c r="BO232" s="394">
        <v>0.0892729678880424</v>
      </c>
      <c r="BP232" s="394">
        <v>0.0929077992036084</v>
      </c>
      <c r="BQ232" s="394">
        <v>0.0948052478268189</v>
      </c>
      <c r="BR232" s="394">
        <v>0.0709820583349483</v>
      </c>
      <c r="BS232" s="394">
        <v>0.101623619656746</v>
      </c>
      <c r="BT232" s="394">
        <v>0.0983674561162776</v>
      </c>
      <c r="BU232" s="394">
        <v>0.049115983926036</v>
      </c>
    </row>
    <row r="233" ht="15" customHeight="1" spans="2:73">
      <c r="B233" s="425" t="s">
        <v>484</v>
      </c>
      <c r="C233" s="426"/>
      <c r="D233" s="426"/>
      <c r="E233" s="426"/>
      <c r="F233" s="427">
        <v>-0.0369</v>
      </c>
      <c r="G233" s="428">
        <v>0.0277690541869999</v>
      </c>
      <c r="H233" s="428">
        <v>0.0517365436369168</v>
      </c>
      <c r="I233" s="428">
        <v>-0.0444099239932316</v>
      </c>
      <c r="J233" s="428">
        <v>0.11994832801275</v>
      </c>
      <c r="K233" s="428">
        <v>0.123277212829608</v>
      </c>
      <c r="L233" s="460">
        <v>0.107196748947359</v>
      </c>
      <c r="M233" s="459"/>
      <c r="N233" s="427">
        <v>-0.00400549317583987</v>
      </c>
      <c r="O233" s="428">
        <v>0.0947777934731668</v>
      </c>
      <c r="P233" s="428">
        <v>0.261559921681226</v>
      </c>
      <c r="Q233" s="428">
        <v>-0.0369070004948769</v>
      </c>
      <c r="R233" s="428">
        <v>0.151297494077957</v>
      </c>
      <c r="S233" s="428">
        <v>0.236756430732611</v>
      </c>
      <c r="T233" s="428">
        <v>0.110154475988539</v>
      </c>
      <c r="U233" s="428">
        <v>0.02458101398562</v>
      </c>
      <c r="V233" s="428">
        <v>0.353755584275492</v>
      </c>
      <c r="W233" s="428">
        <v>0.00403697304920914</v>
      </c>
      <c r="X233" s="428">
        <v>0.0961626197597198</v>
      </c>
      <c r="Y233" s="428">
        <v>0.474298611422507</v>
      </c>
      <c r="Z233" s="428">
        <v>0.164512675909245</v>
      </c>
      <c r="AA233" s="428">
        <v>0.229711362493177</v>
      </c>
      <c r="AB233" s="428" t="s">
        <v>113</v>
      </c>
      <c r="AC233" s="428" t="s">
        <v>113</v>
      </c>
      <c r="AD233" s="428" t="s">
        <v>113</v>
      </c>
      <c r="AE233" s="460" t="s">
        <v>113</v>
      </c>
      <c r="AN233" s="5">
        <v>0.5</v>
      </c>
      <c r="AO233" s="5">
        <v>0.96</v>
      </c>
      <c r="AP233" s="5">
        <v>22.3</v>
      </c>
      <c r="AQ233" s="5" t="s">
        <v>113</v>
      </c>
      <c r="AS233" s="379" t="s">
        <v>485</v>
      </c>
      <c r="AT233" s="382">
        <v>0.96</v>
      </c>
      <c r="AU233" s="383">
        <v>45716</v>
      </c>
      <c r="AV233" s="382">
        <v>2058.9186</v>
      </c>
      <c r="AW233" s="33"/>
      <c r="AX233" s="394">
        <v>0.007999</v>
      </c>
      <c r="AY233" s="394">
        <v>0.018652</v>
      </c>
      <c r="AZ233" s="394">
        <v>0.035637</v>
      </c>
      <c r="BA233" s="394">
        <v>0.071825</v>
      </c>
      <c r="BB233" s="394">
        <v>0.06161</v>
      </c>
      <c r="BC233" s="394">
        <v>0.057699</v>
      </c>
      <c r="BD233" s="394">
        <v>0.061005</v>
      </c>
      <c r="BE233" s="34"/>
      <c r="BF233" s="394">
        <v>0.018652</v>
      </c>
      <c r="BG233" s="394">
        <v>0.0713548419758852</v>
      </c>
      <c r="BH233" s="394">
        <v>0.0653125552436112</v>
      </c>
      <c r="BI233" s="394">
        <v>0.0384128337321056</v>
      </c>
      <c r="BJ233" s="394">
        <v>0.0374264060321233</v>
      </c>
      <c r="BK233" s="394">
        <v>0.0697494544349603</v>
      </c>
      <c r="BL233" s="394">
        <v>0.0350425120531231</v>
      </c>
      <c r="BM233" s="394">
        <v>0.0720092870716606</v>
      </c>
      <c r="BN233" s="394">
        <v>0.0649084655588151</v>
      </c>
      <c r="BO233" s="394">
        <v>0.0829467228687821</v>
      </c>
      <c r="BP233" s="394">
        <v>0.0773939867090657</v>
      </c>
      <c r="BQ233" s="394">
        <v>0.0846473971725682</v>
      </c>
      <c r="BR233" s="394">
        <v>0.0830970556161396</v>
      </c>
      <c r="BS233" s="394">
        <v>0.0865787186981593</v>
      </c>
      <c r="BT233" s="394">
        <v>0.0782158043360044</v>
      </c>
      <c r="BU233" s="394">
        <v>0.0555912885310981</v>
      </c>
    </row>
    <row r="234" ht="14.4" spans="2:73">
      <c r="B234" s="117" t="s">
        <v>42</v>
      </c>
      <c r="C234" s="426">
        <v>2.5</v>
      </c>
      <c r="D234" s="426"/>
      <c r="E234" s="426"/>
      <c r="F234" s="427">
        <v>-0.0338000000000001</v>
      </c>
      <c r="G234" s="428">
        <v>0.0129786502960001</v>
      </c>
      <c r="H234" s="428">
        <v>0.033656097499881</v>
      </c>
      <c r="I234" s="428">
        <v>-0.0271648364434391</v>
      </c>
      <c r="J234" s="428">
        <v>0.183371252542426</v>
      </c>
      <c r="K234" s="428">
        <v>0.259155398552223</v>
      </c>
      <c r="L234" s="460" t="s">
        <v>113</v>
      </c>
      <c r="M234" s="459"/>
      <c r="N234" s="427">
        <v>-0.0157526639606131</v>
      </c>
      <c r="O234" s="428">
        <v>0.246137661220227</v>
      </c>
      <c r="P234" s="428">
        <v>0.27255977580347</v>
      </c>
      <c r="Q234" s="428">
        <v>0.100871060698555</v>
      </c>
      <c r="R234" s="428">
        <v>0.363589982277438</v>
      </c>
      <c r="S234" s="428">
        <v>0.0893649385219928</v>
      </c>
      <c r="T234" s="428">
        <v>0.109299961060874</v>
      </c>
      <c r="U234" s="428">
        <v>-0.0771779924938113</v>
      </c>
      <c r="V234" s="428" t="s">
        <v>113</v>
      </c>
      <c r="W234" s="428" t="s">
        <v>113</v>
      </c>
      <c r="X234" s="428" t="s">
        <v>113</v>
      </c>
      <c r="Y234" s="428" t="s">
        <v>113</v>
      </c>
      <c r="Z234" s="428" t="s">
        <v>113</v>
      </c>
      <c r="AA234" s="428" t="s">
        <v>113</v>
      </c>
      <c r="AB234" s="428" t="s">
        <v>113</v>
      </c>
      <c r="AC234" s="428" t="s">
        <v>113</v>
      </c>
      <c r="AD234" s="428" t="s">
        <v>113</v>
      </c>
      <c r="AE234" s="460" t="s">
        <v>113</v>
      </c>
      <c r="AS234" s="379" t="s">
        <v>486</v>
      </c>
      <c r="AT234" s="382">
        <v>1.09</v>
      </c>
      <c r="AU234" s="383">
        <v>45716</v>
      </c>
      <c r="AV234" s="382">
        <v>613.2332</v>
      </c>
      <c r="AW234" s="33"/>
      <c r="AX234" s="394">
        <v>0.007952</v>
      </c>
      <c r="AY234" s="394">
        <v>0.01853</v>
      </c>
      <c r="AZ234" s="394">
        <v>0.035857</v>
      </c>
      <c r="BA234" s="394">
        <v>0.072756</v>
      </c>
      <c r="BB234" s="394">
        <v>0.061968</v>
      </c>
      <c r="BC234" s="394">
        <v>0.05429</v>
      </c>
      <c r="BD234" s="394" t="s">
        <v>113</v>
      </c>
      <c r="BE234" s="34"/>
      <c r="BF234" s="394">
        <v>0.01853</v>
      </c>
      <c r="BG234" s="394">
        <v>0.0717292980764552</v>
      </c>
      <c r="BH234" s="394">
        <v>0.0667033928438267</v>
      </c>
      <c r="BI234" s="394">
        <v>0.0370998209649817</v>
      </c>
      <c r="BJ234" s="394">
        <v>0.0314803048568305</v>
      </c>
      <c r="BK234" s="394">
        <v>0.0634566305458303</v>
      </c>
      <c r="BL234" s="394">
        <v>0.0793025865748879</v>
      </c>
      <c r="BM234" s="394">
        <v>0.0650519715203266</v>
      </c>
      <c r="BN234" s="394">
        <v>0.0531441</v>
      </c>
      <c r="BO234" s="394" t="s">
        <v>113</v>
      </c>
      <c r="BP234" s="394" t="s">
        <v>113</v>
      </c>
      <c r="BQ234" s="394" t="s">
        <v>113</v>
      </c>
      <c r="BR234" s="394" t="s">
        <v>113</v>
      </c>
      <c r="BS234" s="394" t="s">
        <v>113</v>
      </c>
      <c r="BT234" s="394" t="s">
        <v>113</v>
      </c>
      <c r="BU234" s="394" t="s">
        <v>113</v>
      </c>
    </row>
    <row r="235" ht="14.4" spans="2:73">
      <c r="B235" s="425" t="s">
        <v>487</v>
      </c>
      <c r="C235" s="426"/>
      <c r="D235" s="426"/>
      <c r="E235" s="426"/>
      <c r="F235" s="427">
        <v>-0.0135999999999999</v>
      </c>
      <c r="G235" s="428">
        <v>0.0504377587520002</v>
      </c>
      <c r="H235" s="428">
        <v>0.0760207551283589</v>
      </c>
      <c r="I235" s="428">
        <v>0.021250036867114</v>
      </c>
      <c r="J235" s="428" t="s">
        <v>113</v>
      </c>
      <c r="K235" s="428" t="s">
        <v>113</v>
      </c>
      <c r="L235" s="460" t="s">
        <v>113</v>
      </c>
      <c r="M235" s="459"/>
      <c r="N235" s="427">
        <v>0.0548231462523303</v>
      </c>
      <c r="O235" s="428">
        <v>0.20686180240832</v>
      </c>
      <c r="P235" s="428" t="s">
        <v>113</v>
      </c>
      <c r="Q235" s="428" t="s">
        <v>113</v>
      </c>
      <c r="R235" s="428" t="s">
        <v>113</v>
      </c>
      <c r="S235" s="428" t="s">
        <v>113</v>
      </c>
      <c r="T235" s="428" t="s">
        <v>113</v>
      </c>
      <c r="U235" s="428" t="s">
        <v>113</v>
      </c>
      <c r="V235" s="428" t="s">
        <v>113</v>
      </c>
      <c r="W235" s="428" t="s">
        <v>113</v>
      </c>
      <c r="X235" s="428" t="s">
        <v>113</v>
      </c>
      <c r="Y235" s="428" t="s">
        <v>113</v>
      </c>
      <c r="Z235" s="428" t="s">
        <v>113</v>
      </c>
      <c r="AA235" s="428" t="s">
        <v>113</v>
      </c>
      <c r="AB235" s="428" t="s">
        <v>113</v>
      </c>
      <c r="AC235" s="428" t="s">
        <v>113</v>
      </c>
      <c r="AD235" s="428" t="s">
        <v>113</v>
      </c>
      <c r="AE235" s="460" t="s">
        <v>113</v>
      </c>
      <c r="AS235" s="379" t="s">
        <v>488</v>
      </c>
      <c r="AT235" s="382">
        <v>0.86</v>
      </c>
      <c r="AU235" s="383">
        <v>45716</v>
      </c>
      <c r="AV235" s="382">
        <v>1199.970995513</v>
      </c>
      <c r="AW235" s="33"/>
      <c r="AX235" s="394">
        <v>0.008058</v>
      </c>
      <c r="AY235" s="394">
        <v>0.019169</v>
      </c>
      <c r="AZ235" s="394">
        <v>0.036409</v>
      </c>
      <c r="BA235" s="394">
        <v>0.074431</v>
      </c>
      <c r="BB235" s="394">
        <v>0.063422</v>
      </c>
      <c r="BC235" s="394">
        <v>0.056097</v>
      </c>
      <c r="BD235" s="394">
        <v>0.059672</v>
      </c>
      <c r="BE235" s="34"/>
      <c r="BF235" s="394">
        <v>0.019169</v>
      </c>
      <c r="BG235" s="394">
        <v>0.0738253007464485</v>
      </c>
      <c r="BH235" s="394">
        <v>0.065979598959918</v>
      </c>
      <c r="BI235" s="394">
        <v>0.0395615359328183</v>
      </c>
      <c r="BJ235" s="394">
        <v>0.0306860569733079</v>
      </c>
      <c r="BK235" s="394">
        <v>0.0667939776882027</v>
      </c>
      <c r="BL235" s="394">
        <v>0.057635557842077</v>
      </c>
      <c r="BM235" s="394">
        <v>0.0661488105553962</v>
      </c>
      <c r="BN235" s="394">
        <v>0.0576513322702101</v>
      </c>
      <c r="BO235" s="394">
        <v>0.0688744693957629</v>
      </c>
      <c r="BP235" s="394">
        <v>0.0696365259579285</v>
      </c>
      <c r="BQ235" s="394">
        <v>0.0798550930567683</v>
      </c>
      <c r="BR235" s="394">
        <v>0.0800633058029107</v>
      </c>
      <c r="BS235" s="394" t="s">
        <v>113</v>
      </c>
      <c r="BT235" s="394" t="s">
        <v>113</v>
      </c>
      <c r="BU235" s="394" t="s">
        <v>113</v>
      </c>
    </row>
    <row r="236" ht="14.4" spans="2:73">
      <c r="B236" s="425" t="s">
        <v>489</v>
      </c>
      <c r="C236" s="426"/>
      <c r="D236" s="426"/>
      <c r="E236" s="426"/>
      <c r="F236" s="427">
        <v>-0.0561</v>
      </c>
      <c r="G236" s="428">
        <v>0.022929518862</v>
      </c>
      <c r="H236" s="428">
        <v>0.0517142059567102</v>
      </c>
      <c r="I236" s="428">
        <v>-0.0245867931608245</v>
      </c>
      <c r="J236" s="428">
        <v>0.0647212377264432</v>
      </c>
      <c r="K236" s="428">
        <v>0.129904475878289</v>
      </c>
      <c r="L236" s="460" t="s">
        <v>113</v>
      </c>
      <c r="M236" s="459"/>
      <c r="N236" s="427">
        <v>0.0240541223400488</v>
      </c>
      <c r="O236" s="428">
        <v>0.0353386383038319</v>
      </c>
      <c r="P236" s="428">
        <v>0.158302432801721</v>
      </c>
      <c r="Q236" s="428">
        <v>-0.0882150679327712</v>
      </c>
      <c r="R236" s="428">
        <v>0.20569431757001</v>
      </c>
      <c r="S236" s="428">
        <v>0.337910696250677</v>
      </c>
      <c r="T236" s="428">
        <v>0.274004267094112</v>
      </c>
      <c r="U236" s="428" t="s">
        <v>113</v>
      </c>
      <c r="V236" s="428" t="s">
        <v>113</v>
      </c>
      <c r="W236" s="428" t="s">
        <v>113</v>
      </c>
      <c r="X236" s="428" t="s">
        <v>113</v>
      </c>
      <c r="Y236" s="428" t="s">
        <v>113</v>
      </c>
      <c r="Z236" s="428" t="s">
        <v>113</v>
      </c>
      <c r="AA236" s="428" t="s">
        <v>113</v>
      </c>
      <c r="AB236" s="428" t="s">
        <v>113</v>
      </c>
      <c r="AC236" s="428" t="s">
        <v>113</v>
      </c>
      <c r="AD236" s="428" t="s">
        <v>113</v>
      </c>
      <c r="AE236" s="460" t="s">
        <v>113</v>
      </c>
      <c r="AS236" s="379" t="s">
        <v>490</v>
      </c>
      <c r="AT236" s="382">
        <v>0.95</v>
      </c>
      <c r="AU236" s="383">
        <v>45716</v>
      </c>
      <c r="AV236" s="382">
        <v>7275.8194</v>
      </c>
      <c r="AW236" s="33"/>
      <c r="AX236" s="394">
        <v>0.007966</v>
      </c>
      <c r="AY236" s="394">
        <v>0.01906</v>
      </c>
      <c r="AZ236" s="394">
        <v>0.037153</v>
      </c>
      <c r="BA236" s="394">
        <v>0.074483</v>
      </c>
      <c r="BB236" s="394">
        <v>0.063887</v>
      </c>
      <c r="BC236" s="394">
        <v>0.059209</v>
      </c>
      <c r="BD236" s="394">
        <v>0.067207</v>
      </c>
      <c r="BE236" s="34"/>
      <c r="BF236" s="394">
        <v>0.01906</v>
      </c>
      <c r="BG236" s="394">
        <v>0.0740606554177517</v>
      </c>
      <c r="BH236" s="394">
        <v>0.0673587401302848</v>
      </c>
      <c r="BI236" s="394">
        <v>0.0416380516713523</v>
      </c>
      <c r="BJ236" s="394">
        <v>0.0409114340851854</v>
      </c>
      <c r="BK236" s="394">
        <v>0.0728329713653326</v>
      </c>
      <c r="BL236" s="394">
        <v>0.0698633557540744</v>
      </c>
      <c r="BM236" s="394">
        <v>0.0738957376978868</v>
      </c>
      <c r="BN236" s="394">
        <v>0.0662986019854785</v>
      </c>
      <c r="BO236" s="394">
        <v>0.0853080778756998</v>
      </c>
      <c r="BP236" s="394">
        <v>0.0844365139905968</v>
      </c>
      <c r="BQ236" s="394">
        <v>0.0898653850731384</v>
      </c>
      <c r="BR236" s="394">
        <v>0.094512166379724</v>
      </c>
      <c r="BS236" s="394">
        <v>0.0970736151842891</v>
      </c>
      <c r="BT236" s="394">
        <v>0.0917751887676478</v>
      </c>
      <c r="BU236" s="394">
        <v>0.0564343914452606</v>
      </c>
    </row>
    <row r="237" ht="14.4" spans="2:73">
      <c r="B237" s="425" t="s">
        <v>491</v>
      </c>
      <c r="C237" s="426"/>
      <c r="D237" s="426"/>
      <c r="E237" s="426"/>
      <c r="F237" s="427">
        <v>-0.0327</v>
      </c>
      <c r="G237" s="428">
        <v>0.056671390999</v>
      </c>
      <c r="H237" s="428">
        <v>0.0917060848391089</v>
      </c>
      <c r="I237" s="428">
        <v>0.0300494817570276</v>
      </c>
      <c r="J237" s="428">
        <v>0.241369679192846</v>
      </c>
      <c r="K237" s="428" t="s">
        <v>113</v>
      </c>
      <c r="L237" s="460" t="s">
        <v>113</v>
      </c>
      <c r="M237" s="459"/>
      <c r="N237" s="427">
        <v>0.0429251002789908</v>
      </c>
      <c r="O237" s="428">
        <v>0.28816029143898</v>
      </c>
      <c r="P237" s="428">
        <v>0.378427237119615</v>
      </c>
      <c r="Q237" s="428" t="s">
        <v>113</v>
      </c>
      <c r="R237" s="428" t="s">
        <v>113</v>
      </c>
      <c r="S237" s="428" t="s">
        <v>113</v>
      </c>
      <c r="T237" s="428" t="s">
        <v>113</v>
      </c>
      <c r="U237" s="428" t="s">
        <v>113</v>
      </c>
      <c r="V237" s="428" t="s">
        <v>113</v>
      </c>
      <c r="W237" s="428" t="s">
        <v>113</v>
      </c>
      <c r="X237" s="428" t="s">
        <v>113</v>
      </c>
      <c r="Y237" s="428" t="s">
        <v>113</v>
      </c>
      <c r="Z237" s="428" t="s">
        <v>113</v>
      </c>
      <c r="AA237" s="428" t="s">
        <v>113</v>
      </c>
      <c r="AB237" s="428" t="s">
        <v>113</v>
      </c>
      <c r="AC237" s="428" t="s">
        <v>113</v>
      </c>
      <c r="AD237" s="428" t="s">
        <v>113</v>
      </c>
      <c r="AE237" s="460" t="s">
        <v>113</v>
      </c>
      <c r="AS237" s="379" t="s">
        <v>492</v>
      </c>
      <c r="AT237" s="382">
        <v>0.97</v>
      </c>
      <c r="AU237" s="383">
        <v>45716</v>
      </c>
      <c r="AV237" s="382">
        <v>12334.9351</v>
      </c>
      <c r="AW237" s="33"/>
      <c r="AX237" s="394">
        <v>0.008243</v>
      </c>
      <c r="AY237" s="394">
        <v>0.018964</v>
      </c>
      <c r="AZ237" s="394">
        <v>0.036067</v>
      </c>
      <c r="BA237" s="394">
        <v>0.073171</v>
      </c>
      <c r="BB237" s="394">
        <v>0.063438</v>
      </c>
      <c r="BC237" s="394">
        <v>0.056384</v>
      </c>
      <c r="BD237" s="394">
        <v>0.066679</v>
      </c>
      <c r="BE237" s="34"/>
      <c r="BF237" s="394">
        <v>0.018964</v>
      </c>
      <c r="BG237" s="394">
        <v>0.0728491593790012</v>
      </c>
      <c r="BH237" s="394">
        <v>0.0674669216473213</v>
      </c>
      <c r="BI237" s="394">
        <v>0.0402515186445019</v>
      </c>
      <c r="BJ237" s="394">
        <v>0.0319522311748004</v>
      </c>
      <c r="BK237" s="394">
        <v>0.0671750836411934</v>
      </c>
      <c r="BL237" s="394">
        <v>0.0827732819721269</v>
      </c>
      <c r="BM237" s="394">
        <v>0.0750383995157274</v>
      </c>
      <c r="BN237" s="394">
        <v>0.0662139211612377</v>
      </c>
      <c r="BO237" s="394">
        <v>0.0831224363341893</v>
      </c>
      <c r="BP237" s="394">
        <v>0.0863297328123215</v>
      </c>
      <c r="BQ237" s="394">
        <v>0.0916919702222083</v>
      </c>
      <c r="BR237" s="394">
        <v>0.0896133740819525</v>
      </c>
      <c r="BS237" s="394">
        <v>0.0947058605203577</v>
      </c>
      <c r="BT237" s="394">
        <v>0.0898390097888522</v>
      </c>
      <c r="BU237" s="394">
        <v>0.0539015074005864</v>
      </c>
    </row>
    <row r="238" ht="14.4" spans="2:73">
      <c r="B238" s="425" t="s">
        <v>493</v>
      </c>
      <c r="C238" s="426"/>
      <c r="D238" s="426"/>
      <c r="E238" s="426"/>
      <c r="F238" s="427">
        <v>-0.0233</v>
      </c>
      <c r="G238" s="428">
        <v>0.04979280955</v>
      </c>
      <c r="H238" s="428">
        <v>0.0936034244476103</v>
      </c>
      <c r="I238" s="428">
        <v>-0.00730380535751685</v>
      </c>
      <c r="J238" s="428">
        <v>0.231457106640928</v>
      </c>
      <c r="K238" s="428">
        <v>0.247610717258348</v>
      </c>
      <c r="L238" s="460">
        <v>0.145281823293009</v>
      </c>
      <c r="M238" s="459"/>
      <c r="N238" s="427">
        <v>0.0535775391128281</v>
      </c>
      <c r="O238" s="428">
        <v>0.206780866086016</v>
      </c>
      <c r="P238" s="428">
        <v>0.318647722773833</v>
      </c>
      <c r="Q238" s="428">
        <v>0.132464358091978</v>
      </c>
      <c r="R238" s="428">
        <v>0.335536863207879</v>
      </c>
      <c r="S238" s="428">
        <v>0.134303305098298</v>
      </c>
      <c r="T238" s="428">
        <v>0.0834138664163238</v>
      </c>
      <c r="U238" s="428">
        <v>0.00276120717863537</v>
      </c>
      <c r="V238" s="428">
        <v>0.313047185619243</v>
      </c>
      <c r="W238" s="428">
        <v>-0.0302615596145029</v>
      </c>
      <c r="X238" s="428" t="s">
        <v>113</v>
      </c>
      <c r="Y238" s="428" t="s">
        <v>113</v>
      </c>
      <c r="Z238" s="428" t="s">
        <v>113</v>
      </c>
      <c r="AA238" s="428" t="s">
        <v>113</v>
      </c>
      <c r="AB238" s="428" t="s">
        <v>113</v>
      </c>
      <c r="AC238" s="428" t="s">
        <v>113</v>
      </c>
      <c r="AD238" s="428" t="s">
        <v>113</v>
      </c>
      <c r="AE238" s="460" t="s">
        <v>113</v>
      </c>
      <c r="AS238" s="379" t="s">
        <v>494</v>
      </c>
      <c r="AT238" s="382">
        <v>1.24</v>
      </c>
      <c r="AU238" s="383">
        <v>45716</v>
      </c>
      <c r="AV238" s="382">
        <v>372.683169</v>
      </c>
      <c r="AW238" s="33"/>
      <c r="AX238" s="394">
        <v>0.008036</v>
      </c>
      <c r="AY238" s="394">
        <v>0.018614</v>
      </c>
      <c r="AZ238" s="394">
        <v>0.035328</v>
      </c>
      <c r="BA238" s="394">
        <v>0.073835</v>
      </c>
      <c r="BB238" s="394">
        <v>0.062973</v>
      </c>
      <c r="BC238" s="394">
        <v>0.052971</v>
      </c>
      <c r="BD238" s="394">
        <v>0.04426</v>
      </c>
      <c r="BE238" s="34"/>
      <c r="BF238" s="394">
        <v>0.018614</v>
      </c>
      <c r="BG238" s="394">
        <v>0.0727288548465908</v>
      </c>
      <c r="BH238" s="394">
        <v>0.0648126262074193</v>
      </c>
      <c r="BI238" s="394">
        <v>0.0415282809391229</v>
      </c>
      <c r="BJ238" s="394">
        <v>0.0338100946797767</v>
      </c>
      <c r="BK238" s="394">
        <v>0.0601903833829022</v>
      </c>
      <c r="BL238" s="394">
        <v>-0.115685904244013</v>
      </c>
      <c r="BM238" s="394">
        <v>0.064104599927972</v>
      </c>
      <c r="BN238" s="394">
        <v>0.0731438283365395</v>
      </c>
      <c r="BO238" s="394">
        <v>0.0863861579250792</v>
      </c>
      <c r="BP238" s="394">
        <v>0.0817803995609282</v>
      </c>
      <c r="BQ238" s="394">
        <v>0.083943726636926</v>
      </c>
      <c r="BR238" s="394">
        <v>0.0898321102863017</v>
      </c>
      <c r="BS238" s="394">
        <v>0.0993173189428409</v>
      </c>
      <c r="BT238" s="394">
        <v>0.0915751166448403</v>
      </c>
      <c r="BU238" s="394">
        <v>0.0541734883591863</v>
      </c>
    </row>
    <row r="239" ht="14.4" spans="2:73">
      <c r="B239" s="429" t="s">
        <v>495</v>
      </c>
      <c r="C239" s="430"/>
      <c r="D239" s="430"/>
      <c r="E239" s="430"/>
      <c r="F239" s="431">
        <v>-0.0227000000000001</v>
      </c>
      <c r="G239" s="432">
        <v>0.043457111648</v>
      </c>
      <c r="H239" s="432">
        <v>0.100908645397526</v>
      </c>
      <c r="I239" s="432">
        <v>0.0624846069145912</v>
      </c>
      <c r="J239" s="432">
        <v>0.128171004985121</v>
      </c>
      <c r="K239" s="432">
        <v>0.162141950025213</v>
      </c>
      <c r="L239" s="461" t="s">
        <v>113</v>
      </c>
      <c r="M239" s="459"/>
      <c r="N239" s="431">
        <v>0.0613860250277551</v>
      </c>
      <c r="O239" s="432">
        <v>0.15744104361876</v>
      </c>
      <c r="P239" s="432">
        <v>0.164611495145132</v>
      </c>
      <c r="Q239" s="432">
        <v>-0.0463633300582881</v>
      </c>
      <c r="R239" s="432">
        <v>0.219941582384843</v>
      </c>
      <c r="S239" s="432">
        <v>0.2212725726205</v>
      </c>
      <c r="T239" s="432">
        <v>0.194663520524868</v>
      </c>
      <c r="U239" s="432">
        <v>0.145377507515834</v>
      </c>
      <c r="V239" s="432" t="s">
        <v>113</v>
      </c>
      <c r="W239" s="432" t="s">
        <v>113</v>
      </c>
      <c r="X239" s="432" t="s">
        <v>113</v>
      </c>
      <c r="Y239" s="432" t="s">
        <v>113</v>
      </c>
      <c r="Z239" s="432" t="s">
        <v>113</v>
      </c>
      <c r="AA239" s="432" t="s">
        <v>113</v>
      </c>
      <c r="AB239" s="432" t="s">
        <v>113</v>
      </c>
      <c r="AC239" s="432" t="s">
        <v>113</v>
      </c>
      <c r="AD239" s="432" t="s">
        <v>113</v>
      </c>
      <c r="AE239" s="461" t="s">
        <v>113</v>
      </c>
      <c r="AS239" s="379" t="s">
        <v>496</v>
      </c>
      <c r="AT239" s="382">
        <v>0.59</v>
      </c>
      <c r="AU239" s="383">
        <v>45716</v>
      </c>
      <c r="AV239" s="382">
        <v>2366.4477442253</v>
      </c>
      <c r="AW239" s="33"/>
      <c r="AX239" s="394">
        <v>0.008027</v>
      </c>
      <c r="AY239" s="394">
        <v>0.01945</v>
      </c>
      <c r="AZ239" s="394">
        <v>0.037001</v>
      </c>
      <c r="BA239" s="394">
        <v>0.074945</v>
      </c>
      <c r="BB239" s="394">
        <v>0.064537</v>
      </c>
      <c r="BC239" s="394">
        <v>0.059456</v>
      </c>
      <c r="BD239" s="394">
        <v>0.062503</v>
      </c>
      <c r="BE239" s="34"/>
      <c r="BF239" s="394">
        <v>0.01945</v>
      </c>
      <c r="BG239" s="394">
        <v>0.0741971799670573</v>
      </c>
      <c r="BH239" s="394">
        <v>0.0686022266707941</v>
      </c>
      <c r="BI239" s="394">
        <v>0.0407116949163791</v>
      </c>
      <c r="BJ239" s="394">
        <v>0.036273388864625</v>
      </c>
      <c r="BK239" s="394">
        <v>0.0748479907869216</v>
      </c>
      <c r="BL239" s="394">
        <v>0.0215037709969531</v>
      </c>
      <c r="BM239" s="394">
        <v>0.0751954450223523</v>
      </c>
      <c r="BN239" s="394">
        <v>0.0687519590781273</v>
      </c>
      <c r="BO239" s="394">
        <v>0.08463122460203</v>
      </c>
      <c r="BP239" s="394">
        <v>0.0859029276239362</v>
      </c>
      <c r="BQ239" s="394">
        <v>0.0922210965805353</v>
      </c>
      <c r="BR239" s="394">
        <v>0.0936666072928418</v>
      </c>
      <c r="BS239" s="394">
        <v>0.0965115345143011</v>
      </c>
      <c r="BT239" s="394">
        <v>0.0924506096754201</v>
      </c>
      <c r="BU239" s="394">
        <v>0.0576083194013802</v>
      </c>
    </row>
    <row r="240" ht="15.15" spans="2:73">
      <c r="B240" s="433" t="s">
        <v>497</v>
      </c>
      <c r="C240" s="434"/>
      <c r="D240" s="434"/>
      <c r="E240" s="434"/>
      <c r="F240" s="435">
        <v>-0.0289556572542361</v>
      </c>
      <c r="G240" s="436">
        <v>0.0117561523706218</v>
      </c>
      <c r="H240" s="436">
        <v>0.047565212203861</v>
      </c>
      <c r="I240" s="436">
        <v>-0.00678321857555053</v>
      </c>
      <c r="J240" s="436">
        <v>0.121405172241125</v>
      </c>
      <c r="K240" s="436">
        <v>0.166389483059368</v>
      </c>
      <c r="L240" s="462">
        <v>0.111873579085552</v>
      </c>
      <c r="M240" s="463"/>
      <c r="N240" s="435">
        <v>0.0390055568549432</v>
      </c>
      <c r="O240" s="436">
        <v>0.0816551313744194</v>
      </c>
      <c r="P240" s="436">
        <v>0.18736599521487</v>
      </c>
      <c r="Q240" s="436">
        <v>0.0444077074656732</v>
      </c>
      <c r="R240" s="436">
        <v>0.219939902672325</v>
      </c>
      <c r="S240" s="436">
        <v>0.157503388375106</v>
      </c>
      <c r="T240" s="436">
        <v>0.143766290260736</v>
      </c>
      <c r="U240" s="436">
        <v>0.059063042567379</v>
      </c>
      <c r="V240" s="436">
        <v>0.27905962715284</v>
      </c>
      <c r="W240" s="436">
        <v>0.0194857555497188</v>
      </c>
      <c r="X240" s="436">
        <v>-0.0502512416625513</v>
      </c>
      <c r="Y240" s="436">
        <v>0.298938909850794</v>
      </c>
      <c r="Z240" s="436">
        <v>0.0897717626916756</v>
      </c>
      <c r="AA240" s="436">
        <v>0.256991948195138</v>
      </c>
      <c r="AB240" s="436">
        <v>-0.246435604895195</v>
      </c>
      <c r="AC240" s="436">
        <v>0.174309368381333</v>
      </c>
      <c r="AD240" s="436">
        <v>0.810329511542595</v>
      </c>
      <c r="AE240" s="462">
        <v>-0.524458285827518</v>
      </c>
      <c r="AS240" s="379" t="s">
        <v>498</v>
      </c>
      <c r="AT240" s="382">
        <v>0.46</v>
      </c>
      <c r="AU240" s="383">
        <v>45716</v>
      </c>
      <c r="AV240" s="382">
        <v>3236.6936</v>
      </c>
      <c r="AW240" s="33"/>
      <c r="AX240" s="394">
        <v>0.008787</v>
      </c>
      <c r="AY240" s="394">
        <v>0.019981</v>
      </c>
      <c r="AZ240" s="394">
        <v>0.037899</v>
      </c>
      <c r="BA240" s="394">
        <v>0.07753</v>
      </c>
      <c r="BB240" s="394">
        <v>0.067553</v>
      </c>
      <c r="BC240" s="394">
        <v>0.071641</v>
      </c>
      <c r="BD240" s="394">
        <v>0.062352</v>
      </c>
      <c r="BE240" s="34"/>
      <c r="BF240" s="394">
        <v>0.019981</v>
      </c>
      <c r="BG240" s="394">
        <v>0.0769238183865964</v>
      </c>
      <c r="BH240" s="394">
        <v>0.071225948351544</v>
      </c>
      <c r="BI240" s="394">
        <v>0.0448066263069012</v>
      </c>
      <c r="BJ240" s="394">
        <v>0.0895477688969295</v>
      </c>
      <c r="BK240" s="394">
        <v>0.0728259766725011</v>
      </c>
      <c r="BL240" s="394">
        <v>-0.0422872654883846</v>
      </c>
      <c r="BM240" s="394">
        <v>0.072934277528302</v>
      </c>
      <c r="BN240" s="394">
        <v>0.070469801099531</v>
      </c>
      <c r="BO240" s="394">
        <v>0.0889631484237897</v>
      </c>
      <c r="BP240" s="394">
        <v>0.0875964010975101</v>
      </c>
      <c r="BQ240" s="394">
        <v>0.0931153374379783</v>
      </c>
      <c r="BR240" s="394">
        <v>0.0955070670902878</v>
      </c>
      <c r="BS240" s="394">
        <v>0.0972744726090484</v>
      </c>
      <c r="BT240" s="394">
        <v>0.0930843033184962</v>
      </c>
      <c r="BU240" s="394">
        <v>0.0569793475878808</v>
      </c>
    </row>
    <row r="241" ht="15.15" spans="2:73">
      <c r="B241" s="437" t="s">
        <v>499</v>
      </c>
      <c r="C241" s="438"/>
      <c r="D241" s="438"/>
      <c r="E241" s="438"/>
      <c r="F241" s="439">
        <v>-0.0293411660046911</v>
      </c>
      <c r="G241" s="440">
        <v>0.0178411453838629</v>
      </c>
      <c r="H241" s="440">
        <v>0.0535509223736246</v>
      </c>
      <c r="I241" s="440">
        <v>-0.00736933178309651</v>
      </c>
      <c r="J241" s="440">
        <v>0.130147960511475</v>
      </c>
      <c r="K241" s="440">
        <v>0.174678915684015</v>
      </c>
      <c r="L241" s="464">
        <v>0.112444800803657</v>
      </c>
      <c r="M241" s="463"/>
      <c r="N241" s="439">
        <v>0.0474729871024513</v>
      </c>
      <c r="O241" s="440">
        <v>0.0880471758705632</v>
      </c>
      <c r="P241" s="440">
        <v>0.200280152799043</v>
      </c>
      <c r="Q241" s="440">
        <v>0.0432895364311634</v>
      </c>
      <c r="R241" s="440">
        <v>0.241192889456564</v>
      </c>
      <c r="S241" s="440">
        <v>0.149016438373398</v>
      </c>
      <c r="T241" s="440">
        <v>0.120220390239861</v>
      </c>
      <c r="U241" s="440">
        <v>0.0315126249916911</v>
      </c>
      <c r="V241" s="440">
        <v>0.286459478609299</v>
      </c>
      <c r="W241" s="440">
        <v>0.0301333316554147</v>
      </c>
      <c r="X241" s="440">
        <v>-0.0406087386963186</v>
      </c>
      <c r="Y241" s="440">
        <v>0.313880076142132</v>
      </c>
      <c r="Z241" s="440">
        <v>0.0675517772772691</v>
      </c>
      <c r="AA241" s="440">
        <v>0.276971649763208</v>
      </c>
      <c r="AB241" s="440">
        <v>-0.246181432879615</v>
      </c>
      <c r="AC241" s="440">
        <v>0.179473375568395</v>
      </c>
      <c r="AD241" s="440">
        <v>0.757616207356842</v>
      </c>
      <c r="AE241" s="464">
        <v>-0.517943830840908</v>
      </c>
      <c r="AS241" s="4" t="s">
        <v>146</v>
      </c>
      <c r="AT241"/>
      <c r="AU241"/>
      <c r="AV241"/>
      <c r="AW241" s="395"/>
      <c r="AX241" s="396">
        <f t="shared" ref="AX241:BD241" si="32">AVERAGE(AX221:AX240)</f>
        <v>0.00824255</v>
      </c>
      <c r="AY241" s="396">
        <f t="shared" si="32"/>
        <v>0.01916455</v>
      </c>
      <c r="AZ241" s="396">
        <f t="shared" si="32"/>
        <v>0.03667895</v>
      </c>
      <c r="BA241" s="396">
        <f t="shared" si="32"/>
        <v>0.0743937</v>
      </c>
      <c r="BB241" s="396">
        <f t="shared" si="32"/>
        <v>0.06431785</v>
      </c>
      <c r="BC241" s="396">
        <f t="shared" si="32"/>
        <v>0.06051275</v>
      </c>
      <c r="BD241" s="396">
        <f t="shared" si="32"/>
        <v>0.0649203157894737</v>
      </c>
      <c r="BE241" s="395"/>
      <c r="BF241" s="396">
        <f t="shared" ref="BF241:BU241" si="33">AVERAGE(BF221:BF240)</f>
        <v>0.01916455</v>
      </c>
      <c r="BG241" s="396">
        <f t="shared" si="33"/>
        <v>0.0738715946678331</v>
      </c>
      <c r="BH241" s="396">
        <f t="shared" si="33"/>
        <v>0.0684389475190075</v>
      </c>
      <c r="BI241" s="396">
        <f t="shared" si="33"/>
        <v>0.0408247072884793</v>
      </c>
      <c r="BJ241" s="396">
        <f t="shared" si="33"/>
        <v>0.0374019213307197</v>
      </c>
      <c r="BK241" s="396">
        <f t="shared" si="33"/>
        <v>0.0812906488658286</v>
      </c>
      <c r="BL241" s="396">
        <f t="shared" si="33"/>
        <v>0.0474966782209821</v>
      </c>
      <c r="BM241" s="396">
        <f t="shared" si="33"/>
        <v>0.0706029375085932</v>
      </c>
      <c r="BN241" s="396">
        <f t="shared" si="33"/>
        <v>0.066826419798709</v>
      </c>
      <c r="BO241" s="396">
        <f t="shared" si="33"/>
        <v>0.0852622696206545</v>
      </c>
      <c r="BP241" s="396">
        <f t="shared" si="33"/>
        <v>0.0827932467297025</v>
      </c>
      <c r="BQ241" s="396">
        <f t="shared" si="33"/>
        <v>0.0900238784794233</v>
      </c>
      <c r="BR241" s="396">
        <f t="shared" si="33"/>
        <v>0.0883509815719301</v>
      </c>
      <c r="BS241" s="396">
        <f t="shared" si="33"/>
        <v>0.0964514369762501</v>
      </c>
      <c r="BT241" s="396">
        <f t="shared" si="33"/>
        <v>0.0910869324400545</v>
      </c>
      <c r="BU241" s="396">
        <f t="shared" si="33"/>
        <v>0.0523932906608587</v>
      </c>
    </row>
    <row r="242" ht="14.4" spans="2:73">
      <c r="B242" s="437" t="s">
        <v>500</v>
      </c>
      <c r="C242" s="438"/>
      <c r="D242" s="438"/>
      <c r="E242" s="438"/>
      <c r="F242" s="441">
        <v>-0.0299314384913704</v>
      </c>
      <c r="G242" s="442">
        <v>0.0231146582258925</v>
      </c>
      <c r="H242" s="442">
        <v>0.0542314259423737</v>
      </c>
      <c r="I242" s="442">
        <v>-0.0180278378540574</v>
      </c>
      <c r="J242" s="442">
        <v>0.144909071195625</v>
      </c>
      <c r="K242" s="442">
        <v>0.187114735762761</v>
      </c>
      <c r="L242" s="465">
        <v>0.117610552714823</v>
      </c>
      <c r="M242" s="463"/>
      <c r="N242" s="441">
        <v>0.0359299683880137</v>
      </c>
      <c r="O242" s="442">
        <v>0.134532873040178</v>
      </c>
      <c r="P242" s="442">
        <v>0.21488429032018</v>
      </c>
      <c r="Q242" s="442">
        <v>0.0453884917446525</v>
      </c>
      <c r="R242" s="442">
        <v>0.249994961729553</v>
      </c>
      <c r="S242" s="442">
        <v>0.152318711455303</v>
      </c>
      <c r="T242" s="442">
        <v>0.0963325932576053</v>
      </c>
      <c r="U242" s="442">
        <v>0.0118986960755338</v>
      </c>
      <c r="V242" s="442">
        <v>0.315152938763684</v>
      </c>
      <c r="W242" s="442">
        <v>0.0357045385220502</v>
      </c>
      <c r="X242" s="442">
        <v>-0.0324640022367546</v>
      </c>
      <c r="Y242" s="442">
        <v>0.322845012897678</v>
      </c>
      <c r="Z242" s="442">
        <v>0.0587341484067243</v>
      </c>
      <c r="AA242" s="442">
        <v>0.299579619025665</v>
      </c>
      <c r="AB242" s="442">
        <v>-0.257336255614543</v>
      </c>
      <c r="AC242" s="442">
        <v>0.15659330908629</v>
      </c>
      <c r="AD242" s="442">
        <v>0.850369504953232</v>
      </c>
      <c r="AE242" s="465">
        <v>-0.552814136530293</v>
      </c>
      <c r="AS242" s="4" t="s">
        <v>162</v>
      </c>
      <c r="AT242"/>
      <c r="AU242"/>
      <c r="AV242"/>
      <c r="AW242"/>
      <c r="AX242" s="397">
        <v>0.0087263867959253</v>
      </c>
      <c r="AY242" s="397">
        <v>0.0207643930788102</v>
      </c>
      <c r="AZ242" s="397">
        <v>0.0377184412193585</v>
      </c>
      <c r="BA242" s="397">
        <v>0.080280059411505</v>
      </c>
      <c r="BB242" s="397">
        <v>0.0659301709109001</v>
      </c>
      <c r="BC242" s="397">
        <v>0.0655149768088614</v>
      </c>
      <c r="BD242" s="397">
        <v>0.0738047315298365</v>
      </c>
      <c r="BE242" s="400"/>
      <c r="BF242" s="397">
        <v>0.0207643930788102</v>
      </c>
      <c r="BG242" s="397">
        <v>0.0797029257152309</v>
      </c>
      <c r="BH242" s="397">
        <v>0.0725988870220093</v>
      </c>
      <c r="BI242" s="397">
        <v>0.0358682288812193</v>
      </c>
      <c r="BJ242" s="397">
        <v>0.0437965988907254</v>
      </c>
      <c r="BK242" s="397">
        <v>0.104161972570555</v>
      </c>
      <c r="BL242" s="397">
        <v>0.0953364838894115</v>
      </c>
      <c r="BM242" s="397">
        <v>0.0665068187794211</v>
      </c>
      <c r="BN242" s="397">
        <v>0.0602957159773323</v>
      </c>
      <c r="BO242" s="397">
        <v>0.0986738756953636</v>
      </c>
      <c r="BP242" s="397">
        <v>0.0865549936165921</v>
      </c>
      <c r="BQ242" s="397">
        <v>0.104681934209951</v>
      </c>
      <c r="BR242" s="397">
        <v>0.0827206164504672</v>
      </c>
      <c r="BS242" s="397">
        <v>0.0912371315059957</v>
      </c>
      <c r="BT242" s="397">
        <v>0.0786771029274067</v>
      </c>
      <c r="BU242" s="397">
        <v>0.0470040326565153</v>
      </c>
    </row>
    <row r="243" ht="15.15" spans="2:73">
      <c r="B243" s="417" t="s">
        <v>146</v>
      </c>
      <c r="C243" s="418"/>
      <c r="D243" s="418"/>
      <c r="E243" s="418"/>
      <c r="F243" s="443">
        <f t="shared" ref="F243:L243" si="34">+AVERAGE(F232:F239)</f>
        <v>-0.0327</v>
      </c>
      <c r="G243" s="444">
        <f t="shared" si="34"/>
        <v>0.031891577927375</v>
      </c>
      <c r="H243" s="444">
        <f t="shared" si="34"/>
        <v>0.0633337007419258</v>
      </c>
      <c r="I243" s="444">
        <f t="shared" si="34"/>
        <v>-0.00300363213917648</v>
      </c>
      <c r="J243" s="444">
        <f t="shared" si="34"/>
        <v>0.147131581543396</v>
      </c>
      <c r="K243" s="444">
        <f t="shared" si="34"/>
        <v>0.175763065270621</v>
      </c>
      <c r="L243" s="466">
        <f t="shared" si="34"/>
        <v>0.126239286120184</v>
      </c>
      <c r="M243" s="459"/>
      <c r="N243" s="443">
        <f t="shared" ref="N243:AA243" si="35">+AVERAGE(N232:N239)</f>
        <v>0.0281044108536636</v>
      </c>
      <c r="O243" s="444">
        <f t="shared" si="35"/>
        <v>0.155200185795956</v>
      </c>
      <c r="P243" s="444">
        <f t="shared" si="35"/>
        <v>0.242127230705118</v>
      </c>
      <c r="Q243" s="444">
        <f t="shared" si="35"/>
        <v>0.00658761068370696</v>
      </c>
      <c r="R243" s="444">
        <f t="shared" si="35"/>
        <v>0.260487316924274</v>
      </c>
      <c r="S243" s="444">
        <f t="shared" si="35"/>
        <v>0.21147007354369</v>
      </c>
      <c r="T243" s="444">
        <f t="shared" si="35"/>
        <v>0.154307218216944</v>
      </c>
      <c r="U243" s="444">
        <f t="shared" si="35"/>
        <v>0.0238854340465696</v>
      </c>
      <c r="V243" s="444">
        <f t="shared" si="35"/>
        <v>0.333401384947368</v>
      </c>
      <c r="W243" s="444">
        <f t="shared" si="35"/>
        <v>-0.0131122932826469</v>
      </c>
      <c r="X243" s="444">
        <f t="shared" si="35"/>
        <v>0.0961626197597198</v>
      </c>
      <c r="Y243" s="444">
        <f t="shared" si="35"/>
        <v>0.474298611422507</v>
      </c>
      <c r="Z243" s="444">
        <f t="shared" si="35"/>
        <v>0.164512675909245</v>
      </c>
      <c r="AA243" s="444">
        <f t="shared" si="35"/>
        <v>0.229711362493177</v>
      </c>
      <c r="AB243" s="444" t="s">
        <v>113</v>
      </c>
      <c r="AC243" s="444" t="s">
        <v>113</v>
      </c>
      <c r="AD243" s="444" t="s">
        <v>113</v>
      </c>
      <c r="AE243" s="466" t="s">
        <v>113</v>
      </c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</row>
    <row r="244" ht="15.15" spans="2:73">
      <c r="B244" s="445" t="s">
        <v>501</v>
      </c>
      <c r="C244" s="445"/>
      <c r="D244" s="445"/>
      <c r="E244" s="445"/>
      <c r="F244" s="446"/>
      <c r="G244" s="446"/>
      <c r="H244" s="446"/>
      <c r="I244" s="446"/>
      <c r="J244" s="446"/>
      <c r="K244" s="446"/>
      <c r="L244" s="446"/>
      <c r="M244" s="446"/>
      <c r="N244" s="467"/>
      <c r="O244" s="467"/>
      <c r="P244" s="446"/>
      <c r="Q244" s="446"/>
      <c r="R244" s="446"/>
      <c r="S244" s="446"/>
      <c r="T244" s="446"/>
      <c r="U244" s="446"/>
      <c r="V244" s="446"/>
      <c r="W244" s="446"/>
      <c r="X244" s="446"/>
      <c r="Y244" s="446"/>
      <c r="Z244" s="446"/>
      <c r="AA244" s="446"/>
      <c r="AB244" s="446"/>
      <c r="AC244" s="446"/>
      <c r="AD244" s="446"/>
      <c r="AE244" s="446"/>
      <c r="AS244" s="350" t="s">
        <v>502</v>
      </c>
      <c r="AT244" s="369" t="s">
        <v>16</v>
      </c>
      <c r="AU244" s="370" t="s">
        <v>99</v>
      </c>
      <c r="AV244" s="371"/>
      <c r="AW244" s="386"/>
      <c r="AX244" s="360" t="s">
        <v>102</v>
      </c>
      <c r="AY244" s="361"/>
      <c r="AZ244" s="361"/>
      <c r="BA244" s="361"/>
      <c r="BB244" s="361"/>
      <c r="BC244" s="361"/>
      <c r="BD244" s="364"/>
      <c r="BE244" s="386"/>
      <c r="BF244" s="398" t="s">
        <v>103</v>
      </c>
      <c r="BG244" s="399"/>
      <c r="BH244" s="399"/>
      <c r="BI244" s="399"/>
      <c r="BJ244" s="399"/>
      <c r="BK244" s="399"/>
      <c r="BL244" s="399"/>
      <c r="BM244" s="399"/>
      <c r="BN244" s="399"/>
      <c r="BO244" s="399"/>
      <c r="BP244" s="399"/>
      <c r="BQ244" s="399"/>
      <c r="BR244" s="399"/>
      <c r="BS244" s="399"/>
      <c r="BT244" s="399"/>
      <c r="BU244" s="401"/>
    </row>
    <row r="245" ht="15.15" spans="2:73">
      <c r="B245" s="446"/>
      <c r="C245" s="446"/>
      <c r="D245" s="446"/>
      <c r="E245" s="446"/>
      <c r="F245" s="446"/>
      <c r="G245" s="446"/>
      <c r="H245" s="446"/>
      <c r="I245" s="446"/>
      <c r="J245" s="446"/>
      <c r="K245" s="446"/>
      <c r="L245" s="446"/>
      <c r="M245" s="446"/>
      <c r="N245" s="446"/>
      <c r="O245" s="446"/>
      <c r="P245" s="446"/>
      <c r="Q245" s="446"/>
      <c r="R245" s="446"/>
      <c r="S245" s="446"/>
      <c r="T245" s="446"/>
      <c r="U245" s="446"/>
      <c r="V245" s="446"/>
      <c r="W245" s="446"/>
      <c r="X245" s="446"/>
      <c r="Y245" s="446"/>
      <c r="Z245" s="446"/>
      <c r="AA245" s="446"/>
      <c r="AB245" s="446"/>
      <c r="AC245" s="446"/>
      <c r="AD245" s="446"/>
      <c r="AE245" s="446"/>
      <c r="AS245" s="352"/>
      <c r="AT245" s="373" t="s">
        <v>110</v>
      </c>
      <c r="AU245" s="374" t="s">
        <v>104</v>
      </c>
      <c r="AV245" s="375" t="s">
        <v>105</v>
      </c>
      <c r="AW245" s="387"/>
      <c r="AX245" s="16" t="s">
        <v>89</v>
      </c>
      <c r="AY245" s="18" t="s">
        <v>90</v>
      </c>
      <c r="AZ245" s="18" t="s">
        <v>91</v>
      </c>
      <c r="BA245" s="18" t="s">
        <v>20</v>
      </c>
      <c r="BB245" s="18" t="s">
        <v>92</v>
      </c>
      <c r="BC245" s="18" t="s">
        <v>93</v>
      </c>
      <c r="BD245" s="273" t="s">
        <v>111</v>
      </c>
      <c r="BE245" s="387"/>
      <c r="BF245" s="16">
        <v>2025</v>
      </c>
      <c r="BG245" s="16">
        <v>2024</v>
      </c>
      <c r="BH245" s="16">
        <v>2023</v>
      </c>
      <c r="BI245" s="18">
        <v>2022</v>
      </c>
      <c r="BJ245" s="18">
        <v>2021</v>
      </c>
      <c r="BK245" s="18">
        <v>2020</v>
      </c>
      <c r="BL245" s="18">
        <v>2019</v>
      </c>
      <c r="BM245" s="18">
        <v>2018</v>
      </c>
      <c r="BN245" s="18">
        <v>2017</v>
      </c>
      <c r="BO245" s="18">
        <v>2016</v>
      </c>
      <c r="BP245" s="18">
        <v>2015</v>
      </c>
      <c r="BQ245" s="18">
        <v>2014</v>
      </c>
      <c r="BR245" s="18">
        <v>2013</v>
      </c>
      <c r="BS245" s="18">
        <v>2012</v>
      </c>
      <c r="BT245" s="18">
        <v>2011</v>
      </c>
      <c r="BU245" s="273">
        <v>2010</v>
      </c>
    </row>
    <row r="246" ht="14.4" spans="2:73">
      <c r="B246" s="446"/>
      <c r="C246" s="446"/>
      <c r="D246" s="446"/>
      <c r="E246" s="446"/>
      <c r="F246" s="447" t="s">
        <v>503</v>
      </c>
      <c r="G246" s="446"/>
      <c r="H246" s="446"/>
      <c r="I246" s="446"/>
      <c r="J246" s="446"/>
      <c r="K246" s="446"/>
      <c r="L246" s="446"/>
      <c r="M246" s="446"/>
      <c r="N246" s="447" t="s">
        <v>504</v>
      </c>
      <c r="O246" s="447"/>
      <c r="P246" s="447"/>
      <c r="Q246" s="447"/>
      <c r="R246" s="446"/>
      <c r="S246" s="446"/>
      <c r="T246" s="446"/>
      <c r="U246" s="446"/>
      <c r="V246" s="446"/>
      <c r="W246" s="446"/>
      <c r="X246" s="446"/>
      <c r="Y246" s="446"/>
      <c r="Z246" s="446"/>
      <c r="AA246" s="446"/>
      <c r="AB246" s="446"/>
      <c r="AC246" s="446"/>
      <c r="AD246" s="446"/>
      <c r="AE246" s="446"/>
      <c r="AS246" s="379" t="s">
        <v>505</v>
      </c>
      <c r="AT246" s="382">
        <v>1.56</v>
      </c>
      <c r="AU246" s="383">
        <v>45716</v>
      </c>
      <c r="AV246" s="382">
        <v>2144.4946</v>
      </c>
      <c r="AW246" s="33"/>
      <c r="AX246" s="394">
        <v>0.011243</v>
      </c>
      <c r="AY246" s="394">
        <v>0.04412</v>
      </c>
      <c r="AZ246" s="394">
        <v>0.075793</v>
      </c>
      <c r="BA246" s="394">
        <v>0.130327</v>
      </c>
      <c r="BB246" s="394">
        <v>0.13681</v>
      </c>
      <c r="BC246" s="394">
        <v>0.120557</v>
      </c>
      <c r="BD246" s="394">
        <v>0.085705</v>
      </c>
      <c r="BE246" s="34"/>
      <c r="BF246" s="394">
        <v>0.04412</v>
      </c>
      <c r="BG246" s="394">
        <v>0.104612952872177</v>
      </c>
      <c r="BH246" s="394">
        <v>0.0691982934709062</v>
      </c>
      <c r="BI246" s="394">
        <v>0.248026610527651</v>
      </c>
      <c r="BJ246" s="394">
        <v>0.0710263944561451</v>
      </c>
      <c r="BK246" s="394">
        <v>0.0810969619625594</v>
      </c>
      <c r="BL246" s="394">
        <v>-0.04395797308803</v>
      </c>
      <c r="BM246" s="394">
        <v>0.0561362361698872</v>
      </c>
      <c r="BN246" s="394">
        <v>0.0702174732622974</v>
      </c>
      <c r="BO246" s="394">
        <v>0.108668034251962</v>
      </c>
      <c r="BP246" s="394">
        <v>0.0951970799402496</v>
      </c>
      <c r="BQ246" s="394">
        <v>0.119741013016794</v>
      </c>
      <c r="BR246" s="394">
        <v>0.102485742116338</v>
      </c>
      <c r="BS246" s="394">
        <v>0.110866063684797</v>
      </c>
      <c r="BT246" s="394">
        <v>0.0936610748258762</v>
      </c>
      <c r="BU246" s="394">
        <v>0.0592507535524615</v>
      </c>
    </row>
    <row r="247" ht="14.4" spans="2:73">
      <c r="B247" s="417" t="s">
        <v>506</v>
      </c>
      <c r="C247" s="418"/>
      <c r="D247" s="418"/>
      <c r="E247" s="418"/>
      <c r="F247" s="419" t="s">
        <v>473</v>
      </c>
      <c r="G247" s="420" t="s">
        <v>474</v>
      </c>
      <c r="H247" s="420" t="s">
        <v>475</v>
      </c>
      <c r="I247" s="420" t="s">
        <v>476</v>
      </c>
      <c r="J247" s="455" t="s">
        <v>477</v>
      </c>
      <c r="K247" s="455" t="s">
        <v>478</v>
      </c>
      <c r="L247" s="456" t="s">
        <v>479</v>
      </c>
      <c r="M247" s="446"/>
      <c r="N247" s="457" t="s">
        <v>480</v>
      </c>
      <c r="O247" s="455">
        <v>2024</v>
      </c>
      <c r="P247" s="455">
        <v>2023</v>
      </c>
      <c r="Q247" s="455">
        <v>2022</v>
      </c>
      <c r="R247" s="455">
        <v>2021</v>
      </c>
      <c r="S247" s="455">
        <v>2020</v>
      </c>
      <c r="T247" s="455">
        <v>2019</v>
      </c>
      <c r="U247" s="455">
        <v>2018</v>
      </c>
      <c r="V247" s="455">
        <v>2017</v>
      </c>
      <c r="W247" s="455">
        <v>2016</v>
      </c>
      <c r="X247" s="455">
        <v>2015</v>
      </c>
      <c r="Y247" s="455">
        <v>2014</v>
      </c>
      <c r="Z247" s="455">
        <v>2013</v>
      </c>
      <c r="AA247" s="455">
        <v>2012</v>
      </c>
      <c r="AB247" s="455">
        <v>2011</v>
      </c>
      <c r="AC247" s="455">
        <v>2010</v>
      </c>
      <c r="AD247" s="455">
        <v>2009</v>
      </c>
      <c r="AE247" s="456">
        <v>2008</v>
      </c>
      <c r="AS247" s="379" t="s">
        <v>507</v>
      </c>
      <c r="AT247" s="382">
        <v>1.16</v>
      </c>
      <c r="AU247" s="383">
        <v>45716</v>
      </c>
      <c r="AV247" s="382">
        <v>1986.747701</v>
      </c>
      <c r="AW247" s="33"/>
      <c r="AX247" s="394">
        <v>0.012997</v>
      </c>
      <c r="AY247" s="394">
        <v>0.023721</v>
      </c>
      <c r="AZ247" s="394">
        <v>0.040929</v>
      </c>
      <c r="BA247" s="394">
        <v>0.087154</v>
      </c>
      <c r="BB247" s="394">
        <v>0.070305</v>
      </c>
      <c r="BC247" s="394">
        <v>0.069451</v>
      </c>
      <c r="BD247" s="394">
        <v>0.074548</v>
      </c>
      <c r="BE247" s="34"/>
      <c r="BF247" s="394">
        <v>0.023721</v>
      </c>
      <c r="BG247" s="394">
        <v>0.0869128553770088</v>
      </c>
      <c r="BH247" s="394">
        <v>0.0727570925079387</v>
      </c>
      <c r="BI247" s="394">
        <v>0.0380479323350826</v>
      </c>
      <c r="BJ247" s="394">
        <v>0.0520817454268292</v>
      </c>
      <c r="BK247" s="394">
        <v>0.105051483438967</v>
      </c>
      <c r="BL247" s="394">
        <v>0.070660046103468</v>
      </c>
      <c r="BM247" s="394">
        <v>0.0665628719477739</v>
      </c>
      <c r="BN247" s="394">
        <v>0.0749090533144655</v>
      </c>
      <c r="BO247" s="394">
        <v>0.11617491146964</v>
      </c>
      <c r="BP247" s="394">
        <v>0.0676045059404187</v>
      </c>
      <c r="BQ247" s="394">
        <v>0.150102282086023</v>
      </c>
      <c r="BR247" s="394">
        <v>0.047241465653952</v>
      </c>
      <c r="BS247" s="394">
        <v>0.07829</v>
      </c>
      <c r="BT247" s="394" t="s">
        <v>113</v>
      </c>
      <c r="BU247" s="394" t="s">
        <v>113</v>
      </c>
    </row>
    <row r="248" ht="14.4" spans="2:73">
      <c r="B248" s="448" t="s">
        <v>508</v>
      </c>
      <c r="C248" s="449"/>
      <c r="D248" s="449"/>
      <c r="E248" s="449"/>
      <c r="F248" s="423">
        <v>-0.0266</v>
      </c>
      <c r="G248" s="424">
        <v>0.0182774778559998</v>
      </c>
      <c r="H248" s="424">
        <v>0.0499408222943751</v>
      </c>
      <c r="I248" s="424">
        <v>0.0163637892622248</v>
      </c>
      <c r="J248" s="424">
        <v>0.0776515912966698</v>
      </c>
      <c r="K248" s="424">
        <v>0.15725786732042</v>
      </c>
      <c r="L248" s="458" t="s">
        <v>113</v>
      </c>
      <c r="M248" s="459"/>
      <c r="N248" s="423">
        <v>0.0444811300184444</v>
      </c>
      <c r="O248" s="424">
        <v>0.0191365852811034</v>
      </c>
      <c r="P248" s="424">
        <v>0.141475074823632</v>
      </c>
      <c r="Q248" s="424">
        <v>-0.0525874554534582</v>
      </c>
      <c r="R248" s="424">
        <v>0.426502256755386</v>
      </c>
      <c r="S248" s="424">
        <v>0.256968396691786</v>
      </c>
      <c r="T248" s="424" t="s">
        <v>113</v>
      </c>
      <c r="U248" s="424" t="s">
        <v>113</v>
      </c>
      <c r="V248" s="424" t="s">
        <v>113</v>
      </c>
      <c r="W248" s="424" t="s">
        <v>113</v>
      </c>
      <c r="X248" s="424" t="s">
        <v>113</v>
      </c>
      <c r="Y248" s="424" t="s">
        <v>113</v>
      </c>
      <c r="Z248" s="424" t="s">
        <v>113</v>
      </c>
      <c r="AA248" s="424" t="s">
        <v>113</v>
      </c>
      <c r="AB248" s="424" t="s">
        <v>113</v>
      </c>
      <c r="AC248" s="424" t="s">
        <v>113</v>
      </c>
      <c r="AD248" s="424" t="s">
        <v>113</v>
      </c>
      <c r="AE248" s="458" t="s">
        <v>113</v>
      </c>
      <c r="AS248" s="379" t="s">
        <v>509</v>
      </c>
      <c r="AT248" s="382">
        <v>1.31</v>
      </c>
      <c r="AU248" s="383">
        <v>45716</v>
      </c>
      <c r="AV248" s="382">
        <v>1469.5722</v>
      </c>
      <c r="AW248" s="33"/>
      <c r="AX248" s="394">
        <v>0.012222</v>
      </c>
      <c r="AY248" s="394">
        <v>0.022909</v>
      </c>
      <c r="AZ248" s="394">
        <v>0.036183</v>
      </c>
      <c r="BA248" s="394">
        <v>0.079459</v>
      </c>
      <c r="BB248" s="394">
        <v>0.055523</v>
      </c>
      <c r="BC248" s="394">
        <v>0.055739</v>
      </c>
      <c r="BD248" s="394">
        <v>0.066303</v>
      </c>
      <c r="BE248" s="34"/>
      <c r="BF248" s="394">
        <v>0.022909</v>
      </c>
      <c r="BG248" s="394">
        <v>0.0760489446043219</v>
      </c>
      <c r="BH248" s="394">
        <v>0.0642484255016425</v>
      </c>
      <c r="BI248" s="394">
        <v>0.0119364588681802</v>
      </c>
      <c r="BJ248" s="394">
        <v>0.0242068397198187</v>
      </c>
      <c r="BK248" s="394">
        <v>0.109358930407953</v>
      </c>
      <c r="BL248" s="394">
        <v>0.0912652964784873</v>
      </c>
      <c r="BM248" s="394">
        <v>0.0626292425558031</v>
      </c>
      <c r="BN248" s="394">
        <v>0.0516420045106992</v>
      </c>
      <c r="BO248" s="394">
        <v>0.0989513645962633</v>
      </c>
      <c r="BP248" s="394">
        <v>0.0781129156999226</v>
      </c>
      <c r="BQ248" s="394">
        <v>0.108209224724457</v>
      </c>
      <c r="BR248" s="394">
        <v>0.0575412081616857</v>
      </c>
      <c r="BS248" s="394">
        <v>0.0994776416050344</v>
      </c>
      <c r="BT248" s="394">
        <v>0.0915796807392378</v>
      </c>
      <c r="BU248" s="394">
        <v>0.0671414503075007</v>
      </c>
    </row>
    <row r="249" ht="14.4" spans="2:73">
      <c r="B249" s="135" t="s">
        <v>60</v>
      </c>
      <c r="C249" s="450">
        <v>2.5</v>
      </c>
      <c r="D249" s="450"/>
      <c r="E249" s="450"/>
      <c r="F249" s="427">
        <v>-0.0367</v>
      </c>
      <c r="G249" s="428">
        <v>0.0194171956279998</v>
      </c>
      <c r="H249" s="428">
        <v>0.0546409767529512</v>
      </c>
      <c r="I249" s="428">
        <v>-0.0305041125051421</v>
      </c>
      <c r="J249" s="428">
        <v>0.0952005465113257</v>
      </c>
      <c r="K249" s="428">
        <v>0.163436795643984</v>
      </c>
      <c r="L249" s="460">
        <v>0.122053881104137</v>
      </c>
      <c r="M249" s="459"/>
      <c r="N249" s="427">
        <v>0.0166739015898452</v>
      </c>
      <c r="O249" s="428">
        <v>0.0859705926887144</v>
      </c>
      <c r="P249" s="428">
        <v>0.204666462914041</v>
      </c>
      <c r="Q249" s="428">
        <v>-0.0853755845023828</v>
      </c>
      <c r="R249" s="428">
        <v>0.336597834226857</v>
      </c>
      <c r="S249" s="428">
        <v>0.204662134151056</v>
      </c>
      <c r="T249" s="428">
        <v>0.124383448127695</v>
      </c>
      <c r="U249" s="428">
        <v>0.0176548379468167</v>
      </c>
      <c r="V249" s="428">
        <v>0.371785340389539</v>
      </c>
      <c r="W249" s="428">
        <v>0.0619231780702474</v>
      </c>
      <c r="X249" s="428">
        <v>0.0756087474418305</v>
      </c>
      <c r="Y249" s="428">
        <v>0.695782689659787</v>
      </c>
      <c r="Z249" s="428">
        <v>0.219615224175961</v>
      </c>
      <c r="AA249" s="428">
        <v>0.298239690449825</v>
      </c>
      <c r="AB249" s="428">
        <v>-0.132168404567515</v>
      </c>
      <c r="AC249" s="428" t="s">
        <v>113</v>
      </c>
      <c r="AD249" s="428" t="s">
        <v>113</v>
      </c>
      <c r="AE249" s="460" t="s">
        <v>113</v>
      </c>
      <c r="AS249" s="379" t="s">
        <v>510</v>
      </c>
      <c r="AT249" s="382">
        <v>0.75</v>
      </c>
      <c r="AU249" s="383">
        <v>45716</v>
      </c>
      <c r="AV249" s="382">
        <v>302.8243</v>
      </c>
      <c r="AW249" s="33"/>
      <c r="AX249" s="394">
        <v>0.015377</v>
      </c>
      <c r="AY249" s="394">
        <v>0.027118</v>
      </c>
      <c r="AZ249" s="394">
        <v>0.040641</v>
      </c>
      <c r="BA249" s="394">
        <v>0.084195</v>
      </c>
      <c r="BB249" s="394">
        <v>0.065177</v>
      </c>
      <c r="BC249" s="394">
        <v>0.061985</v>
      </c>
      <c r="BD249" s="394">
        <v>0.060871</v>
      </c>
      <c r="BE249" s="34"/>
      <c r="BF249" s="394">
        <v>0.027118</v>
      </c>
      <c r="BG249" s="394">
        <v>0.0760686051556105</v>
      </c>
      <c r="BH249" s="394">
        <v>0.0704383243168098</v>
      </c>
      <c r="BI249" s="394">
        <v>0.0290372949659558</v>
      </c>
      <c r="BJ249" s="394">
        <v>0.0343413036976404</v>
      </c>
      <c r="BK249" s="394">
        <v>0.0996766420628436</v>
      </c>
      <c r="BL249" s="394">
        <v>0.030035143525015</v>
      </c>
      <c r="BM249" s="394">
        <v>0.0363469722251479</v>
      </c>
      <c r="BN249" s="394">
        <v>0.0500078579896352</v>
      </c>
      <c r="BO249" s="394">
        <v>0.128597768201247</v>
      </c>
      <c r="BP249" s="394">
        <v>0.0604741889789378</v>
      </c>
      <c r="BQ249" s="394">
        <v>0.140164843747932</v>
      </c>
      <c r="BR249" s="394">
        <v>0.033659740771555</v>
      </c>
      <c r="BS249" s="394">
        <v>0.0933660492534188</v>
      </c>
      <c r="BT249" s="394">
        <v>0.0655889292774695</v>
      </c>
      <c r="BU249" s="394">
        <v>0.0398230822024541</v>
      </c>
    </row>
    <row r="250" ht="14.4" spans="2:73">
      <c r="B250" s="451" t="s">
        <v>511</v>
      </c>
      <c r="C250" s="450"/>
      <c r="D250" s="450"/>
      <c r="E250" s="450"/>
      <c r="F250" s="427">
        <v>-0.0273</v>
      </c>
      <c r="G250" s="428">
        <v>0.050543196692</v>
      </c>
      <c r="H250" s="428">
        <v>0.0745731316668361</v>
      </c>
      <c r="I250" s="428">
        <v>0.0268251686419816</v>
      </c>
      <c r="J250" s="428">
        <v>0.148790068791534</v>
      </c>
      <c r="K250" s="428">
        <v>0.189876449886283</v>
      </c>
      <c r="L250" s="460" t="s">
        <v>113</v>
      </c>
      <c r="M250" s="459"/>
      <c r="N250" s="427">
        <v>0.0219402860431694</v>
      </c>
      <c r="O250" s="428">
        <v>0.177494329015246</v>
      </c>
      <c r="P250" s="428">
        <v>0.219370254823872</v>
      </c>
      <c r="Q250" s="428">
        <v>-0.0660471631096652</v>
      </c>
      <c r="R250" s="428">
        <v>0.34439300524387</v>
      </c>
      <c r="S250" s="440">
        <v>0.349181244359715</v>
      </c>
      <c r="T250" s="440" t="s">
        <v>113</v>
      </c>
      <c r="U250" s="440" t="s">
        <v>113</v>
      </c>
      <c r="V250" s="440" t="s">
        <v>113</v>
      </c>
      <c r="W250" s="440" t="s">
        <v>113</v>
      </c>
      <c r="X250" s="440" t="s">
        <v>113</v>
      </c>
      <c r="Y250" s="428" t="s">
        <v>113</v>
      </c>
      <c r="Z250" s="428" t="s">
        <v>113</v>
      </c>
      <c r="AA250" s="428" t="s">
        <v>113</v>
      </c>
      <c r="AB250" s="428" t="s">
        <v>113</v>
      </c>
      <c r="AC250" s="428" t="s">
        <v>113</v>
      </c>
      <c r="AD250" s="428" t="s">
        <v>113</v>
      </c>
      <c r="AE250" s="460" t="s">
        <v>113</v>
      </c>
      <c r="AS250" s="379" t="s">
        <v>512</v>
      </c>
      <c r="AT250" s="382">
        <v>1.27</v>
      </c>
      <c r="AU250" s="383">
        <v>45716</v>
      </c>
      <c r="AV250" s="382">
        <v>3945.0193</v>
      </c>
      <c r="AW250" s="33"/>
      <c r="AX250" s="394">
        <v>0.013033</v>
      </c>
      <c r="AY250" s="394">
        <v>0.023168</v>
      </c>
      <c r="AZ250" s="394">
        <v>0.036362</v>
      </c>
      <c r="BA250" s="394">
        <v>0.081983</v>
      </c>
      <c r="BB250" s="394">
        <v>0.063869</v>
      </c>
      <c r="BC250" s="394">
        <v>0.064541</v>
      </c>
      <c r="BD250" s="394">
        <v>0.071527</v>
      </c>
      <c r="BE250" s="34"/>
      <c r="BF250" s="394">
        <v>0.023168</v>
      </c>
      <c r="BG250" s="394">
        <v>0.0805076924311613</v>
      </c>
      <c r="BH250" s="394">
        <v>0.067462246714056</v>
      </c>
      <c r="BI250" s="394">
        <v>0.0288778514261537</v>
      </c>
      <c r="BJ250" s="394">
        <v>0.0503283086031436</v>
      </c>
      <c r="BK250" s="394">
        <v>0.100091151668228</v>
      </c>
      <c r="BL250" s="394">
        <v>0.0913627863162838</v>
      </c>
      <c r="BM250" s="394">
        <v>0.0558662332175382</v>
      </c>
      <c r="BN250" s="394">
        <v>0.05524990169883</v>
      </c>
      <c r="BO250" s="394">
        <v>0.115336669118434</v>
      </c>
      <c r="BP250" s="394">
        <v>0.0740640461690243</v>
      </c>
      <c r="BQ250" s="394">
        <v>0.111776373030502</v>
      </c>
      <c r="BR250" s="394">
        <v>0.0704051906779662</v>
      </c>
      <c r="BS250" s="394">
        <v>0.098403494567615</v>
      </c>
      <c r="BT250" s="394">
        <v>0.0842992845389982</v>
      </c>
      <c r="BU250" s="394">
        <v>0.0498700266569532</v>
      </c>
    </row>
    <row r="251" ht="15" customHeight="1" spans="2:73">
      <c r="B251" s="451" t="s">
        <v>513</v>
      </c>
      <c r="C251" s="450"/>
      <c r="D251" s="450"/>
      <c r="E251" s="450"/>
      <c r="F251" s="427">
        <v>-0.035</v>
      </c>
      <c r="G251" s="428">
        <v>0.03073773</v>
      </c>
      <c r="H251" s="428">
        <v>0.00949671358558035</v>
      </c>
      <c r="I251" s="428">
        <v>-0.0734511829097704</v>
      </c>
      <c r="J251" s="428">
        <v>0.105424841397854</v>
      </c>
      <c r="K251" s="428">
        <v>0.139161126108039</v>
      </c>
      <c r="L251" s="460" t="s">
        <v>113</v>
      </c>
      <c r="M251" s="459"/>
      <c r="N251" s="427">
        <v>-0.0823674873507078</v>
      </c>
      <c r="O251" s="428">
        <v>0.198484509630165</v>
      </c>
      <c r="P251" s="428">
        <v>0.231084631853905</v>
      </c>
      <c r="Q251" s="428">
        <v>-0.126318986054013</v>
      </c>
      <c r="R251" s="428">
        <v>0.357513372982012</v>
      </c>
      <c r="S251" s="428">
        <v>0.191264502105668</v>
      </c>
      <c r="T251" s="428">
        <v>0.0639762900173297</v>
      </c>
      <c r="U251" s="428" t="s">
        <v>113</v>
      </c>
      <c r="V251" s="428" t="s">
        <v>113</v>
      </c>
      <c r="W251" s="428" t="s">
        <v>113</v>
      </c>
      <c r="X251" s="428" t="s">
        <v>113</v>
      </c>
      <c r="Y251" s="428" t="s">
        <v>113</v>
      </c>
      <c r="Z251" s="428" t="s">
        <v>113</v>
      </c>
      <c r="AA251" s="428" t="s">
        <v>113</v>
      </c>
      <c r="AB251" s="428" t="s">
        <v>113</v>
      </c>
      <c r="AC251" s="428" t="s">
        <v>113</v>
      </c>
      <c r="AD251" s="428" t="s">
        <v>113</v>
      </c>
      <c r="AE251" s="460" t="s">
        <v>113</v>
      </c>
      <c r="AS251" s="379" t="s">
        <v>514</v>
      </c>
      <c r="AT251" s="382">
        <v>1.09</v>
      </c>
      <c r="AU251" s="383">
        <v>45716</v>
      </c>
      <c r="AV251" s="382">
        <v>656.2666</v>
      </c>
      <c r="AW251" s="33"/>
      <c r="AX251" s="394">
        <v>0.014158</v>
      </c>
      <c r="AY251" s="394">
        <v>0.025614</v>
      </c>
      <c r="AZ251" s="394">
        <v>0.040408</v>
      </c>
      <c r="BA251" s="394">
        <v>0.085368</v>
      </c>
      <c r="BB251" s="394">
        <v>0.065244</v>
      </c>
      <c r="BC251" s="394">
        <v>0.063056</v>
      </c>
      <c r="BD251" s="394">
        <v>0.069834</v>
      </c>
      <c r="BE251" s="34"/>
      <c r="BF251" s="394">
        <v>0.025614</v>
      </c>
      <c r="BG251" s="394">
        <v>0.082232696546249</v>
      </c>
      <c r="BH251" s="394">
        <v>0.0697601216318142</v>
      </c>
      <c r="BI251" s="394">
        <v>0.0258133300840746</v>
      </c>
      <c r="BJ251" s="394">
        <v>0.0453911459560674</v>
      </c>
      <c r="BK251" s="394">
        <v>0.096696910644064</v>
      </c>
      <c r="BL251" s="394">
        <v>0.0734481491756202</v>
      </c>
      <c r="BM251" s="394">
        <v>0.0442445310909633</v>
      </c>
      <c r="BN251" s="394">
        <v>0.0634195079305607</v>
      </c>
      <c r="BO251" s="394">
        <v>0.108041035481669</v>
      </c>
      <c r="BP251" s="394">
        <v>0.0839399999999999</v>
      </c>
      <c r="BQ251" s="394" t="s">
        <v>113</v>
      </c>
      <c r="BR251" s="394" t="s">
        <v>113</v>
      </c>
      <c r="BS251" s="394" t="s">
        <v>113</v>
      </c>
      <c r="BT251" s="394" t="s">
        <v>113</v>
      </c>
      <c r="BU251" s="394" t="s">
        <v>113</v>
      </c>
    </row>
    <row r="252" ht="14.4" spans="2:73">
      <c r="B252" s="452" t="s">
        <v>515</v>
      </c>
      <c r="C252" s="453"/>
      <c r="D252" s="453"/>
      <c r="E252" s="453"/>
      <c r="F252" s="427">
        <v>-0.0255</v>
      </c>
      <c r="G252" s="428">
        <v>0.036626324</v>
      </c>
      <c r="H252" s="428">
        <v>0.0362475096424208</v>
      </c>
      <c r="I252" s="428">
        <v>-0.0163770086743655</v>
      </c>
      <c r="J252" s="428">
        <v>0.183393045936816</v>
      </c>
      <c r="K252" s="428" t="s">
        <v>113</v>
      </c>
      <c r="L252" s="460" t="s">
        <v>113</v>
      </c>
      <c r="M252" s="459"/>
      <c r="N252" s="427">
        <v>-0.0528697761868274</v>
      </c>
      <c r="O252" s="428">
        <v>0.382448330550708</v>
      </c>
      <c r="P252" s="428">
        <v>0.289081218337024</v>
      </c>
      <c r="Q252" s="428">
        <v>-0.0825741303125541</v>
      </c>
      <c r="R252" s="428" t="s">
        <v>113</v>
      </c>
      <c r="S252" s="428" t="s">
        <v>113</v>
      </c>
      <c r="T252" s="428" t="s">
        <v>113</v>
      </c>
      <c r="U252" s="428" t="s">
        <v>113</v>
      </c>
      <c r="V252" s="428" t="s">
        <v>113</v>
      </c>
      <c r="W252" s="428" t="s">
        <v>113</v>
      </c>
      <c r="X252" s="428" t="s">
        <v>113</v>
      </c>
      <c r="Y252" s="428" t="s">
        <v>113</v>
      </c>
      <c r="Z252" s="428" t="s">
        <v>113</v>
      </c>
      <c r="AA252" s="428" t="s">
        <v>113</v>
      </c>
      <c r="AB252" s="428" t="s">
        <v>113</v>
      </c>
      <c r="AC252" s="428" t="s">
        <v>113</v>
      </c>
      <c r="AD252" s="428" t="s">
        <v>113</v>
      </c>
      <c r="AE252" s="460" t="s">
        <v>113</v>
      </c>
      <c r="AS252" s="379" t="s">
        <v>516</v>
      </c>
      <c r="AT252" s="382">
        <v>1.35</v>
      </c>
      <c r="AU252" s="383">
        <v>45716</v>
      </c>
      <c r="AV252" s="382">
        <v>5690.2616040845</v>
      </c>
      <c r="AW252" s="33"/>
      <c r="AX252" s="394">
        <v>0.011743</v>
      </c>
      <c r="AY252" s="394">
        <v>0.024397</v>
      </c>
      <c r="AZ252" s="394">
        <v>0.041508</v>
      </c>
      <c r="BA252" s="394">
        <v>0.084694</v>
      </c>
      <c r="BB252" s="394">
        <v>0.069742</v>
      </c>
      <c r="BC252" s="394">
        <v>0.06928</v>
      </c>
      <c r="BD252" s="394">
        <v>0.07404</v>
      </c>
      <c r="BE252" s="34"/>
      <c r="BF252" s="394">
        <v>0.024397</v>
      </c>
      <c r="BG252" s="394">
        <v>0.0802367575736897</v>
      </c>
      <c r="BH252" s="394">
        <v>0.0702646996770373</v>
      </c>
      <c r="BI252" s="394">
        <v>0.0417221995238028</v>
      </c>
      <c r="BJ252" s="394">
        <v>0.0551422931011929</v>
      </c>
      <c r="BK252" s="394">
        <v>0.103945805079461</v>
      </c>
      <c r="BL252" s="394">
        <v>0.0918558230542635</v>
      </c>
      <c r="BM252" s="394">
        <v>0.0511078130767898</v>
      </c>
      <c r="BN252" s="394">
        <v>0.0652398091638277</v>
      </c>
      <c r="BO252" s="394">
        <v>0.101700609602454</v>
      </c>
      <c r="BP252" s="394">
        <v>0.084184847206779</v>
      </c>
      <c r="BQ252" s="394">
        <v>0.124417307516127</v>
      </c>
      <c r="BR252" s="394">
        <v>0.059488871886812</v>
      </c>
      <c r="BS252" s="394">
        <v>0.0966319994489978</v>
      </c>
      <c r="BT252" s="394">
        <v>0.0814311735270817</v>
      </c>
      <c r="BU252" s="394">
        <v>0.0494215792166448</v>
      </c>
    </row>
    <row r="253" ht="14.4" spans="2:73">
      <c r="B253" s="451" t="s">
        <v>517</v>
      </c>
      <c r="C253" s="450"/>
      <c r="D253" s="450"/>
      <c r="E253" s="450"/>
      <c r="F253" s="427">
        <v>0.00259999999999994</v>
      </c>
      <c r="G253" s="428">
        <v>0.0475883463679998</v>
      </c>
      <c r="H253" s="428">
        <v>0.0604744275933631</v>
      </c>
      <c r="I253" s="428">
        <v>-0.0437867721140037</v>
      </c>
      <c r="J253" s="428">
        <v>0.138970144545674</v>
      </c>
      <c r="K253" s="428">
        <v>0.198968469684339</v>
      </c>
      <c r="L253" s="460">
        <v>0.133650063400509</v>
      </c>
      <c r="M253" s="459"/>
      <c r="N253" s="427">
        <v>-0.00739593577261255</v>
      </c>
      <c r="O253" s="428">
        <v>0.125413870404136</v>
      </c>
      <c r="P253" s="428">
        <v>0.213814999193868</v>
      </c>
      <c r="Q253" s="428">
        <v>0.058150553042855</v>
      </c>
      <c r="R253" s="428">
        <v>0.357408578097646</v>
      </c>
      <c r="S253" s="428">
        <v>0.199074047078992</v>
      </c>
      <c r="T253" s="428">
        <v>0.040298928455526</v>
      </c>
      <c r="U253" s="428">
        <v>-0.136699143012</v>
      </c>
      <c r="V253" s="428">
        <v>0.547038736830165</v>
      </c>
      <c r="W253" s="428">
        <v>0.103200954521689</v>
      </c>
      <c r="X253" s="428">
        <v>0.104695190280843</v>
      </c>
      <c r="Y253" s="428">
        <v>0.511314208975267</v>
      </c>
      <c r="Z253" s="428">
        <v>0.1085976593193</v>
      </c>
      <c r="AA253" s="428">
        <v>0.39732565933939</v>
      </c>
      <c r="AB253" s="428" t="s">
        <v>113</v>
      </c>
      <c r="AC253" s="428" t="s">
        <v>113</v>
      </c>
      <c r="AD253" s="428" t="s">
        <v>113</v>
      </c>
      <c r="AE253" s="460" t="s">
        <v>113</v>
      </c>
      <c r="AN253" s="5">
        <v>0.75</v>
      </c>
      <c r="AO253" s="65">
        <v>0.85</v>
      </c>
      <c r="AP253" s="5">
        <v>38.5</v>
      </c>
      <c r="AQ253" s="5">
        <v>9</v>
      </c>
      <c r="AS253" s="379" t="s">
        <v>518</v>
      </c>
      <c r="AT253" s="382">
        <v>1.15</v>
      </c>
      <c r="AU253" s="383">
        <v>45716</v>
      </c>
      <c r="AV253" s="382">
        <v>163.3776</v>
      </c>
      <c r="AW253" s="33"/>
      <c r="AX253" s="394">
        <v>0.013309</v>
      </c>
      <c r="AY253" s="394">
        <v>0.023487</v>
      </c>
      <c r="AZ253" s="394">
        <v>0.036346</v>
      </c>
      <c r="BA253" s="394">
        <v>0.079597</v>
      </c>
      <c r="BB253" s="394">
        <v>0.057986</v>
      </c>
      <c r="BC253" s="394" t="s">
        <v>113</v>
      </c>
      <c r="BD253" s="394" t="s">
        <v>113</v>
      </c>
      <c r="BE253" s="34"/>
      <c r="BF253" s="394">
        <v>0.023487</v>
      </c>
      <c r="BG253" s="394">
        <v>0.0783043871336556</v>
      </c>
      <c r="BH253" s="394">
        <v>0.061393408456204</v>
      </c>
      <c r="BI253" s="394">
        <v>0.0165771653777492</v>
      </c>
      <c r="BJ253" s="394">
        <v>0.0187749</v>
      </c>
      <c r="BK253" s="394" t="s">
        <v>113</v>
      </c>
      <c r="BL253" s="394" t="s">
        <v>113</v>
      </c>
      <c r="BM253" s="394" t="s">
        <v>113</v>
      </c>
      <c r="BN253" s="394" t="s">
        <v>113</v>
      </c>
      <c r="BO253" s="394" t="s">
        <v>113</v>
      </c>
      <c r="BP253" s="394" t="s">
        <v>113</v>
      </c>
      <c r="BQ253" s="394" t="s">
        <v>113</v>
      </c>
      <c r="BR253" s="394" t="s">
        <v>113</v>
      </c>
      <c r="BS253" s="394" t="s">
        <v>113</v>
      </c>
      <c r="BT253" s="394" t="s">
        <v>113</v>
      </c>
      <c r="BU253" s="394" t="s">
        <v>113</v>
      </c>
    </row>
    <row r="254" ht="14.4" spans="2:73">
      <c r="B254" s="117" t="s">
        <v>52</v>
      </c>
      <c r="C254" s="450">
        <v>2.5</v>
      </c>
      <c r="D254" s="450"/>
      <c r="E254" s="450"/>
      <c r="F254" s="427">
        <v>-0.0252</v>
      </c>
      <c r="G254" s="428">
        <v>0.0541296626599999</v>
      </c>
      <c r="H254" s="428">
        <v>0.0637155154087725</v>
      </c>
      <c r="I254" s="428">
        <v>0.0163617833409517</v>
      </c>
      <c r="J254" s="428">
        <v>0.18887300543174</v>
      </c>
      <c r="K254" s="428">
        <v>0.232159490453977</v>
      </c>
      <c r="L254" s="460">
        <v>0.142144863530426</v>
      </c>
      <c r="M254" s="459"/>
      <c r="N254" s="427">
        <v>0.0110136311855222</v>
      </c>
      <c r="O254" s="428">
        <v>0.253613431974587</v>
      </c>
      <c r="P254" s="428">
        <v>0.283488890231462</v>
      </c>
      <c r="Q254" s="428">
        <v>0.00848193267314068</v>
      </c>
      <c r="R254" s="428">
        <v>0.359310461440436</v>
      </c>
      <c r="S254" s="428">
        <v>0.231691759517991</v>
      </c>
      <c r="T254" s="428">
        <v>0.0413219331197714</v>
      </c>
      <c r="U254" s="428">
        <v>-0.146768458588377</v>
      </c>
      <c r="V254" s="428">
        <v>0.538849673202615</v>
      </c>
      <c r="W254" s="428">
        <v>0.0447394296951833</v>
      </c>
      <c r="X254" s="428">
        <v>0.185122843362575</v>
      </c>
      <c r="Y254" s="428">
        <v>0.709913101234293</v>
      </c>
      <c r="Z254" s="428">
        <v>0.0786912651501595</v>
      </c>
      <c r="AA254" s="428">
        <v>0.474513601549433</v>
      </c>
      <c r="AB254" s="428">
        <v>-0.149393440167739</v>
      </c>
      <c r="AC254" s="428">
        <v>0.277161438408569</v>
      </c>
      <c r="AD254" s="428" t="s">
        <v>113</v>
      </c>
      <c r="AE254" s="460" t="s">
        <v>113</v>
      </c>
      <c r="AS254" s="379" t="s">
        <v>519</v>
      </c>
      <c r="AT254" s="382">
        <v>1.63</v>
      </c>
      <c r="AU254" s="383">
        <v>45716</v>
      </c>
      <c r="AV254" s="382">
        <v>1879.6128</v>
      </c>
      <c r="AW254" s="33"/>
      <c r="AX254" s="394">
        <v>0.009384</v>
      </c>
      <c r="AY254" s="394">
        <v>0.021774</v>
      </c>
      <c r="AZ254" s="394">
        <v>0.034027</v>
      </c>
      <c r="BA254" s="394">
        <v>0.082643</v>
      </c>
      <c r="BB254" s="394">
        <v>0.064163</v>
      </c>
      <c r="BC254" s="394">
        <v>0.063409</v>
      </c>
      <c r="BD254" s="394">
        <v>0.070251</v>
      </c>
      <c r="BE254" s="34"/>
      <c r="BF254" s="394">
        <v>0.021774</v>
      </c>
      <c r="BG254" s="394">
        <v>0.0901445691076528</v>
      </c>
      <c r="BH254" s="394">
        <v>0.0611844281096305</v>
      </c>
      <c r="BI254" s="394">
        <v>0.031688203051049</v>
      </c>
      <c r="BJ254" s="394">
        <v>0.0466146358321574</v>
      </c>
      <c r="BK254" s="394">
        <v>0.0853515209862342</v>
      </c>
      <c r="BL254" s="394">
        <v>0.0701374115254418</v>
      </c>
      <c r="BM254" s="394">
        <v>0.0543697538266207</v>
      </c>
      <c r="BN254" s="394">
        <v>0.0655312624482342</v>
      </c>
      <c r="BO254" s="394">
        <v>0.109414737052756</v>
      </c>
      <c r="BP254" s="394">
        <v>0.0927172833544413</v>
      </c>
      <c r="BQ254" s="394">
        <v>0.0975300000000001</v>
      </c>
      <c r="BR254" s="394" t="s">
        <v>113</v>
      </c>
      <c r="BS254" s="394" t="s">
        <v>113</v>
      </c>
      <c r="BT254" s="394" t="s">
        <v>113</v>
      </c>
      <c r="BU254" s="394" t="s">
        <v>113</v>
      </c>
    </row>
    <row r="255" ht="14.4" spans="2:73">
      <c r="B255" s="451" t="s">
        <v>520</v>
      </c>
      <c r="C255" s="450"/>
      <c r="D255" s="450"/>
      <c r="E255" s="450"/>
      <c r="F255" s="427">
        <v>-0.022</v>
      </c>
      <c r="G255" s="428">
        <v>0.0573872816937662</v>
      </c>
      <c r="H255" s="428">
        <v>0.0652931595619437</v>
      </c>
      <c r="I255" s="428">
        <v>0.0227035243221196</v>
      </c>
      <c r="J255" s="428" t="s">
        <v>113</v>
      </c>
      <c r="K255" s="428" t="s">
        <v>113</v>
      </c>
      <c r="L255" s="460" t="s">
        <v>113</v>
      </c>
      <c r="M255" s="459"/>
      <c r="N255" s="427">
        <v>0.0172144712848283</v>
      </c>
      <c r="O255" s="428">
        <v>0.260740910483487</v>
      </c>
      <c r="P255" s="428" t="s">
        <v>113</v>
      </c>
      <c r="Q255" s="428" t="s">
        <v>113</v>
      </c>
      <c r="R255" s="428" t="s">
        <v>113</v>
      </c>
      <c r="S255" s="428" t="s">
        <v>113</v>
      </c>
      <c r="T255" s="428" t="s">
        <v>113</v>
      </c>
      <c r="U255" s="428" t="s">
        <v>113</v>
      </c>
      <c r="V255" s="428" t="s">
        <v>113</v>
      </c>
      <c r="W255" s="428" t="s">
        <v>113</v>
      </c>
      <c r="X255" s="428" t="s">
        <v>113</v>
      </c>
      <c r="Y255" s="428" t="s">
        <v>113</v>
      </c>
      <c r="Z255" s="428" t="s">
        <v>113</v>
      </c>
      <c r="AA255" s="428" t="s">
        <v>113</v>
      </c>
      <c r="AB255" s="428" t="s">
        <v>113</v>
      </c>
      <c r="AC255" s="428" t="s">
        <v>113</v>
      </c>
      <c r="AD255" s="428" t="s">
        <v>113</v>
      </c>
      <c r="AE255" s="460" t="s">
        <v>113</v>
      </c>
      <c r="AN255" s="5">
        <v>2.8</v>
      </c>
      <c r="AO255" s="67">
        <v>1</v>
      </c>
      <c r="AP255" s="5">
        <v>22.5</v>
      </c>
      <c r="AQ255" s="5" t="s">
        <v>113</v>
      </c>
      <c r="AS255" s="379" t="s">
        <v>521</v>
      </c>
      <c r="AT255" s="382">
        <v>1.09</v>
      </c>
      <c r="AU255" s="383">
        <v>45716</v>
      </c>
      <c r="AV255" s="382">
        <v>102.7368</v>
      </c>
      <c r="AW255" s="33"/>
      <c r="AX255" s="394">
        <v>0.012265</v>
      </c>
      <c r="AY255" s="394">
        <v>0.023089</v>
      </c>
      <c r="AZ255" s="394">
        <v>0.040256</v>
      </c>
      <c r="BA255" s="394">
        <v>0.085677</v>
      </c>
      <c r="BB255" s="394">
        <v>0.06329</v>
      </c>
      <c r="BC255" s="394">
        <v>0.075296</v>
      </c>
      <c r="BD255" s="394">
        <v>0.033107</v>
      </c>
      <c r="BE255" s="34"/>
      <c r="BF255" s="394">
        <v>0.023089</v>
      </c>
      <c r="BG255" s="394">
        <v>0.0832278411543893</v>
      </c>
      <c r="BH255" s="394">
        <v>0.0703482953343934</v>
      </c>
      <c r="BI255" s="394">
        <v>0.020354505642042</v>
      </c>
      <c r="BJ255" s="394">
        <v>0.174430063727744</v>
      </c>
      <c r="BK255" s="394">
        <v>-0.235432991762106</v>
      </c>
      <c r="BL255" s="394">
        <v>-0.0341548612458761</v>
      </c>
      <c r="BM255" s="394">
        <v>0.0470309064389019</v>
      </c>
      <c r="BN255" s="394">
        <v>0.0690856336017627</v>
      </c>
      <c r="BO255" s="394">
        <v>0.111074716408647</v>
      </c>
      <c r="BP255" s="394">
        <v>0.090000281867466</v>
      </c>
      <c r="BQ255" s="394">
        <v>0.06433</v>
      </c>
      <c r="BR255" s="394" t="s">
        <v>113</v>
      </c>
      <c r="BS255" s="394" t="s">
        <v>113</v>
      </c>
      <c r="BT255" s="394" t="s">
        <v>113</v>
      </c>
      <c r="BU255" s="394" t="s">
        <v>113</v>
      </c>
    </row>
    <row r="256" ht="14.4" spans="2:73">
      <c r="B256" s="451" t="s">
        <v>522</v>
      </c>
      <c r="C256" s="450"/>
      <c r="D256" s="450"/>
      <c r="E256" s="450"/>
      <c r="F256" s="427">
        <v>-0.0198</v>
      </c>
      <c r="G256" s="428">
        <v>0.0756111388879999</v>
      </c>
      <c r="H256" s="428">
        <v>0.0660038686859807</v>
      </c>
      <c r="I256" s="428">
        <v>-0.0561315773496831</v>
      </c>
      <c r="J256" s="428">
        <v>0.162225624244084</v>
      </c>
      <c r="K256" s="428">
        <v>0.181334819302343</v>
      </c>
      <c r="L256" s="460" t="s">
        <v>113</v>
      </c>
      <c r="M256" s="459"/>
      <c r="N256" s="427">
        <v>-0.0565865762129072</v>
      </c>
      <c r="O256" s="428">
        <v>0.213400511631959</v>
      </c>
      <c r="P256" s="428">
        <v>0.336270273093</v>
      </c>
      <c r="Q256" s="428">
        <v>-0.0665824131582218</v>
      </c>
      <c r="R256" s="428">
        <v>0.299959086597239</v>
      </c>
      <c r="S256" s="428">
        <v>0.270846324642403</v>
      </c>
      <c r="T256" s="428">
        <v>0.0299981969914263</v>
      </c>
      <c r="U256" s="428">
        <v>-0.155895354588289</v>
      </c>
      <c r="V256" s="428">
        <v>0.589490710019907</v>
      </c>
      <c r="W256" s="428">
        <v>0.0248550096298865</v>
      </c>
      <c r="X256" s="428" t="s">
        <v>113</v>
      </c>
      <c r="Y256" s="428" t="s">
        <v>113</v>
      </c>
      <c r="Z256" s="428" t="s">
        <v>113</v>
      </c>
      <c r="AA256" s="428" t="s">
        <v>113</v>
      </c>
      <c r="AB256" s="428" t="s">
        <v>113</v>
      </c>
      <c r="AC256" s="428" t="s">
        <v>113</v>
      </c>
      <c r="AD256" s="428" t="s">
        <v>113</v>
      </c>
      <c r="AE256" s="460" t="s">
        <v>113</v>
      </c>
      <c r="AS256" s="379" t="s">
        <v>523</v>
      </c>
      <c r="AT256" s="382">
        <v>1.22</v>
      </c>
      <c r="AU256" s="383">
        <v>45716</v>
      </c>
      <c r="AV256" s="382">
        <v>6514.8326</v>
      </c>
      <c r="AW256" s="33"/>
      <c r="AX256" s="394">
        <v>0.012485</v>
      </c>
      <c r="AY256" s="394">
        <v>0.022803</v>
      </c>
      <c r="AZ256" s="394">
        <v>0.038623</v>
      </c>
      <c r="BA256" s="394">
        <v>0.083101</v>
      </c>
      <c r="BB256" s="394">
        <v>0.067398</v>
      </c>
      <c r="BC256" s="394">
        <v>0.068077</v>
      </c>
      <c r="BD256" s="394">
        <v>0.079023</v>
      </c>
      <c r="BE256" s="34"/>
      <c r="BF256" s="394">
        <v>0.022803</v>
      </c>
      <c r="BG256" s="394">
        <v>0.0810953970019598</v>
      </c>
      <c r="BH256" s="394">
        <v>0.0723911860074319</v>
      </c>
      <c r="BI256" s="394">
        <v>0.0342075954324599</v>
      </c>
      <c r="BJ256" s="394">
        <v>0.0384511753700991</v>
      </c>
      <c r="BK256" s="394">
        <v>0.122685257849933</v>
      </c>
      <c r="BL256" s="394">
        <v>0.11054523097206</v>
      </c>
      <c r="BM256" s="394">
        <v>0.0618780477134367</v>
      </c>
      <c r="BN256" s="394">
        <v>0.076357722163662</v>
      </c>
      <c r="BO256" s="394">
        <v>0.140479377354749</v>
      </c>
      <c r="BP256" s="394">
        <v>0.0662766829062013</v>
      </c>
      <c r="BQ256" s="394">
        <v>0.165312376484115</v>
      </c>
      <c r="BR256" s="394">
        <v>0.0404343042693413</v>
      </c>
      <c r="BS256" s="394">
        <v>0.139745806043193</v>
      </c>
      <c r="BT256" s="394">
        <v>0.0133981444926963</v>
      </c>
      <c r="BU256" s="394">
        <v>0.0444822431833412</v>
      </c>
    </row>
    <row r="257" ht="14.4" spans="2:73">
      <c r="B257" s="117" t="s">
        <v>58</v>
      </c>
      <c r="C257" s="450">
        <v>2.5</v>
      </c>
      <c r="D257" s="450"/>
      <c r="E257" s="450"/>
      <c r="F257" s="427">
        <v>-0.0113</v>
      </c>
      <c r="G257" s="428">
        <v>0.0866783394976434</v>
      </c>
      <c r="H257" s="428">
        <v>0.12478948432681</v>
      </c>
      <c r="I257" s="428">
        <v>0.0882452413004589</v>
      </c>
      <c r="J257" s="428">
        <v>0.254639016738173</v>
      </c>
      <c r="K257" s="428">
        <v>0.361147801929451</v>
      </c>
      <c r="L257" s="460" t="s">
        <v>113</v>
      </c>
      <c r="M257" s="459"/>
      <c r="N257" s="427">
        <v>0.0958445895822839</v>
      </c>
      <c r="O257" s="428">
        <v>0.187776582985235</v>
      </c>
      <c r="P257" s="428">
        <v>0.403467020353436</v>
      </c>
      <c r="Q257" s="428">
        <v>0.0320461747668199</v>
      </c>
      <c r="R257" s="428">
        <v>0.693845349893203</v>
      </c>
      <c r="S257" s="428">
        <v>0.114968406880908</v>
      </c>
      <c r="T257" s="428">
        <v>0.0713294426364621</v>
      </c>
      <c r="U257" s="428">
        <v>-0.201017799384091</v>
      </c>
      <c r="V257" s="428">
        <v>1.0635478907296</v>
      </c>
      <c r="W257" s="428" t="s">
        <v>113</v>
      </c>
      <c r="X257" s="428" t="s">
        <v>113</v>
      </c>
      <c r="Y257" s="428" t="s">
        <v>113</v>
      </c>
      <c r="Z257" s="428" t="s">
        <v>113</v>
      </c>
      <c r="AA257" s="428" t="s">
        <v>113</v>
      </c>
      <c r="AB257" s="428" t="s">
        <v>113</v>
      </c>
      <c r="AC257" s="428" t="s">
        <v>113</v>
      </c>
      <c r="AD257" s="428" t="s">
        <v>113</v>
      </c>
      <c r="AE257" s="460" t="s">
        <v>113</v>
      </c>
      <c r="AS257" s="379" t="s">
        <v>524</v>
      </c>
      <c r="AT257" s="382">
        <v>2.19</v>
      </c>
      <c r="AU257" s="383">
        <v>45716</v>
      </c>
      <c r="AV257" s="382">
        <v>43.352531</v>
      </c>
      <c r="AW257" s="33"/>
      <c r="AX257" s="394">
        <v>0.010116</v>
      </c>
      <c r="AY257" s="394">
        <v>0.018839</v>
      </c>
      <c r="AZ257" s="394">
        <v>0.029347</v>
      </c>
      <c r="BA257" s="394">
        <v>0.065394</v>
      </c>
      <c r="BB257" s="394">
        <v>0.046294</v>
      </c>
      <c r="BC257" s="394">
        <v>0.042447</v>
      </c>
      <c r="BD257" s="394">
        <v>0.05408</v>
      </c>
      <c r="BE257" s="34"/>
      <c r="BF257" s="394">
        <v>0.018839</v>
      </c>
      <c r="BG257" s="394">
        <v>0.0619539126643551</v>
      </c>
      <c r="BH257" s="394">
        <v>0.0547114765916878</v>
      </c>
      <c r="BI257" s="394">
        <v>0.00657511020684988</v>
      </c>
      <c r="BJ257" s="394">
        <v>0.0166756876954316</v>
      </c>
      <c r="BK257" s="394">
        <v>0.0632807917888562</v>
      </c>
      <c r="BL257" s="394">
        <v>0.0814239276936495</v>
      </c>
      <c r="BM257" s="394">
        <v>0.04744999117644</v>
      </c>
      <c r="BN257" s="394">
        <v>0.0570153878564971</v>
      </c>
      <c r="BO257" s="394">
        <v>0.111383729863542</v>
      </c>
      <c r="BP257" s="394">
        <v>0.0509809651240881</v>
      </c>
      <c r="BQ257" s="394">
        <v>0.131016368348728</v>
      </c>
      <c r="BR257" s="394">
        <v>0.0402863898472748</v>
      </c>
      <c r="BS257" s="394">
        <v>0.107357312226564</v>
      </c>
      <c r="BT257" s="394">
        <v>0.0665816526441024</v>
      </c>
      <c r="BU257" s="394">
        <v>0.0415989552028375</v>
      </c>
    </row>
    <row r="258" ht="15.15" spans="2:73">
      <c r="B258" s="117" t="s">
        <v>56</v>
      </c>
      <c r="C258" s="450">
        <v>2.5</v>
      </c>
      <c r="D258" s="450"/>
      <c r="E258" s="450"/>
      <c r="F258" s="427">
        <v>-0.0275</v>
      </c>
      <c r="G258" s="428">
        <v>0.0475909262</v>
      </c>
      <c r="H258" s="428">
        <v>0.0594559350127788</v>
      </c>
      <c r="I258" s="428">
        <v>-0.00220320738768287</v>
      </c>
      <c r="J258" s="428">
        <v>0.23473099029685</v>
      </c>
      <c r="K258" s="428">
        <v>0.375347952234186</v>
      </c>
      <c r="L258" s="460" t="s">
        <v>113</v>
      </c>
      <c r="M258" s="459"/>
      <c r="N258" s="427">
        <v>-0.00803140804753522</v>
      </c>
      <c r="O258" s="428">
        <v>0.325926523207921</v>
      </c>
      <c r="P258" s="428">
        <v>0.283352081613203</v>
      </c>
      <c r="Q258" s="428">
        <v>0.221931814334564</v>
      </c>
      <c r="R258" s="428">
        <v>0.67405350260712</v>
      </c>
      <c r="S258" s="428">
        <v>-0.0545594838764992</v>
      </c>
      <c r="T258" s="428">
        <v>0.0458412257204019</v>
      </c>
      <c r="U258" s="428" t="s">
        <v>113</v>
      </c>
      <c r="V258" s="428" t="s">
        <v>113</v>
      </c>
      <c r="W258" s="428" t="s">
        <v>113</v>
      </c>
      <c r="X258" s="428" t="s">
        <v>113</v>
      </c>
      <c r="Y258" s="428" t="s">
        <v>113</v>
      </c>
      <c r="Z258" s="428" t="s">
        <v>113</v>
      </c>
      <c r="AA258" s="428" t="s">
        <v>113</v>
      </c>
      <c r="AB258" s="428" t="s">
        <v>113</v>
      </c>
      <c r="AC258" s="428" t="s">
        <v>113</v>
      </c>
      <c r="AD258" s="428" t="s">
        <v>113</v>
      </c>
      <c r="AE258" s="460" t="s">
        <v>113</v>
      </c>
      <c r="AS258" s="379" t="s">
        <v>525</v>
      </c>
      <c r="AT258" s="382">
        <v>1.49</v>
      </c>
      <c r="AU258" s="383">
        <v>45716</v>
      </c>
      <c r="AV258" s="382">
        <v>38.9471</v>
      </c>
      <c r="AW258" s="33"/>
      <c r="AX258" s="394">
        <v>0.011683</v>
      </c>
      <c r="AY258" s="394">
        <v>0.022386</v>
      </c>
      <c r="AZ258" s="394">
        <v>0.036282</v>
      </c>
      <c r="BA258" s="394">
        <v>0.07898</v>
      </c>
      <c r="BB258" s="394">
        <v>0.06061</v>
      </c>
      <c r="BC258" s="394">
        <v>0.055686</v>
      </c>
      <c r="BD258" s="394">
        <v>0.059999</v>
      </c>
      <c r="BE258" s="34"/>
      <c r="BF258" s="394">
        <v>0.022386</v>
      </c>
      <c r="BG258" s="394">
        <v>0.0760728737481349</v>
      </c>
      <c r="BH258" s="394">
        <v>0.0645361606442502</v>
      </c>
      <c r="BI258" s="394">
        <v>0.0241812387863857</v>
      </c>
      <c r="BJ258" s="394">
        <v>0.0618761907470071</v>
      </c>
      <c r="BK258" s="394">
        <v>0.00018486654057828</v>
      </c>
      <c r="BL258" s="394">
        <v>0.0607285617316539</v>
      </c>
      <c r="BM258" s="394">
        <v>0.0546368546225372</v>
      </c>
      <c r="BN258" s="394">
        <v>0.0694380646149135</v>
      </c>
      <c r="BO258" s="394">
        <v>0.110231758683868</v>
      </c>
      <c r="BP258" s="394">
        <v>0.05886</v>
      </c>
      <c r="BQ258" s="394" t="s">
        <v>113</v>
      </c>
      <c r="BR258" s="394" t="s">
        <v>113</v>
      </c>
      <c r="BS258" s="394" t="s">
        <v>113</v>
      </c>
      <c r="BT258" s="394" t="s">
        <v>113</v>
      </c>
      <c r="BU258" s="394" t="s">
        <v>113</v>
      </c>
    </row>
    <row r="259" ht="15.15" spans="2:73">
      <c r="B259" s="451" t="s">
        <v>526</v>
      </c>
      <c r="C259" s="450"/>
      <c r="D259" s="450"/>
      <c r="E259" s="450"/>
      <c r="F259" s="427">
        <v>-0.0205</v>
      </c>
      <c r="G259" s="428">
        <v>0.036514432355</v>
      </c>
      <c r="H259" s="428">
        <v>0.0547485169813782</v>
      </c>
      <c r="I259" s="428">
        <v>0.0169403494562044</v>
      </c>
      <c r="J259" s="428" t="s">
        <v>113</v>
      </c>
      <c r="K259" s="428" t="s">
        <v>113</v>
      </c>
      <c r="L259" s="460" t="s">
        <v>113</v>
      </c>
      <c r="M259" s="459"/>
      <c r="N259" s="427">
        <v>0.0233170111753334</v>
      </c>
      <c r="O259" s="428">
        <v>0.118269877734096</v>
      </c>
      <c r="P259" s="428" t="s">
        <v>113</v>
      </c>
      <c r="Q259" s="428" t="s">
        <v>113</v>
      </c>
      <c r="R259" s="428" t="s">
        <v>113</v>
      </c>
      <c r="S259" s="428" t="s">
        <v>113</v>
      </c>
      <c r="T259" s="428" t="s">
        <v>113</v>
      </c>
      <c r="U259" s="428" t="s">
        <v>113</v>
      </c>
      <c r="V259" s="428" t="s">
        <v>113</v>
      </c>
      <c r="W259" s="428" t="s">
        <v>113</v>
      </c>
      <c r="X259" s="428" t="s">
        <v>113</v>
      </c>
      <c r="Y259" s="428" t="s">
        <v>113</v>
      </c>
      <c r="Z259" s="428" t="s">
        <v>113</v>
      </c>
      <c r="AA259" s="428" t="s">
        <v>113</v>
      </c>
      <c r="AB259" s="428" t="s">
        <v>113</v>
      </c>
      <c r="AC259" s="428" t="s">
        <v>113</v>
      </c>
      <c r="AD259" s="428" t="s">
        <v>113</v>
      </c>
      <c r="AE259" s="460" t="s">
        <v>113</v>
      </c>
      <c r="AS259" s="4" t="s">
        <v>146</v>
      </c>
      <c r="AT259"/>
      <c r="AU259"/>
      <c r="AV259"/>
      <c r="AW259" s="395"/>
      <c r="AX259" s="396">
        <f t="shared" ref="AX259:BD259" si="36">AVERAGE(AX246:AX258)</f>
        <v>0.0123088461538462</v>
      </c>
      <c r="AY259" s="396">
        <f t="shared" si="36"/>
        <v>0.0248788461538462</v>
      </c>
      <c r="AZ259" s="396">
        <f t="shared" si="36"/>
        <v>0.0405157692307692</v>
      </c>
      <c r="BA259" s="396">
        <f t="shared" si="36"/>
        <v>0.0852747692307692</v>
      </c>
      <c r="BB259" s="396">
        <f t="shared" si="36"/>
        <v>0.0681854615384615</v>
      </c>
      <c r="BC259" s="396">
        <f t="shared" si="36"/>
        <v>0.0674603333333333</v>
      </c>
      <c r="BD259" s="396">
        <f t="shared" si="36"/>
        <v>0.0666073333333334</v>
      </c>
      <c r="BE259" s="395"/>
      <c r="BF259" s="396">
        <f t="shared" ref="BF259:BU259" si="37">AVERAGE(BF246:BF258)</f>
        <v>0.0248788461538462</v>
      </c>
      <c r="BG259" s="396">
        <f t="shared" si="37"/>
        <v>0.0813399604131051</v>
      </c>
      <c r="BH259" s="396">
        <f t="shared" si="37"/>
        <v>0.0668226276126002</v>
      </c>
      <c r="BI259" s="396">
        <f t="shared" si="37"/>
        <v>0.0428496535559566</v>
      </c>
      <c r="BJ259" s="396">
        <f t="shared" si="37"/>
        <v>0.0530262064871751</v>
      </c>
      <c r="BK259" s="396">
        <f t="shared" si="37"/>
        <v>0.0609989442222977</v>
      </c>
      <c r="BL259" s="396">
        <f t="shared" si="37"/>
        <v>0.0577791285201697</v>
      </c>
      <c r="BM259" s="396">
        <f t="shared" si="37"/>
        <v>0.0531882878384867</v>
      </c>
      <c r="BN259" s="396">
        <f t="shared" si="37"/>
        <v>0.0640094732129488</v>
      </c>
      <c r="BO259" s="396">
        <f t="shared" si="37"/>
        <v>0.113337892673769</v>
      </c>
      <c r="BP259" s="396">
        <f t="shared" si="37"/>
        <v>0.0752010664322941</v>
      </c>
      <c r="BQ259" s="396">
        <f t="shared" si="37"/>
        <v>0.121259978895468</v>
      </c>
      <c r="BR259" s="396">
        <f t="shared" si="37"/>
        <v>0.0564428641731156</v>
      </c>
      <c r="BS259" s="396">
        <f t="shared" si="37"/>
        <v>0.103017295853702</v>
      </c>
      <c r="BT259" s="396">
        <f t="shared" si="37"/>
        <v>0.0709342771493517</v>
      </c>
      <c r="BU259" s="396">
        <f t="shared" si="37"/>
        <v>0.0502268700460276</v>
      </c>
    </row>
    <row r="260" ht="14.4" spans="2:73">
      <c r="B260" s="451" t="s">
        <v>527</v>
      </c>
      <c r="C260" s="450"/>
      <c r="D260" s="450"/>
      <c r="E260" s="450"/>
      <c r="F260" s="427">
        <v>-0.0112</v>
      </c>
      <c r="G260" s="428">
        <v>0.16742587952</v>
      </c>
      <c r="H260" s="428">
        <v>0.155969555825346</v>
      </c>
      <c r="I260" s="428">
        <v>-0.116303995502518</v>
      </c>
      <c r="J260" s="428">
        <v>0.163930964218749</v>
      </c>
      <c r="K260" s="428">
        <v>0.181641996302666</v>
      </c>
      <c r="L260" s="460">
        <v>0.0974887495692442</v>
      </c>
      <c r="M260" s="459"/>
      <c r="N260" s="427">
        <v>0.0133229126364984</v>
      </c>
      <c r="O260" s="428">
        <v>0.169662328490298</v>
      </c>
      <c r="P260" s="428">
        <v>0.316222339069517</v>
      </c>
      <c r="Q260" s="428">
        <v>-0.077190992673831</v>
      </c>
      <c r="R260" s="428">
        <v>0.307952300684659</v>
      </c>
      <c r="S260" s="428">
        <v>-0.00522953662085945</v>
      </c>
      <c r="T260" s="428">
        <v>-0.00868027914307667</v>
      </c>
      <c r="U260" s="428">
        <v>-0.0820924898819304</v>
      </c>
      <c r="V260" s="428">
        <v>0.451535202352463</v>
      </c>
      <c r="W260" s="428">
        <v>0.0743560137445816</v>
      </c>
      <c r="X260" s="428">
        <v>0.0558836467138175</v>
      </c>
      <c r="Y260" s="428">
        <v>0.574566820968059</v>
      </c>
      <c r="Z260" s="428">
        <v>-0.00832379361894153</v>
      </c>
      <c r="AA260" s="428">
        <v>0.539215787891666</v>
      </c>
      <c r="AB260" s="428">
        <v>-0.214907473185085</v>
      </c>
      <c r="AC260" s="428">
        <v>0.176005558070255</v>
      </c>
      <c r="AD260" s="428">
        <v>0.593975041681095</v>
      </c>
      <c r="AE260" s="460">
        <v>-0.559581840803373</v>
      </c>
      <c r="AS260" s="4" t="s">
        <v>162</v>
      </c>
      <c r="AT260"/>
      <c r="AU260"/>
      <c r="AV260"/>
      <c r="AW260"/>
      <c r="AX260" s="397">
        <v>0.0087263867959253</v>
      </c>
      <c r="AY260" s="397">
        <v>0.0207643930788102</v>
      </c>
      <c r="AZ260" s="397">
        <v>0.0377184412193585</v>
      </c>
      <c r="BA260" s="397">
        <v>0.080280059411505</v>
      </c>
      <c r="BB260" s="397">
        <v>0.0659301709109001</v>
      </c>
      <c r="BC260" s="397">
        <v>0.0655149768088614</v>
      </c>
      <c r="BD260" s="397">
        <v>0.0738047315298365</v>
      </c>
      <c r="BE260" s="400"/>
      <c r="BF260" s="397">
        <v>0.0207643930788102</v>
      </c>
      <c r="BG260" s="397">
        <v>0.0797029257152309</v>
      </c>
      <c r="BH260" s="397">
        <v>0.0725988870220093</v>
      </c>
      <c r="BI260" s="397">
        <v>0.0358682288812193</v>
      </c>
      <c r="BJ260" s="397">
        <v>0.0437965988907254</v>
      </c>
      <c r="BK260" s="397">
        <v>0.104161972570555</v>
      </c>
      <c r="BL260" s="397">
        <v>0.0953364838894115</v>
      </c>
      <c r="BM260" s="397">
        <v>0.0665068187794211</v>
      </c>
      <c r="BN260" s="397">
        <v>0.0602957159773323</v>
      </c>
      <c r="BO260" s="397">
        <v>0.0986738756953636</v>
      </c>
      <c r="BP260" s="397">
        <v>0.0865549936165921</v>
      </c>
      <c r="BQ260" s="397">
        <v>0.104681934209951</v>
      </c>
      <c r="BR260" s="397">
        <v>0.0827206164504672</v>
      </c>
      <c r="BS260" s="397">
        <v>0.0912371315059957</v>
      </c>
      <c r="BT260" s="397">
        <v>0.0786771029274067</v>
      </c>
      <c r="BU260" s="397">
        <v>0.0470040326565153</v>
      </c>
    </row>
    <row r="261" ht="15.15" spans="2:73">
      <c r="B261" s="451" t="s">
        <v>528</v>
      </c>
      <c r="C261" s="450"/>
      <c r="D261" s="450"/>
      <c r="E261" s="450"/>
      <c r="F261" s="427">
        <v>-0.0125</v>
      </c>
      <c r="G261" s="428">
        <v>0.12142712</v>
      </c>
      <c r="H261" s="428">
        <v>0.11960126980047</v>
      </c>
      <c r="I261" s="428">
        <v>0.0628526004111094</v>
      </c>
      <c r="J261" s="428">
        <v>0.21029963767538</v>
      </c>
      <c r="K261" s="428">
        <v>0.261059787273138</v>
      </c>
      <c r="L261" s="460">
        <v>0.148875645921253</v>
      </c>
      <c r="M261" s="459"/>
      <c r="N261" s="427">
        <v>-0.0274023769243315</v>
      </c>
      <c r="O261" s="428">
        <v>0.383278694900138</v>
      </c>
      <c r="P261" s="428">
        <v>0.339880126804527</v>
      </c>
      <c r="Q261" s="428">
        <v>-0.0478157400134499</v>
      </c>
      <c r="R261" s="428">
        <v>0.471305306321816</v>
      </c>
      <c r="S261" s="428">
        <v>0.0250123841454222</v>
      </c>
      <c r="T261" s="428">
        <v>0.0417512723574045</v>
      </c>
      <c r="U261" s="428">
        <v>-0.00207607722161385</v>
      </c>
      <c r="V261" s="428">
        <v>0.462994742521879</v>
      </c>
      <c r="W261" s="428">
        <v>0.0342086888112216</v>
      </c>
      <c r="X261" s="428">
        <v>0.166989898901157</v>
      </c>
      <c r="Y261" s="428">
        <v>0.641366456492507</v>
      </c>
      <c r="Z261" s="428">
        <v>0.0355281627045752</v>
      </c>
      <c r="AA261" s="428">
        <v>0.600019113834832</v>
      </c>
      <c r="AB261" s="428">
        <v>-0.127963122118916</v>
      </c>
      <c r="AC261" s="428">
        <v>0.219463394184229</v>
      </c>
      <c r="AD261" s="428">
        <v>0.556363995847956</v>
      </c>
      <c r="AE261" s="460" t="s">
        <v>113</v>
      </c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</row>
    <row r="262" ht="15.15" spans="2:73">
      <c r="B262" s="451" t="s">
        <v>529</v>
      </c>
      <c r="C262" s="450"/>
      <c r="D262" s="450"/>
      <c r="E262" s="450"/>
      <c r="F262" s="427">
        <v>-0.0237000000000001</v>
      </c>
      <c r="G262" s="428">
        <v>0.10203796989</v>
      </c>
      <c r="H262" s="428">
        <v>0.0851124880326832</v>
      </c>
      <c r="I262" s="428">
        <v>-0.0323231379650817</v>
      </c>
      <c r="J262" s="428">
        <v>0.141340550341622</v>
      </c>
      <c r="K262" s="428">
        <v>0.179038645551295</v>
      </c>
      <c r="L262" s="460">
        <v>0.112365538985869</v>
      </c>
      <c r="M262" s="459"/>
      <c r="N262" s="427">
        <v>-0.0482478367465337</v>
      </c>
      <c r="O262" s="428">
        <v>0.241597142735367</v>
      </c>
      <c r="P262" s="428">
        <v>0.287304020926978</v>
      </c>
      <c r="Q262" s="428">
        <v>-0.121015903061972</v>
      </c>
      <c r="R262" s="428">
        <v>0.335521113512856</v>
      </c>
      <c r="S262" s="428">
        <v>0.109993692908887</v>
      </c>
      <c r="T262" s="428">
        <v>0.0520814564304426</v>
      </c>
      <c r="U262" s="428">
        <v>-0.0534142829497409</v>
      </c>
      <c r="V262" s="428">
        <v>0.42129038273274</v>
      </c>
      <c r="W262" s="428">
        <v>0.129395288350923</v>
      </c>
      <c r="X262" s="428">
        <v>0.134144630184184</v>
      </c>
      <c r="Y262" s="428">
        <v>0.718092609786249</v>
      </c>
      <c r="Z262" s="428">
        <v>0.155919620992464</v>
      </c>
      <c r="AA262" s="428">
        <v>0.542121192725146</v>
      </c>
      <c r="AB262" s="428">
        <v>-0.186505102799846</v>
      </c>
      <c r="AC262" s="428">
        <v>0.216010130704174</v>
      </c>
      <c r="AD262" s="428">
        <v>1.11152068451812</v>
      </c>
      <c r="AE262" s="460">
        <v>-0.53683111736242</v>
      </c>
      <c r="AS262" s="350" t="s">
        <v>530</v>
      </c>
      <c r="AT262" s="369" t="s">
        <v>16</v>
      </c>
      <c r="AU262" s="370" t="s">
        <v>99</v>
      </c>
      <c r="AV262" s="371"/>
      <c r="AW262" s="386"/>
      <c r="AX262" s="360" t="s">
        <v>102</v>
      </c>
      <c r="AY262" s="361"/>
      <c r="AZ262" s="361"/>
      <c r="BA262" s="361"/>
      <c r="BB262" s="361"/>
      <c r="BC262" s="361"/>
      <c r="BD262" s="364"/>
      <c r="BE262" s="386"/>
      <c r="BF262" s="398" t="s">
        <v>103</v>
      </c>
      <c r="BG262" s="399"/>
      <c r="BH262" s="399"/>
      <c r="BI262" s="399"/>
      <c r="BJ262" s="399"/>
      <c r="BK262" s="399"/>
      <c r="BL262" s="399"/>
      <c r="BM262" s="399"/>
      <c r="BN262" s="399"/>
      <c r="BO262" s="399"/>
      <c r="BP262" s="399"/>
      <c r="BQ262" s="399"/>
      <c r="BR262" s="399"/>
      <c r="BS262" s="399"/>
      <c r="BT262" s="399"/>
      <c r="BU262" s="401"/>
    </row>
    <row r="263" ht="15.15" spans="2:73">
      <c r="B263" s="451" t="s">
        <v>531</v>
      </c>
      <c r="C263" s="450"/>
      <c r="D263" s="450"/>
      <c r="E263" s="450"/>
      <c r="F263" s="427">
        <v>-0.0317</v>
      </c>
      <c r="G263" s="428">
        <v>0.035803891906</v>
      </c>
      <c r="H263" s="428">
        <v>0.0174112566572</v>
      </c>
      <c r="I263" s="428">
        <v>-0.104394209636171</v>
      </c>
      <c r="J263" s="428">
        <v>0.086759869075095</v>
      </c>
      <c r="K263" s="428">
        <v>0.134460744074754</v>
      </c>
      <c r="L263" s="460">
        <v>0.101859060375398</v>
      </c>
      <c r="M263" s="459"/>
      <c r="N263" s="427">
        <v>-0.0454647590042149</v>
      </c>
      <c r="O263" s="428">
        <v>0.104496967032479</v>
      </c>
      <c r="P263" s="428">
        <v>0.226948122150904</v>
      </c>
      <c r="Q263" s="428">
        <v>-0.0769245096906992</v>
      </c>
      <c r="R263" s="428">
        <v>0.269431725289546</v>
      </c>
      <c r="S263" s="428">
        <v>0.144702439669868</v>
      </c>
      <c r="T263" s="428">
        <v>0.145188910448145</v>
      </c>
      <c r="U263" s="428">
        <v>-0.0752334196916091</v>
      </c>
      <c r="V263" s="428">
        <v>0.386552501918035</v>
      </c>
      <c r="W263" s="428">
        <v>0.0454621046390982</v>
      </c>
      <c r="X263" s="428">
        <v>0.144023623986185</v>
      </c>
      <c r="Y263" s="428">
        <v>0.698981187943027</v>
      </c>
      <c r="Z263" s="428">
        <v>0.19986173350411</v>
      </c>
      <c r="AA263" s="428">
        <v>0.270407022066102</v>
      </c>
      <c r="AB263" s="428">
        <v>-0.173840439704545</v>
      </c>
      <c r="AC263" s="428" t="s">
        <v>113</v>
      </c>
      <c r="AD263" s="428" t="s">
        <v>113</v>
      </c>
      <c r="AE263" s="460" t="s">
        <v>113</v>
      </c>
      <c r="AN263" s="5" t="s">
        <v>113</v>
      </c>
      <c r="AO263" s="67">
        <v>1.1</v>
      </c>
      <c r="AP263" s="5">
        <v>23.9</v>
      </c>
      <c r="AQ263" s="5">
        <v>2.8</v>
      </c>
      <c r="AS263" s="352"/>
      <c r="AT263" s="373" t="s">
        <v>110</v>
      </c>
      <c r="AU263" s="374" t="s">
        <v>104</v>
      </c>
      <c r="AV263" s="375" t="s">
        <v>105</v>
      </c>
      <c r="AW263" s="387"/>
      <c r="AX263" s="16" t="s">
        <v>89</v>
      </c>
      <c r="AY263" s="18" t="s">
        <v>90</v>
      </c>
      <c r="AZ263" s="18" t="s">
        <v>91</v>
      </c>
      <c r="BA263" s="18" t="s">
        <v>20</v>
      </c>
      <c r="BB263" s="18" t="s">
        <v>92</v>
      </c>
      <c r="BC263" s="18" t="s">
        <v>93</v>
      </c>
      <c r="BD263" s="273" t="s">
        <v>111</v>
      </c>
      <c r="BE263" s="387"/>
      <c r="BF263" s="16">
        <v>2025</v>
      </c>
      <c r="BG263" s="16">
        <v>2024</v>
      </c>
      <c r="BH263" s="16">
        <v>2023</v>
      </c>
      <c r="BI263" s="18">
        <v>2022</v>
      </c>
      <c r="BJ263" s="18">
        <v>2021</v>
      </c>
      <c r="BK263" s="18">
        <v>2020</v>
      </c>
      <c r="BL263" s="18">
        <v>2019</v>
      </c>
      <c r="BM263" s="18">
        <v>2018</v>
      </c>
      <c r="BN263" s="18">
        <v>2017</v>
      </c>
      <c r="BO263" s="18">
        <v>2016</v>
      </c>
      <c r="BP263" s="18">
        <v>2015</v>
      </c>
      <c r="BQ263" s="18">
        <v>2014</v>
      </c>
      <c r="BR263" s="18">
        <v>2013</v>
      </c>
      <c r="BS263" s="18">
        <v>2012</v>
      </c>
      <c r="BT263" s="18">
        <v>2011</v>
      </c>
      <c r="BU263" s="273">
        <v>2010</v>
      </c>
    </row>
    <row r="264" ht="14.4" spans="2:73">
      <c r="B264" s="451" t="s">
        <v>532</v>
      </c>
      <c r="C264" s="450"/>
      <c r="D264" s="450"/>
      <c r="E264" s="450"/>
      <c r="F264" s="427">
        <v>-0.0681</v>
      </c>
      <c r="G264" s="428">
        <v>0.0226317596279999</v>
      </c>
      <c r="H264" s="428">
        <v>0.0238766356428803</v>
      </c>
      <c r="I264" s="428">
        <v>-0.0674255579376267</v>
      </c>
      <c r="J264" s="428">
        <v>0.118629288674455</v>
      </c>
      <c r="K264" s="428">
        <v>0.176506834675574</v>
      </c>
      <c r="L264" s="460">
        <v>0.113704690059819</v>
      </c>
      <c r="M264" s="459"/>
      <c r="N264" s="427">
        <v>-0.039780165061583</v>
      </c>
      <c r="O264" s="428">
        <v>0.130190942770951</v>
      </c>
      <c r="P264" s="428">
        <v>0.267173926252355</v>
      </c>
      <c r="Q264" s="428">
        <v>-0.106045688434293</v>
      </c>
      <c r="R264" s="428">
        <v>0.43424344928181</v>
      </c>
      <c r="S264" s="428">
        <v>0.149660846800749</v>
      </c>
      <c r="T264" s="428">
        <v>0.181300374422213</v>
      </c>
      <c r="U264" s="428">
        <v>-0.109701649715174</v>
      </c>
      <c r="V264" s="428">
        <v>0.367873835603805</v>
      </c>
      <c r="W264" s="428">
        <v>0.0468356781596981</v>
      </c>
      <c r="X264" s="428">
        <v>0.117874089266956</v>
      </c>
      <c r="Y264" s="428">
        <v>0.725969496387252</v>
      </c>
      <c r="Z264" s="428">
        <v>0.155019937307867</v>
      </c>
      <c r="AA264" s="428">
        <v>0.317887174184449</v>
      </c>
      <c r="AB264" s="428">
        <v>-0.224336354071114</v>
      </c>
      <c r="AC264" s="428" t="s">
        <v>113</v>
      </c>
      <c r="AD264" s="428" t="s">
        <v>113</v>
      </c>
      <c r="AE264" s="460" t="s">
        <v>113</v>
      </c>
      <c r="AS264" s="379" t="s">
        <v>533</v>
      </c>
      <c r="AT264" s="382">
        <v>1.16</v>
      </c>
      <c r="AU264" s="383">
        <v>45716</v>
      </c>
      <c r="AV264" s="382">
        <v>2208.5073</v>
      </c>
      <c r="AW264" s="33"/>
      <c r="AX264" s="394">
        <v>0.020171</v>
      </c>
      <c r="AY264" s="394">
        <v>0.025575</v>
      </c>
      <c r="AZ264" s="394">
        <v>0.036063</v>
      </c>
      <c r="BA264" s="394">
        <v>0.085909</v>
      </c>
      <c r="BB264" s="394">
        <v>0.063118</v>
      </c>
      <c r="BC264" s="394">
        <v>0.065458</v>
      </c>
      <c r="BD264" s="394">
        <v>0.069585</v>
      </c>
      <c r="BE264" s="34"/>
      <c r="BF264" s="394">
        <v>0.025575</v>
      </c>
      <c r="BG264" s="394">
        <v>0.0838770022004325</v>
      </c>
      <c r="BH264" s="394">
        <v>0.0663884830047668</v>
      </c>
      <c r="BI264" s="394">
        <v>0.0235359074843382</v>
      </c>
      <c r="BJ264" s="394">
        <v>0.040054834425738</v>
      </c>
      <c r="BK264" s="394">
        <v>0.128039267124139</v>
      </c>
      <c r="BL264" s="394">
        <v>0.0946215026542989</v>
      </c>
      <c r="BM264" s="394">
        <v>0.0508445190304641</v>
      </c>
      <c r="BN264" s="394">
        <v>0.027668704563847</v>
      </c>
      <c r="BO264" s="394">
        <v>0.144005228066627</v>
      </c>
      <c r="BP264" s="394">
        <v>0.0456198293323789</v>
      </c>
      <c r="BQ264" s="394">
        <v>0.160303023438444</v>
      </c>
      <c r="BR264" s="394">
        <v>0.0265350218492932</v>
      </c>
      <c r="BS264" s="394">
        <v>0.106995911257556</v>
      </c>
      <c r="BT264" s="394">
        <v>0.0834357910003045</v>
      </c>
      <c r="BU264" s="394">
        <v>0.0318431775068889</v>
      </c>
    </row>
    <row r="265" ht="14.4" spans="2:73">
      <c r="B265" s="451" t="s">
        <v>534</v>
      </c>
      <c r="C265" s="450"/>
      <c r="D265" s="450"/>
      <c r="E265" s="450"/>
      <c r="F265" s="427">
        <v>-0.0301</v>
      </c>
      <c r="G265" s="428">
        <v>0.0694487998790001</v>
      </c>
      <c r="H265" s="428">
        <v>0.0595487337405702</v>
      </c>
      <c r="I265" s="428">
        <v>0.0237051335411276</v>
      </c>
      <c r="J265" s="428">
        <v>0.224690654013915</v>
      </c>
      <c r="K265" s="428">
        <v>0.265054457762949</v>
      </c>
      <c r="L265" s="460">
        <v>0.146984465870219</v>
      </c>
      <c r="M265" s="459"/>
      <c r="N265" s="427">
        <v>0.0189680172383064</v>
      </c>
      <c r="O265" s="428">
        <v>0.172737026031342</v>
      </c>
      <c r="P265" s="428">
        <v>0.427839684593267</v>
      </c>
      <c r="Q265" s="428">
        <v>-0.0814381523468097</v>
      </c>
      <c r="R265" s="428">
        <v>0.597958991184126</v>
      </c>
      <c r="S265" s="428">
        <v>0.22224191536545</v>
      </c>
      <c r="T265" s="428">
        <v>-0.108212268497526</v>
      </c>
      <c r="U265" s="428">
        <v>-0.244611749860689</v>
      </c>
      <c r="V265" s="428">
        <v>0.601830858095362</v>
      </c>
      <c r="W265" s="428">
        <v>0.124291177147103</v>
      </c>
      <c r="X265" s="428">
        <v>0.194399718145398</v>
      </c>
      <c r="Y265" s="428">
        <v>0.63434801343977</v>
      </c>
      <c r="Z265" s="428">
        <v>-0.100279779549706</v>
      </c>
      <c r="AA265" s="428">
        <v>0.630161260435455</v>
      </c>
      <c r="AB265" s="428">
        <v>-0.335851981686044</v>
      </c>
      <c r="AC265" s="428">
        <v>0.102020037235708</v>
      </c>
      <c r="AD265" s="428">
        <v>1.05880660040825</v>
      </c>
      <c r="AE265" s="460">
        <v>-0.503211238128511</v>
      </c>
      <c r="AS265" s="379" t="s">
        <v>535</v>
      </c>
      <c r="AT265" s="382">
        <v>1.98</v>
      </c>
      <c r="AU265" s="383">
        <v>45716</v>
      </c>
      <c r="AV265" s="382">
        <v>482.8482</v>
      </c>
      <c r="AW265" s="33"/>
      <c r="AX265" s="394">
        <v>0.019114</v>
      </c>
      <c r="AY265" s="394">
        <v>0.021565</v>
      </c>
      <c r="AZ265" s="394">
        <v>0.027581</v>
      </c>
      <c r="BA265" s="394">
        <v>0.073616</v>
      </c>
      <c r="BB265" s="394">
        <v>0.053228</v>
      </c>
      <c r="BC265" s="394">
        <v>0.051614</v>
      </c>
      <c r="BD265" s="394">
        <v>0.064821</v>
      </c>
      <c r="BE265" s="34"/>
      <c r="BF265" s="394">
        <v>0.021565</v>
      </c>
      <c r="BG265" s="394">
        <v>0.0793240231635647</v>
      </c>
      <c r="BH265" s="394">
        <v>0.0595813351324738</v>
      </c>
      <c r="BI265" s="394">
        <v>0.00605566960002498</v>
      </c>
      <c r="BJ265" s="394">
        <v>0.0123519383127375</v>
      </c>
      <c r="BK265" s="394">
        <v>0.11775194973149</v>
      </c>
      <c r="BL265" s="394">
        <v>0.103866820957597</v>
      </c>
      <c r="BM265" s="394">
        <v>0.0659493655426779</v>
      </c>
      <c r="BN265" s="394">
        <v>0.0312598395445786</v>
      </c>
      <c r="BO265" s="394">
        <v>0.129019873275166</v>
      </c>
      <c r="BP265" s="394">
        <v>0.0593023501022766</v>
      </c>
      <c r="BQ265" s="394">
        <v>0.155380053045228</v>
      </c>
      <c r="BR265" s="394">
        <v>0.0467214130094215</v>
      </c>
      <c r="BS265" s="394">
        <v>0.103535617506815</v>
      </c>
      <c r="BT265" s="394">
        <v>0.085931087476642</v>
      </c>
      <c r="BU265" s="394">
        <v>0.0391724513406832</v>
      </c>
    </row>
    <row r="266" ht="14.4" spans="2:73">
      <c r="B266" s="451" t="s">
        <v>536</v>
      </c>
      <c r="C266" s="450"/>
      <c r="D266" s="450"/>
      <c r="E266" s="450"/>
      <c r="F266" s="427">
        <v>-0.0229</v>
      </c>
      <c r="G266" s="428">
        <v>0.0581351631559999</v>
      </c>
      <c r="H266" s="428">
        <v>0.0651630761826871</v>
      </c>
      <c r="I266" s="428">
        <v>-0.0054056673494931</v>
      </c>
      <c r="J266" s="428">
        <v>0.199255773130776</v>
      </c>
      <c r="K266" s="428">
        <v>0.266018565419387</v>
      </c>
      <c r="L266" s="460">
        <v>0.110099507529047</v>
      </c>
      <c r="M266" s="459"/>
      <c r="N266" s="427">
        <v>-0.00513768684537041</v>
      </c>
      <c r="O266" s="428">
        <v>0.274407163363458</v>
      </c>
      <c r="P266" s="428">
        <v>0.324409795339976</v>
      </c>
      <c r="Q266" s="428">
        <v>-0.0304673242458753</v>
      </c>
      <c r="R266" s="428">
        <v>0.57094746051818</v>
      </c>
      <c r="S266" s="428">
        <v>0.0145192881581129</v>
      </c>
      <c r="T266" s="428">
        <v>-0.0197436585416196</v>
      </c>
      <c r="U266" s="428">
        <v>-0.283527839064007</v>
      </c>
      <c r="V266" s="428">
        <v>0.35519839679359</v>
      </c>
      <c r="W266" s="428">
        <v>0.0807088063690344</v>
      </c>
      <c r="X266" s="428">
        <v>0.141668191416237</v>
      </c>
      <c r="Y266" s="428">
        <v>0.875089248458435</v>
      </c>
      <c r="Z266" s="428">
        <v>-0.0254470861459771</v>
      </c>
      <c r="AA266" s="428" t="s">
        <v>113</v>
      </c>
      <c r="AB266" s="428" t="s">
        <v>113</v>
      </c>
      <c r="AC266" s="428" t="s">
        <v>113</v>
      </c>
      <c r="AD266" s="428" t="s">
        <v>113</v>
      </c>
      <c r="AE266" s="460" t="s">
        <v>113</v>
      </c>
      <c r="AS266" s="379" t="s">
        <v>537</v>
      </c>
      <c r="AT266" s="382">
        <v>1.88</v>
      </c>
      <c r="AU266" s="383">
        <v>45716</v>
      </c>
      <c r="AV266" s="382">
        <v>119.3081</v>
      </c>
      <c r="AW266" s="33"/>
      <c r="AX266" s="394">
        <v>0.017776</v>
      </c>
      <c r="AY266" s="394">
        <v>0.022892</v>
      </c>
      <c r="AZ266" s="394">
        <v>0.029686</v>
      </c>
      <c r="BA266" s="394">
        <v>0.076088</v>
      </c>
      <c r="BB266" s="394">
        <v>0.056606</v>
      </c>
      <c r="BC266" s="394">
        <v>0.051877</v>
      </c>
      <c r="BD266" s="394">
        <v>0.06283</v>
      </c>
      <c r="BE266" s="34"/>
      <c r="BF266" s="394">
        <v>0.022892</v>
      </c>
      <c r="BG266" s="394">
        <v>0.0762302240502915</v>
      </c>
      <c r="BH266" s="394">
        <v>0.0561593817877319</v>
      </c>
      <c r="BI266" s="394">
        <v>0.0158031770430788</v>
      </c>
      <c r="BJ266" s="394">
        <v>0.0187318141730136</v>
      </c>
      <c r="BK266" s="394">
        <v>0.100893196549244</v>
      </c>
      <c r="BL266" s="394">
        <v>0.103272062850106</v>
      </c>
      <c r="BM266" s="394">
        <v>0.0518757252963704</v>
      </c>
      <c r="BN266" s="394">
        <v>0.0348648876559689</v>
      </c>
      <c r="BO266" s="394">
        <v>0.127149669785811</v>
      </c>
      <c r="BP266" s="394">
        <v>0.0562858537564871</v>
      </c>
      <c r="BQ266" s="394">
        <v>0.139310056482913</v>
      </c>
      <c r="BR266" s="394">
        <v>0.0526429422584274</v>
      </c>
      <c r="BS266" s="394">
        <v>0.0992701929264853</v>
      </c>
      <c r="BT266" s="394">
        <v>0.0775749289318632</v>
      </c>
      <c r="BU266" s="394">
        <v>0.0497550196448946</v>
      </c>
    </row>
    <row r="267" ht="14.4" spans="2:73">
      <c r="B267" s="117" t="s">
        <v>55</v>
      </c>
      <c r="C267" s="450">
        <v>2.5</v>
      </c>
      <c r="D267" s="450"/>
      <c r="E267" s="450"/>
      <c r="F267" s="427">
        <v>-0.0266</v>
      </c>
      <c r="G267" s="428">
        <v>0.0767400376000003</v>
      </c>
      <c r="H267" s="428">
        <v>0.0926773279587556</v>
      </c>
      <c r="I267" s="428">
        <v>-0.00603086781450479</v>
      </c>
      <c r="J267" s="428">
        <v>0.201192575670456</v>
      </c>
      <c r="K267" s="428" t="s">
        <v>113</v>
      </c>
      <c r="L267" s="460" t="s">
        <v>113</v>
      </c>
      <c r="M267" s="459"/>
      <c r="N267" s="427">
        <v>0.0274444914796179</v>
      </c>
      <c r="O267" s="428">
        <v>0.134248800950535</v>
      </c>
      <c r="P267" s="428">
        <v>0.362138909888519</v>
      </c>
      <c r="Q267" s="428">
        <v>-0.0133525234273231</v>
      </c>
      <c r="R267" s="428">
        <v>0.714635684049357</v>
      </c>
      <c r="S267" s="428" t="s">
        <v>113</v>
      </c>
      <c r="T267" s="428" t="s">
        <v>113</v>
      </c>
      <c r="U267" s="428" t="s">
        <v>113</v>
      </c>
      <c r="V267" s="428" t="s">
        <v>113</v>
      </c>
      <c r="W267" s="428" t="s">
        <v>113</v>
      </c>
      <c r="X267" s="428" t="s">
        <v>113</v>
      </c>
      <c r="Y267" s="428" t="s">
        <v>113</v>
      </c>
      <c r="Z267" s="428" t="s">
        <v>113</v>
      </c>
      <c r="AA267" s="428" t="s">
        <v>113</v>
      </c>
      <c r="AB267" s="428" t="s">
        <v>113</v>
      </c>
      <c r="AC267" s="428" t="s">
        <v>113</v>
      </c>
      <c r="AD267" s="428" t="s">
        <v>113</v>
      </c>
      <c r="AE267" s="460" t="s">
        <v>113</v>
      </c>
      <c r="AS267" s="379" t="s">
        <v>538</v>
      </c>
      <c r="AT267" s="382">
        <v>0.76</v>
      </c>
      <c r="AU267" s="383">
        <v>45716</v>
      </c>
      <c r="AV267" s="382">
        <v>50.406352808</v>
      </c>
      <c r="AW267" s="33"/>
      <c r="AX267" s="394">
        <v>0.013704</v>
      </c>
      <c r="AY267" s="394">
        <v>0.025358</v>
      </c>
      <c r="AZ267" s="394">
        <v>0.038391</v>
      </c>
      <c r="BA267" s="394" t="s">
        <v>113</v>
      </c>
      <c r="BB267" s="394" t="s">
        <v>113</v>
      </c>
      <c r="BC267" s="394" t="s">
        <v>113</v>
      </c>
      <c r="BD267" s="394" t="s">
        <v>113</v>
      </c>
      <c r="BE267" s="34"/>
      <c r="BF267" s="394">
        <v>0.025358</v>
      </c>
      <c r="BG267" s="394">
        <v>0.0150700000000001</v>
      </c>
      <c r="BH267" s="394" t="s">
        <v>113</v>
      </c>
      <c r="BI267" s="394" t="s">
        <v>113</v>
      </c>
      <c r="BJ267" s="394" t="s">
        <v>113</v>
      </c>
      <c r="BK267" s="394" t="s">
        <v>113</v>
      </c>
      <c r="BL267" s="394" t="s">
        <v>113</v>
      </c>
      <c r="BM267" s="394" t="s">
        <v>113</v>
      </c>
      <c r="BN267" s="394" t="s">
        <v>113</v>
      </c>
      <c r="BO267" s="394" t="s">
        <v>113</v>
      </c>
      <c r="BP267" s="394" t="s">
        <v>113</v>
      </c>
      <c r="BQ267" s="394" t="s">
        <v>113</v>
      </c>
      <c r="BR267" s="394" t="s">
        <v>113</v>
      </c>
      <c r="BS267" s="394" t="s">
        <v>113</v>
      </c>
      <c r="BT267" s="394" t="s">
        <v>113</v>
      </c>
      <c r="BU267" s="394" t="s">
        <v>113</v>
      </c>
    </row>
    <row r="268" ht="14.4" spans="2:73">
      <c r="B268" s="451" t="s">
        <v>539</v>
      </c>
      <c r="C268" s="450"/>
      <c r="D268" s="450"/>
      <c r="E268" s="450"/>
      <c r="F268" s="427">
        <v>-0.0292</v>
      </c>
      <c r="G268" s="428">
        <v>0.03224076704</v>
      </c>
      <c r="H268" s="428">
        <v>0.0329096691090025</v>
      </c>
      <c r="I268" s="428">
        <v>-0.0923677056556129</v>
      </c>
      <c r="J268" s="428">
        <v>0.165520693688905</v>
      </c>
      <c r="K268" s="428">
        <v>0.209295226657811</v>
      </c>
      <c r="L268" s="460" t="s">
        <v>113</v>
      </c>
      <c r="M268" s="459"/>
      <c r="N268" s="427">
        <v>-0.0315438942433992</v>
      </c>
      <c r="O268" s="428">
        <v>0.177984171940503</v>
      </c>
      <c r="P268" s="428">
        <v>0.279890488396526</v>
      </c>
      <c r="Q268" s="428">
        <v>0.0780608351184571</v>
      </c>
      <c r="R268" s="428">
        <v>0.357662379040892</v>
      </c>
      <c r="S268" s="428">
        <v>0.119235252576155</v>
      </c>
      <c r="T268" s="428">
        <v>0.105632855440674</v>
      </c>
      <c r="U268" s="428">
        <v>-0.0544602133343024</v>
      </c>
      <c r="V268" s="428" t="s">
        <v>113</v>
      </c>
      <c r="W268" s="428" t="s">
        <v>113</v>
      </c>
      <c r="X268" s="428" t="s">
        <v>113</v>
      </c>
      <c r="Y268" s="428" t="s">
        <v>113</v>
      </c>
      <c r="Z268" s="428" t="s">
        <v>113</v>
      </c>
      <c r="AA268" s="428" t="s">
        <v>113</v>
      </c>
      <c r="AB268" s="428" t="s">
        <v>113</v>
      </c>
      <c r="AC268" s="428" t="s">
        <v>113</v>
      </c>
      <c r="AD268" s="428" t="s">
        <v>113</v>
      </c>
      <c r="AE268" s="460" t="s">
        <v>113</v>
      </c>
      <c r="AS268" s="379" t="s">
        <v>540</v>
      </c>
      <c r="AT268" s="382">
        <v>1.39</v>
      </c>
      <c r="AU268" s="383">
        <v>45716</v>
      </c>
      <c r="AV268" s="382">
        <v>869.9588</v>
      </c>
      <c r="AW268" s="33"/>
      <c r="AX268" s="394">
        <v>0.01887</v>
      </c>
      <c r="AY268" s="394">
        <v>0.026321</v>
      </c>
      <c r="AZ268" s="394">
        <v>0.03516</v>
      </c>
      <c r="BA268" s="394">
        <v>0.085255</v>
      </c>
      <c r="BB268" s="394">
        <v>0.062192</v>
      </c>
      <c r="BC268" s="394">
        <v>0.053958</v>
      </c>
      <c r="BD268" s="394">
        <v>0.059736</v>
      </c>
      <c r="BE268" s="34"/>
      <c r="BF268" s="394">
        <v>0.026321</v>
      </c>
      <c r="BG268" s="394">
        <v>0.089873417721519</v>
      </c>
      <c r="BH268" s="394">
        <v>0.060624581744047</v>
      </c>
      <c r="BI268" s="394">
        <v>0.0090417992448792</v>
      </c>
      <c r="BJ268" s="394">
        <v>0.0213893580630214</v>
      </c>
      <c r="BK268" s="394">
        <v>0.0927305605786617</v>
      </c>
      <c r="BL268" s="394">
        <v>0.0872543324005977</v>
      </c>
      <c r="BM268" s="394">
        <v>0.035868205564841</v>
      </c>
      <c r="BN268" s="394">
        <v>0.0129799603892922</v>
      </c>
      <c r="BO268" s="394">
        <v>0.1449436147516</v>
      </c>
      <c r="BP268" s="394">
        <v>0.0532398118870682</v>
      </c>
      <c r="BQ268" s="394">
        <v>0.15674967137266</v>
      </c>
      <c r="BR268" s="394">
        <v>0.0216932742503338</v>
      </c>
      <c r="BS268" s="394">
        <v>0.105067435844761</v>
      </c>
      <c r="BT268" s="394">
        <v>0.0628609368315984</v>
      </c>
      <c r="BU268" s="394">
        <v>0.0559311905669344</v>
      </c>
    </row>
    <row r="269" ht="15" customHeight="1" spans="2:73">
      <c r="B269" s="451" t="s">
        <v>541</v>
      </c>
      <c r="C269" s="450"/>
      <c r="D269" s="450"/>
      <c r="E269" s="450"/>
      <c r="F269" s="427">
        <v>-0.018</v>
      </c>
      <c r="G269" s="428">
        <v>0.0948377705599999</v>
      </c>
      <c r="H269" s="428">
        <v>0.0940728913180762</v>
      </c>
      <c r="I269" s="428">
        <v>-0.0369646601224703</v>
      </c>
      <c r="J269" s="428">
        <v>0.209639506516088</v>
      </c>
      <c r="K269" s="428">
        <v>0.217184819153708</v>
      </c>
      <c r="L269" s="460" t="s">
        <v>113</v>
      </c>
      <c r="M269" s="459"/>
      <c r="N269" s="427">
        <v>0.0561085619893391</v>
      </c>
      <c r="O269" s="428">
        <v>0.1564451631276</v>
      </c>
      <c r="P269" s="428">
        <v>0.351131295814017</v>
      </c>
      <c r="Q269" s="428">
        <v>0.0542138702060699</v>
      </c>
      <c r="R269" s="428">
        <v>0.223491636646421</v>
      </c>
      <c r="S269" s="428">
        <v>0.279662003302633</v>
      </c>
      <c r="T269" s="428">
        <v>-0.0178660563191662</v>
      </c>
      <c r="U269" s="428">
        <v>-0.147489089201293</v>
      </c>
      <c r="V269" s="428">
        <v>0.748026996135633</v>
      </c>
      <c r="W269" s="428" t="s">
        <v>113</v>
      </c>
      <c r="X269" s="428" t="s">
        <v>113</v>
      </c>
      <c r="Y269" s="428" t="s">
        <v>113</v>
      </c>
      <c r="Z269" s="428" t="s">
        <v>113</v>
      </c>
      <c r="AA269" s="428" t="s">
        <v>113</v>
      </c>
      <c r="AB269" s="428" t="s">
        <v>113</v>
      </c>
      <c r="AC269" s="428" t="s">
        <v>113</v>
      </c>
      <c r="AD269" s="428" t="s">
        <v>113</v>
      </c>
      <c r="AE269" s="460" t="s">
        <v>113</v>
      </c>
      <c r="AS269" s="379" t="s">
        <v>542</v>
      </c>
      <c r="AT269" s="382">
        <v>1.89</v>
      </c>
      <c r="AU269" s="383">
        <v>45716</v>
      </c>
      <c r="AV269" s="382">
        <v>48.5262</v>
      </c>
      <c r="AW269" s="33"/>
      <c r="AX269" s="394">
        <v>0.019035</v>
      </c>
      <c r="AY269" s="394">
        <v>0.025971</v>
      </c>
      <c r="AZ269" s="394">
        <v>0.032721</v>
      </c>
      <c r="BA269" s="394">
        <v>0.079332</v>
      </c>
      <c r="BB269" s="394">
        <v>0.054456</v>
      </c>
      <c r="BC269" s="394">
        <v>0.048011</v>
      </c>
      <c r="BD269" s="394">
        <v>0.057101</v>
      </c>
      <c r="BE269" s="34"/>
      <c r="BF269" s="394">
        <v>0.025971</v>
      </c>
      <c r="BG269" s="394">
        <v>0.0761054127566256</v>
      </c>
      <c r="BH269" s="394">
        <v>0.056891954229908</v>
      </c>
      <c r="BI269" s="394">
        <v>0.00523092409222267</v>
      </c>
      <c r="BJ269" s="394">
        <v>0.0131954391795107</v>
      </c>
      <c r="BK269" s="394">
        <v>0.0960392371119777</v>
      </c>
      <c r="BL269" s="394">
        <v>0.0979855405736194</v>
      </c>
      <c r="BM269" s="394">
        <v>0.0534587083324253</v>
      </c>
      <c r="BN269" s="394">
        <v>0.0109267948802679</v>
      </c>
      <c r="BO269" s="394">
        <v>0.111402198663174</v>
      </c>
      <c r="BP269" s="394">
        <v>0.0558066392365525</v>
      </c>
      <c r="BQ269" s="394">
        <v>0.137903478840648</v>
      </c>
      <c r="BR269" s="394">
        <v>0.031567661605996</v>
      </c>
      <c r="BS269" s="394">
        <v>0.0987663925316737</v>
      </c>
      <c r="BT269" s="394">
        <v>0.088555528671667</v>
      </c>
      <c r="BU269" s="394">
        <v>0.0474295779109697</v>
      </c>
    </row>
    <row r="270" ht="14.4" spans="2:73">
      <c r="B270" s="451" t="s">
        <v>543</v>
      </c>
      <c r="C270" s="450"/>
      <c r="D270" s="450"/>
      <c r="E270" s="450"/>
      <c r="F270" s="427">
        <v>-0.0372</v>
      </c>
      <c r="G270" s="428">
        <v>0.007977310352</v>
      </c>
      <c r="H270" s="428">
        <v>0.0222539859465321</v>
      </c>
      <c r="I270" s="428">
        <v>-0.0931548157959246</v>
      </c>
      <c r="J270" s="428">
        <v>0.0448225288378095</v>
      </c>
      <c r="K270" s="428">
        <v>0.12554246599299</v>
      </c>
      <c r="L270" s="460">
        <v>0.0904429511288229</v>
      </c>
      <c r="M270" s="459"/>
      <c r="N270" s="427">
        <v>-0.045638115311499</v>
      </c>
      <c r="O270" s="428">
        <v>0.050321712760286</v>
      </c>
      <c r="P270" s="428">
        <v>0.177257734378093</v>
      </c>
      <c r="Q270" s="428">
        <v>-0.111699392831357</v>
      </c>
      <c r="R270" s="428">
        <v>0.359299193675154</v>
      </c>
      <c r="S270" s="428">
        <v>0.173055915442975</v>
      </c>
      <c r="T270" s="428">
        <v>0.124552051272354</v>
      </c>
      <c r="U270" s="428">
        <v>-0.0605051034703555</v>
      </c>
      <c r="V270" s="428">
        <v>0.367487470010572</v>
      </c>
      <c r="W270" s="428">
        <v>-0.0116315211120084</v>
      </c>
      <c r="X270" s="428">
        <v>0.0460454296789969</v>
      </c>
      <c r="Y270" s="428">
        <v>0.532965157654408</v>
      </c>
      <c r="Z270" s="428">
        <v>0.147600572570584</v>
      </c>
      <c r="AA270" s="428">
        <v>0.242187215457883</v>
      </c>
      <c r="AB270" s="428">
        <v>-0.0680145159796208</v>
      </c>
      <c r="AC270" s="428" t="s">
        <v>113</v>
      </c>
      <c r="AD270" s="428" t="s">
        <v>113</v>
      </c>
      <c r="AE270" s="460" t="s">
        <v>113</v>
      </c>
      <c r="AS270" s="379" t="s">
        <v>544</v>
      </c>
      <c r="AT270" s="382">
        <v>1.03</v>
      </c>
      <c r="AU270" s="383">
        <v>45716</v>
      </c>
      <c r="AV270" s="382">
        <v>2905.4022153492</v>
      </c>
      <c r="AW270" s="33"/>
      <c r="AX270" s="394">
        <v>0.01708</v>
      </c>
      <c r="AY270" s="394">
        <v>0.026952</v>
      </c>
      <c r="AZ270" s="394">
        <v>0.041825</v>
      </c>
      <c r="BA270" s="394">
        <v>0.089562</v>
      </c>
      <c r="BB270" s="394">
        <v>0.073711</v>
      </c>
      <c r="BC270" s="394">
        <v>0.066442</v>
      </c>
      <c r="BD270" s="394">
        <v>0.073319</v>
      </c>
      <c r="BE270" s="34"/>
      <c r="BF270" s="394">
        <v>0.026952</v>
      </c>
      <c r="BG270" s="394">
        <v>0.0861083632458098</v>
      </c>
      <c r="BH270" s="394">
        <v>0.0766375047546597</v>
      </c>
      <c r="BI270" s="394">
        <v>0.0310806698063183</v>
      </c>
      <c r="BJ270" s="394">
        <v>0.0285870115955219</v>
      </c>
      <c r="BK270" s="394">
        <v>0.115004983789191</v>
      </c>
      <c r="BL270" s="394">
        <v>0.108867315465431</v>
      </c>
      <c r="BM270" s="394">
        <v>0.0458018452602017</v>
      </c>
      <c r="BN270" s="394">
        <v>0.0529366017408268</v>
      </c>
      <c r="BO270" s="394">
        <v>0.113152823562786</v>
      </c>
      <c r="BP270" s="394">
        <v>0.0853199564721182</v>
      </c>
      <c r="BQ270" s="394">
        <v>0.145413421374241</v>
      </c>
      <c r="BR270" s="394">
        <v>0.0424473290571203</v>
      </c>
      <c r="BS270" s="394">
        <v>0.112676751648507</v>
      </c>
      <c r="BT270" s="394">
        <v>0.0698199047841801</v>
      </c>
      <c r="BU270" s="394">
        <v>0.0412604388438907</v>
      </c>
    </row>
    <row r="271" ht="14.4" spans="2:73">
      <c r="B271" s="451" t="s">
        <v>545</v>
      </c>
      <c r="C271" s="450"/>
      <c r="D271" s="450"/>
      <c r="E271" s="450"/>
      <c r="F271" s="427">
        <v>-0.0296999999999999</v>
      </c>
      <c r="G271" s="428">
        <v>0.12798878965</v>
      </c>
      <c r="H271" s="428">
        <v>0.131797179079588</v>
      </c>
      <c r="I271" s="428">
        <v>0.047362864921038</v>
      </c>
      <c r="J271" s="428">
        <v>0.25063247439475</v>
      </c>
      <c r="K271" s="428">
        <v>0.231869795132867</v>
      </c>
      <c r="L271" s="460">
        <v>0.126169767031489</v>
      </c>
      <c r="M271" s="459"/>
      <c r="N271" s="427">
        <v>-0.0324265916048601</v>
      </c>
      <c r="O271" s="428">
        <v>0.389894621155732</v>
      </c>
      <c r="P271" s="428">
        <v>0.437219310607023</v>
      </c>
      <c r="Q271" s="428">
        <v>-0.0191843067153006</v>
      </c>
      <c r="R271" s="428">
        <v>0.238467138479246</v>
      </c>
      <c r="S271" s="428">
        <v>0.0475948887525379</v>
      </c>
      <c r="T271" s="428">
        <v>0.21551781528446</v>
      </c>
      <c r="U271" s="428">
        <v>-0.0484607914160776</v>
      </c>
      <c r="V271" s="428">
        <v>0.266791120196406</v>
      </c>
      <c r="W271" s="428">
        <v>0.00273222886591307</v>
      </c>
      <c r="X271" s="428">
        <v>-0.0321869878378038</v>
      </c>
      <c r="Y271" s="428">
        <v>0.547287949633932</v>
      </c>
      <c r="Z271" s="428">
        <v>0.0258517171897419</v>
      </c>
      <c r="AA271" s="428">
        <v>0.210379658263689</v>
      </c>
      <c r="AB271" s="428">
        <v>-0.135100239836152</v>
      </c>
      <c r="AC271" s="428">
        <v>0.177612658546926</v>
      </c>
      <c r="AD271" s="428">
        <v>0.762142910502756</v>
      </c>
      <c r="AE271" s="460">
        <v>-0.464316152421825</v>
      </c>
      <c r="AS271" s="379" t="s">
        <v>546</v>
      </c>
      <c r="AT271" s="382">
        <v>1.02</v>
      </c>
      <c r="AU271" s="383">
        <v>45716</v>
      </c>
      <c r="AV271" s="382">
        <v>24.95479199</v>
      </c>
      <c r="AW271" s="33"/>
      <c r="AX271" s="394">
        <v>0.014795</v>
      </c>
      <c r="AY271" s="394">
        <v>0.02627</v>
      </c>
      <c r="AZ271" s="394">
        <v>0.03562</v>
      </c>
      <c r="BA271" s="394">
        <v>0.083238</v>
      </c>
      <c r="BB271" s="394">
        <v>0.059327</v>
      </c>
      <c r="BC271" s="394">
        <v>0.053077</v>
      </c>
      <c r="BD271" s="394">
        <v>0.039242</v>
      </c>
      <c r="BE271" s="34"/>
      <c r="BF271" s="394">
        <v>0.02627</v>
      </c>
      <c r="BG271" s="394">
        <v>0.0798453582879319</v>
      </c>
      <c r="BH271" s="394">
        <v>0.0660180667525507</v>
      </c>
      <c r="BI271" s="394">
        <v>0.00680795121750815</v>
      </c>
      <c r="BJ271" s="394">
        <v>0.0157741306641709</v>
      </c>
      <c r="BK271" s="394">
        <v>0.103318314861709</v>
      </c>
      <c r="BL271" s="394">
        <v>-0.0735881056597641</v>
      </c>
      <c r="BM271" s="394">
        <v>0.0508930782169172</v>
      </c>
      <c r="BN271" s="394">
        <v>0.0422467530734012</v>
      </c>
      <c r="BO271" s="394">
        <v>0.0717969627388284</v>
      </c>
      <c r="BP271" s="394">
        <v>0.0418332087114429</v>
      </c>
      <c r="BQ271" s="394">
        <v>0.130377034771889</v>
      </c>
      <c r="BR271" s="394">
        <v>0.0459810964971539</v>
      </c>
      <c r="BS271" s="394">
        <v>0.0958277141744423</v>
      </c>
      <c r="BT271" s="394">
        <v>0.0670758303767992</v>
      </c>
      <c r="BU271" s="394">
        <v>0.0351615690094676</v>
      </c>
    </row>
    <row r="272" ht="14.4" spans="2:73">
      <c r="B272" s="451" t="s">
        <v>547</v>
      </c>
      <c r="C272" s="450"/>
      <c r="D272" s="450"/>
      <c r="E272" s="450"/>
      <c r="F272" s="427">
        <v>-0.0136000000000001</v>
      </c>
      <c r="G272" s="428">
        <v>0.0522232808480001</v>
      </c>
      <c r="H272" s="428">
        <v>0.0442590554464255</v>
      </c>
      <c r="I272" s="428">
        <v>-0.0346406606829707</v>
      </c>
      <c r="J272" s="428">
        <v>0.243562469424054</v>
      </c>
      <c r="K272" s="428">
        <v>0.241263218987508</v>
      </c>
      <c r="L272" s="460">
        <v>0.179574690923549</v>
      </c>
      <c r="M272" s="459"/>
      <c r="N272" s="427">
        <v>-0.0207982837078867</v>
      </c>
      <c r="O272" s="428">
        <v>0.238505520029569</v>
      </c>
      <c r="P272" s="428">
        <v>0.513904958233747</v>
      </c>
      <c r="Q272" s="428">
        <v>-0.0825067259013156</v>
      </c>
      <c r="R272" s="428">
        <v>0.431133440035883</v>
      </c>
      <c r="S272" s="428">
        <v>0.273939847192341</v>
      </c>
      <c r="T272" s="428">
        <v>0.0872844055292226</v>
      </c>
      <c r="U272" s="428">
        <v>-0.24961470686832</v>
      </c>
      <c r="V272" s="428">
        <v>0.748665220836538</v>
      </c>
      <c r="W272" s="428">
        <v>0.212647388430555</v>
      </c>
      <c r="X272" s="428">
        <v>0.026044906772879</v>
      </c>
      <c r="Y272" s="428">
        <v>0.762736279087745</v>
      </c>
      <c r="Z272" s="428">
        <v>0.157935345770323</v>
      </c>
      <c r="AA272" s="428">
        <v>0.406755919312328</v>
      </c>
      <c r="AB272" s="428">
        <v>-0.173256801591118</v>
      </c>
      <c r="AC272" s="428">
        <v>0.389632358339804</v>
      </c>
      <c r="AD272" s="428" t="s">
        <v>113</v>
      </c>
      <c r="AE272" s="460" t="s">
        <v>113</v>
      </c>
      <c r="AS272" s="379" t="s">
        <v>548</v>
      </c>
      <c r="AT272" s="382">
        <v>1.65</v>
      </c>
      <c r="AU272" s="383">
        <v>45716</v>
      </c>
      <c r="AV272" s="382">
        <v>2133.9925</v>
      </c>
      <c r="AW272" s="33"/>
      <c r="AX272" s="394">
        <v>0.017274</v>
      </c>
      <c r="AY272" s="394">
        <v>0.023382</v>
      </c>
      <c r="AZ272" s="394">
        <v>0.031056</v>
      </c>
      <c r="BA272" s="394">
        <v>0.080254</v>
      </c>
      <c r="BB272" s="394">
        <v>0.062444</v>
      </c>
      <c r="BC272" s="394">
        <v>0.059598</v>
      </c>
      <c r="BD272" s="394">
        <v>0.065679</v>
      </c>
      <c r="BE272" s="34"/>
      <c r="BF272" s="394">
        <v>0.023382</v>
      </c>
      <c r="BG272" s="394">
        <v>0.0816090335413346</v>
      </c>
      <c r="BH272" s="394">
        <v>0.0679970297122769</v>
      </c>
      <c r="BI272" s="394">
        <v>0.0171133015287245</v>
      </c>
      <c r="BJ272" s="394">
        <v>0.0243928714836494</v>
      </c>
      <c r="BK272" s="394">
        <v>0.122600695214309</v>
      </c>
      <c r="BL272" s="394">
        <v>0.103059568301118</v>
      </c>
      <c r="BM272" s="394">
        <v>0.0515796767529055</v>
      </c>
      <c r="BN272" s="394">
        <v>0.00886041205633617</v>
      </c>
      <c r="BO272" s="394">
        <v>0.14321855648874</v>
      </c>
      <c r="BP272" s="394">
        <v>0.0460477222314824</v>
      </c>
      <c r="BQ272" s="394">
        <v>0.151266359044304</v>
      </c>
      <c r="BR272" s="394">
        <v>0.0210155084324276</v>
      </c>
      <c r="BS272" s="394">
        <v>0.129328744600239</v>
      </c>
      <c r="BT272" s="394">
        <v>0.0827816766431751</v>
      </c>
      <c r="BU272" s="394">
        <v>0.0445697036900143</v>
      </c>
    </row>
    <row r="273" ht="14.4" spans="2:73">
      <c r="B273" s="469" t="s">
        <v>549</v>
      </c>
      <c r="C273" s="470"/>
      <c r="D273" s="470"/>
      <c r="E273" s="470"/>
      <c r="F273" s="431">
        <v>-0.0195</v>
      </c>
      <c r="G273" s="432">
        <v>0.0596332134999999</v>
      </c>
      <c r="H273" s="432">
        <v>0.0325555659118653</v>
      </c>
      <c r="I273" s="432">
        <v>-0.093003005718859</v>
      </c>
      <c r="J273" s="432">
        <v>0.172143344368169</v>
      </c>
      <c r="K273" s="432">
        <v>0.232391486055112</v>
      </c>
      <c r="L273" s="461" t="s">
        <v>113</v>
      </c>
      <c r="M273" s="459"/>
      <c r="N273" s="431">
        <v>-0.0567604905395113</v>
      </c>
      <c r="O273" s="432">
        <v>0.16220840060076</v>
      </c>
      <c r="P273" s="432">
        <v>0.352391019951245</v>
      </c>
      <c r="Q273" s="432">
        <v>0.0420047824434806</v>
      </c>
      <c r="R273" s="432">
        <v>0.404489937686061</v>
      </c>
      <c r="S273" s="432">
        <v>0.112568696890947</v>
      </c>
      <c r="T273" s="432">
        <v>0.134416007287747</v>
      </c>
      <c r="U273" s="432" t="s">
        <v>113</v>
      </c>
      <c r="V273" s="432" t="s">
        <v>113</v>
      </c>
      <c r="W273" s="432" t="s">
        <v>113</v>
      </c>
      <c r="X273" s="432" t="s">
        <v>113</v>
      </c>
      <c r="Y273" s="432" t="s">
        <v>113</v>
      </c>
      <c r="Z273" s="432" t="s">
        <v>113</v>
      </c>
      <c r="AA273" s="432" t="s">
        <v>113</v>
      </c>
      <c r="AB273" s="432" t="s">
        <v>113</v>
      </c>
      <c r="AC273" s="432" t="s">
        <v>113</v>
      </c>
      <c r="AD273" s="432" t="s">
        <v>113</v>
      </c>
      <c r="AE273" s="461" t="s">
        <v>113</v>
      </c>
      <c r="AS273" s="379" t="s">
        <v>550</v>
      </c>
      <c r="AT273" s="382">
        <v>1.22</v>
      </c>
      <c r="AU273" s="383">
        <v>45716</v>
      </c>
      <c r="AV273" s="382">
        <v>192.6956</v>
      </c>
      <c r="AW273" s="33"/>
      <c r="AX273" s="394">
        <v>0.017031</v>
      </c>
      <c r="AY273" s="394">
        <v>0.025705</v>
      </c>
      <c r="AZ273" s="394">
        <v>0.037947</v>
      </c>
      <c r="BA273" s="394">
        <v>0.087893</v>
      </c>
      <c r="BB273" s="394">
        <v>0.068891</v>
      </c>
      <c r="BC273" s="394">
        <v>0.056703</v>
      </c>
      <c r="BD273" s="394">
        <v>0.062463</v>
      </c>
      <c r="BE273" s="34"/>
      <c r="BF273" s="394">
        <v>0.025705</v>
      </c>
      <c r="BG273" s="394">
        <v>0.0900247450628083</v>
      </c>
      <c r="BH273" s="394">
        <v>0.0649079050282143</v>
      </c>
      <c r="BI273" s="394">
        <v>0.0284898514398561</v>
      </c>
      <c r="BJ273" s="394">
        <v>0.0127127977595268</v>
      </c>
      <c r="BK273" s="394">
        <v>0.0881976943271315</v>
      </c>
      <c r="BL273" s="394">
        <v>0.09689145227627</v>
      </c>
      <c r="BM273" s="394">
        <v>0.0492291052716851</v>
      </c>
      <c r="BN273" s="394">
        <v>0.0223202095037715</v>
      </c>
      <c r="BO273" s="394">
        <v>0.123079475525882</v>
      </c>
      <c r="BP273" s="394">
        <v>0.055694879000905</v>
      </c>
      <c r="BQ273" s="394">
        <v>0.124194491515311</v>
      </c>
      <c r="BR273" s="394">
        <v>0.0412017593996173</v>
      </c>
      <c r="BS273" s="394">
        <v>0.0891989552178208</v>
      </c>
      <c r="BT273" s="394">
        <v>0.0922179232767572</v>
      </c>
      <c r="BU273" s="394">
        <v>0.0579342429336565</v>
      </c>
    </row>
    <row r="274" ht="14.4" spans="2:73">
      <c r="B274" s="417" t="s">
        <v>551</v>
      </c>
      <c r="C274" s="418"/>
      <c r="D274" s="418"/>
      <c r="E274" s="418"/>
      <c r="F274" s="443">
        <v>-0.0286536029863544</v>
      </c>
      <c r="G274" s="444">
        <v>0.038723338534397</v>
      </c>
      <c r="H274" s="444">
        <v>0.0594419320505775</v>
      </c>
      <c r="I274" s="444">
        <v>-0.0320490649446464</v>
      </c>
      <c r="J274" s="444">
        <v>0.154870314661939</v>
      </c>
      <c r="K274" s="444">
        <v>0.201893143944227</v>
      </c>
      <c r="L274" s="466">
        <v>0.123454160170467</v>
      </c>
      <c r="M274" s="459"/>
      <c r="N274" s="443">
        <v>0.0225193212766828</v>
      </c>
      <c r="O274" s="444">
        <v>0.145464068566304</v>
      </c>
      <c r="P274" s="444">
        <v>0.248462982034302</v>
      </c>
      <c r="Q274" s="444">
        <v>0.0333786487584729</v>
      </c>
      <c r="R274" s="444">
        <v>0.301140405230863</v>
      </c>
      <c r="S274" s="444">
        <v>0.168033270282623</v>
      </c>
      <c r="T274" s="444">
        <v>0.0775116760967209</v>
      </c>
      <c r="U274" s="444">
        <v>-0.0308170579621174</v>
      </c>
      <c r="V274" s="444">
        <v>0.359381285994397</v>
      </c>
      <c r="W274" s="444">
        <v>0.037823178380737</v>
      </c>
      <c r="X274" s="444">
        <v>-0.00815175318655215</v>
      </c>
      <c r="Y274" s="444">
        <v>0.369590487893985</v>
      </c>
      <c r="Z274" s="444">
        <v>0.0325486673604545</v>
      </c>
      <c r="AA274" s="444">
        <v>0.311989935417776</v>
      </c>
      <c r="AB274" s="444">
        <v>-0.274131836715211</v>
      </c>
      <c r="AC274" s="444">
        <v>0.163514925645803</v>
      </c>
      <c r="AD274" s="444">
        <v>0.902289503315401</v>
      </c>
      <c r="AE274" s="466">
        <v>-0.581393156534298</v>
      </c>
      <c r="AS274" s="379" t="s">
        <v>552</v>
      </c>
      <c r="AT274" s="382">
        <v>1.52</v>
      </c>
      <c r="AU274" s="383">
        <v>45716</v>
      </c>
      <c r="AV274" s="382">
        <v>411.2586</v>
      </c>
      <c r="AW274" s="33"/>
      <c r="AX274" s="394">
        <v>0.020007</v>
      </c>
      <c r="AY274" s="394">
        <v>0.026653</v>
      </c>
      <c r="AZ274" s="394">
        <v>0.033817</v>
      </c>
      <c r="BA274" s="394">
        <v>0.083034</v>
      </c>
      <c r="BB274" s="394">
        <v>0.069799</v>
      </c>
      <c r="BC274" s="394">
        <v>0.058072</v>
      </c>
      <c r="BD274" s="394">
        <v>0.068636</v>
      </c>
      <c r="BE274" s="34"/>
      <c r="BF274" s="394">
        <v>0.026653</v>
      </c>
      <c r="BG274" s="394">
        <v>0.0812249898736813</v>
      </c>
      <c r="BH274" s="394">
        <v>0.0684815320011041</v>
      </c>
      <c r="BI274" s="394">
        <v>0.0332950281750591</v>
      </c>
      <c r="BJ274" s="394">
        <v>0.0124603823202469</v>
      </c>
      <c r="BK274" s="394">
        <v>0.10538809700527</v>
      </c>
      <c r="BL274" s="394">
        <v>0.114415618502939</v>
      </c>
      <c r="BM274" s="394">
        <v>0.0614927780629079</v>
      </c>
      <c r="BN274" s="394">
        <v>0.0244392492653202</v>
      </c>
      <c r="BO274" s="394">
        <v>0.138410464368091</v>
      </c>
      <c r="BP274" s="394">
        <v>0.0512032286842347</v>
      </c>
      <c r="BQ274" s="394">
        <v>0.148136968064521</v>
      </c>
      <c r="BR274" s="394">
        <v>0.0279699136449471</v>
      </c>
      <c r="BS274" s="394">
        <v>0.11105937959506</v>
      </c>
      <c r="BT274" s="394">
        <v>0.0649630638490167</v>
      </c>
      <c r="BU274" s="394">
        <v>0.04208798252384</v>
      </c>
    </row>
    <row r="275" ht="14.4" spans="2:73">
      <c r="B275" s="417" t="s">
        <v>146</v>
      </c>
      <c r="C275" s="418"/>
      <c r="D275" s="418"/>
      <c r="E275" s="418"/>
      <c r="F275" s="443">
        <f t="shared" ref="F275:L275" si="38">+AVERAGE(F248:F273)</f>
        <v>-0.0249538461538462</v>
      </c>
      <c r="G275" s="444">
        <f t="shared" si="38"/>
        <v>0.0611405309756696</v>
      </c>
      <c r="H275" s="444">
        <f t="shared" si="38"/>
        <v>0.0652534135448182</v>
      </c>
      <c r="I275" s="444">
        <f t="shared" si="38"/>
        <v>-0.0224272188432563</v>
      </c>
      <c r="J275" s="444">
        <f t="shared" si="38"/>
        <v>0.167596633550873</v>
      </c>
      <c r="K275" s="444">
        <f t="shared" si="38"/>
        <v>0.214546309800126</v>
      </c>
      <c r="L275" s="466">
        <f t="shared" si="38"/>
        <v>0.125031836571522</v>
      </c>
      <c r="M275" s="459"/>
      <c r="N275" s="443">
        <f t="shared" ref="N275:AE275" si="39">+AVERAGE(N248:N273)</f>
        <v>-0.00823547612833042</v>
      </c>
      <c r="O275" s="444">
        <f t="shared" si="39"/>
        <v>0.197486719672168</v>
      </c>
      <c r="P275" s="444">
        <f t="shared" si="39"/>
        <v>0.302907609985172</v>
      </c>
      <c r="Q275" s="444">
        <f t="shared" si="39"/>
        <v>-0.0313432095561307</v>
      </c>
      <c r="R275" s="444">
        <f t="shared" si="39"/>
        <v>0.415918400184773</v>
      </c>
      <c r="S275" s="444">
        <f t="shared" si="39"/>
        <v>0.155957043915329</v>
      </c>
      <c r="T275" s="444">
        <f t="shared" si="39"/>
        <v>0.0675186175519943</v>
      </c>
      <c r="U275" s="444">
        <f t="shared" si="39"/>
        <v>-0.119641960605944</v>
      </c>
      <c r="V275" s="444">
        <f t="shared" si="39"/>
        <v>0.518059942398053</v>
      </c>
      <c r="W275" s="444">
        <f t="shared" si="39"/>
        <v>0.0695517446659376</v>
      </c>
      <c r="X275" s="444">
        <f t="shared" si="39"/>
        <v>0.104639532947173</v>
      </c>
      <c r="Y275" s="444">
        <f t="shared" si="39"/>
        <v>0.663724093824672</v>
      </c>
      <c r="Z275" s="444">
        <f t="shared" si="39"/>
        <v>0.0885054291823432</v>
      </c>
      <c r="AA275" s="444">
        <f t="shared" si="39"/>
        <v>0.41076777462585</v>
      </c>
      <c r="AB275" s="444">
        <f t="shared" si="39"/>
        <v>-0.17466707960979</v>
      </c>
      <c r="AC275" s="444">
        <f t="shared" si="39"/>
        <v>0.222557939355666</v>
      </c>
      <c r="AD275" s="444">
        <f t="shared" si="39"/>
        <v>0.816561846591636</v>
      </c>
      <c r="AE275" s="466">
        <f t="shared" si="39"/>
        <v>-0.515985087179032</v>
      </c>
      <c r="AS275" s="379" t="s">
        <v>553</v>
      </c>
      <c r="AT275" s="382">
        <v>1.47</v>
      </c>
      <c r="AU275" s="383">
        <v>45716</v>
      </c>
      <c r="AV275" s="382">
        <v>1899.3151</v>
      </c>
      <c r="AW275" s="33"/>
      <c r="AX275" s="394">
        <v>0.014893</v>
      </c>
      <c r="AY275" s="394">
        <v>0.02315</v>
      </c>
      <c r="AZ275" s="394">
        <v>0.033691</v>
      </c>
      <c r="BA275" s="394">
        <v>0.081588</v>
      </c>
      <c r="BB275" s="394">
        <v>0.067865</v>
      </c>
      <c r="BC275" s="394">
        <v>0.064912</v>
      </c>
      <c r="BD275" s="394">
        <v>0.074347</v>
      </c>
      <c r="BE275" s="34"/>
      <c r="BF275" s="394">
        <v>0.02315</v>
      </c>
      <c r="BG275" s="394">
        <v>0.0812513758306827</v>
      </c>
      <c r="BH275" s="394">
        <v>0.0721378314868465</v>
      </c>
      <c r="BI275" s="394">
        <v>0.030458328854081</v>
      </c>
      <c r="BJ275" s="394">
        <v>0.0358625448624098</v>
      </c>
      <c r="BK275" s="394">
        <v>0.116265326624974</v>
      </c>
      <c r="BL275" s="394">
        <v>0.117209679292061</v>
      </c>
      <c r="BM275" s="394">
        <v>0.0473847988077497</v>
      </c>
      <c r="BN275" s="394">
        <v>0.0571084319127644</v>
      </c>
      <c r="BO275" s="394">
        <v>0.134490933372225</v>
      </c>
      <c r="BP275" s="394">
        <v>0.0598595497955683</v>
      </c>
      <c r="BQ275" s="394">
        <v>0.123785746399815</v>
      </c>
      <c r="BR275" s="394">
        <v>0.0392705184388075</v>
      </c>
      <c r="BS275" s="394">
        <v>0.125461137006494</v>
      </c>
      <c r="BT275" s="394">
        <v>0.0858759555111416</v>
      </c>
      <c r="BU275" s="394">
        <v>0.0488062721753887</v>
      </c>
    </row>
    <row r="276" ht="15.15" spans="2:73">
      <c r="B276" s="445" t="s">
        <v>501</v>
      </c>
      <c r="C276" s="445"/>
      <c r="D276" s="445"/>
      <c r="E276" s="445"/>
      <c r="F276" s="446"/>
      <c r="G276" s="446"/>
      <c r="H276" s="446"/>
      <c r="I276" s="446"/>
      <c r="J276" s="446"/>
      <c r="K276" s="446"/>
      <c r="L276" s="446"/>
      <c r="M276" s="446"/>
      <c r="N276" s="428"/>
      <c r="O276" s="428"/>
      <c r="P276" s="428"/>
      <c r="Q276" s="428"/>
      <c r="R276" s="428"/>
      <c r="S276" s="428"/>
      <c r="T276" s="428"/>
      <c r="U276" s="428"/>
      <c r="V276" s="428"/>
      <c r="W276" s="428"/>
      <c r="X276" s="428"/>
      <c r="Y276" s="459"/>
      <c r="Z276" s="459"/>
      <c r="AA276" s="459"/>
      <c r="AB276" s="459"/>
      <c r="AC276" s="459"/>
      <c r="AD276" s="459"/>
      <c r="AE276" s="459"/>
      <c r="AS276" s="379" t="s">
        <v>554</v>
      </c>
      <c r="AT276" s="382">
        <v>1.61</v>
      </c>
      <c r="AU276" s="383">
        <v>45716</v>
      </c>
      <c r="AV276" s="382">
        <v>311.5633</v>
      </c>
      <c r="AW276" s="33"/>
      <c r="AX276" s="394">
        <v>0.016824</v>
      </c>
      <c r="AY276" s="394">
        <v>0.024573</v>
      </c>
      <c r="AZ276" s="394">
        <v>0.035492</v>
      </c>
      <c r="BA276" s="394">
        <v>0.084272</v>
      </c>
      <c r="BB276" s="394">
        <v>0.091902</v>
      </c>
      <c r="BC276" s="394">
        <v>0.088555</v>
      </c>
      <c r="BD276" s="394">
        <v>0.055666</v>
      </c>
      <c r="BE276" s="34"/>
      <c r="BF276" s="394">
        <v>0.024573</v>
      </c>
      <c r="BG276" s="394">
        <v>0.0845574576650042</v>
      </c>
      <c r="BH276" s="394">
        <v>0.0643574509697755</v>
      </c>
      <c r="BI276" s="394">
        <v>0.0989003261698571</v>
      </c>
      <c r="BJ276" s="394">
        <v>0.094285680462165</v>
      </c>
      <c r="BK276" s="394">
        <v>0.0105494864826604</v>
      </c>
      <c r="BL276" s="394">
        <v>-0.058397134306838</v>
      </c>
      <c r="BM276" s="394">
        <v>0.04032421875</v>
      </c>
      <c r="BN276" s="394">
        <v>0.0359570158772554</v>
      </c>
      <c r="BO276" s="394">
        <v>0.139002198592348</v>
      </c>
      <c r="BP276" s="394">
        <v>0.063121246793466</v>
      </c>
      <c r="BQ276" s="394">
        <v>0.155999342910228</v>
      </c>
      <c r="BR276" s="394">
        <v>0.039602852583166</v>
      </c>
      <c r="BS276" s="394">
        <v>0.105072723131487</v>
      </c>
      <c r="BT276" s="394">
        <v>0.111673786520146</v>
      </c>
      <c r="BU276" s="394">
        <v>0.0524077810346798</v>
      </c>
    </row>
    <row r="277" ht="15.15" spans="2:73">
      <c r="B277" s="446"/>
      <c r="C277" s="446"/>
      <c r="D277" s="446"/>
      <c r="E277" s="446"/>
      <c r="F277" s="446"/>
      <c r="G277" s="446"/>
      <c r="H277" s="446"/>
      <c r="I277" s="446"/>
      <c r="J277" s="446"/>
      <c r="K277" s="446"/>
      <c r="L277" s="446"/>
      <c r="M277" s="446"/>
      <c r="N277" s="446"/>
      <c r="O277" s="446"/>
      <c r="P277" s="471"/>
      <c r="Q277" s="446"/>
      <c r="R277" s="446"/>
      <c r="S277" s="446"/>
      <c r="T277" s="446"/>
      <c r="U277" s="446"/>
      <c r="V277" s="446"/>
      <c r="W277" s="446"/>
      <c r="X277" s="446"/>
      <c r="Y277" s="446"/>
      <c r="Z277" s="446"/>
      <c r="AA277" s="446"/>
      <c r="AB277" s="446"/>
      <c r="AC277" s="446"/>
      <c r="AD277" s="446"/>
      <c r="AE277" s="446"/>
      <c r="AS277" s="4" t="s">
        <v>146</v>
      </c>
      <c r="AT277"/>
      <c r="AU277"/>
      <c r="AV277"/>
      <c r="AW277" s="395"/>
      <c r="AX277" s="396">
        <f>AVERAGE(AX264:AX276)</f>
        <v>0.0174287692307692</v>
      </c>
      <c r="AY277" s="396">
        <f t="shared" ref="AY277:BD277" si="40">AVERAGE(AY264:AY276)</f>
        <v>0.0249513076923077</v>
      </c>
      <c r="AZ277" s="396">
        <f t="shared" si="40"/>
        <v>0.0345423076923077</v>
      </c>
      <c r="BA277" s="396">
        <f t="shared" si="40"/>
        <v>0.0825034166666667</v>
      </c>
      <c r="BB277" s="396">
        <f t="shared" si="40"/>
        <v>0.0652949166666667</v>
      </c>
      <c r="BC277" s="396">
        <f t="shared" si="40"/>
        <v>0.0598564166666667</v>
      </c>
      <c r="BD277" s="396">
        <f t="shared" si="40"/>
        <v>0.0627854166666667</v>
      </c>
      <c r="BE277" s="395"/>
      <c r="BF277" s="396">
        <f t="shared" ref="BF277:BU277" si="41">AVERAGE(BF264:BF276)</f>
        <v>0.0249513076923077</v>
      </c>
      <c r="BG277" s="396">
        <f t="shared" si="41"/>
        <v>0.0773154925692066</v>
      </c>
      <c r="BH277" s="396">
        <f t="shared" si="41"/>
        <v>0.0650152547170296</v>
      </c>
      <c r="BI277" s="396">
        <f t="shared" si="41"/>
        <v>0.025484411221329</v>
      </c>
      <c r="BJ277" s="396">
        <f t="shared" si="41"/>
        <v>0.027483233608476</v>
      </c>
      <c r="BK277" s="396">
        <f t="shared" si="41"/>
        <v>0.0997315674500631</v>
      </c>
      <c r="BL277" s="396">
        <f t="shared" si="41"/>
        <v>0.0746215544422863</v>
      </c>
      <c r="BM277" s="396">
        <f t="shared" si="41"/>
        <v>0.0503918354074288</v>
      </c>
      <c r="BN277" s="396">
        <f t="shared" si="41"/>
        <v>0.0301307383719692</v>
      </c>
      <c r="BO277" s="396">
        <f t="shared" si="41"/>
        <v>0.12663933326594</v>
      </c>
      <c r="BP277" s="396">
        <f t="shared" si="41"/>
        <v>0.0561111896669984</v>
      </c>
      <c r="BQ277" s="396">
        <f t="shared" si="41"/>
        <v>0.14406830393835</v>
      </c>
      <c r="BR277" s="396">
        <f t="shared" si="41"/>
        <v>0.0363874409188926</v>
      </c>
      <c r="BS277" s="396">
        <f t="shared" si="41"/>
        <v>0.106855079620112</v>
      </c>
      <c r="BT277" s="396">
        <f t="shared" si="41"/>
        <v>0.0810638678227742</v>
      </c>
      <c r="BU277" s="396">
        <f t="shared" si="41"/>
        <v>0.0455299505984424</v>
      </c>
    </row>
    <row r="278" ht="14.4" spans="2:73">
      <c r="B278" s="446"/>
      <c r="C278" s="446"/>
      <c r="D278" s="446"/>
      <c r="E278" s="446"/>
      <c r="F278" s="447" t="s">
        <v>503</v>
      </c>
      <c r="G278" s="446"/>
      <c r="H278" s="446"/>
      <c r="I278" s="446"/>
      <c r="J278" s="446"/>
      <c r="K278" s="446"/>
      <c r="L278" s="446"/>
      <c r="M278" s="446"/>
      <c r="N278" s="447" t="s">
        <v>504</v>
      </c>
      <c r="O278" s="447"/>
      <c r="P278" s="447"/>
      <c r="Q278" s="447"/>
      <c r="R278" s="446"/>
      <c r="S278" s="446"/>
      <c r="T278" s="446"/>
      <c r="U278" s="446"/>
      <c r="V278" s="446"/>
      <c r="W278" s="446"/>
      <c r="X278" s="446"/>
      <c r="Y278" s="446"/>
      <c r="Z278" s="446"/>
      <c r="AA278" s="446"/>
      <c r="AB278" s="446"/>
      <c r="AC278" s="446"/>
      <c r="AD278" s="446"/>
      <c r="AE278" s="446"/>
      <c r="AS278" s="4" t="s">
        <v>162</v>
      </c>
      <c r="AT278"/>
      <c r="AU278"/>
      <c r="AV278"/>
      <c r="AW278"/>
      <c r="AX278" s="397">
        <v>0.0087263867959253</v>
      </c>
      <c r="AY278" s="397">
        <v>0.0207643930788102</v>
      </c>
      <c r="AZ278" s="397">
        <v>0.0377184412193585</v>
      </c>
      <c r="BA278" s="397">
        <v>0.080280059411505</v>
      </c>
      <c r="BB278" s="397">
        <v>0.0659301709109001</v>
      </c>
      <c r="BC278" s="397">
        <v>0.0655149768088614</v>
      </c>
      <c r="BD278" s="397">
        <v>0.0738047315298365</v>
      </c>
      <c r="BE278" s="400"/>
      <c r="BF278" s="397">
        <v>0.0207643930788102</v>
      </c>
      <c r="BG278" s="397">
        <v>0.0797029257152309</v>
      </c>
      <c r="BH278" s="397">
        <v>0.0725988870220093</v>
      </c>
      <c r="BI278" s="397">
        <v>0.0358682288812193</v>
      </c>
      <c r="BJ278" s="397">
        <v>0.0437965988907254</v>
      </c>
      <c r="BK278" s="397">
        <v>0.104161972570555</v>
      </c>
      <c r="BL278" s="397">
        <v>0.0953364838894115</v>
      </c>
      <c r="BM278" s="397">
        <v>0.0665068187794211</v>
      </c>
      <c r="BN278" s="397">
        <v>0.0602957159773323</v>
      </c>
      <c r="BO278" s="397">
        <v>0.0986738756953636</v>
      </c>
      <c r="BP278" s="397">
        <v>0.0865549936165921</v>
      </c>
      <c r="BQ278" s="397">
        <v>0.104681934209951</v>
      </c>
      <c r="BR278" s="397">
        <v>0.0827206164504672</v>
      </c>
      <c r="BS278" s="397">
        <v>0.0912371315059957</v>
      </c>
      <c r="BT278" s="397">
        <v>0.0786771029274067</v>
      </c>
      <c r="BU278" s="397">
        <v>0.0470040326565153</v>
      </c>
    </row>
    <row r="279" ht="15.15" spans="2:73">
      <c r="B279" s="417" t="s">
        <v>555</v>
      </c>
      <c r="C279" s="418"/>
      <c r="D279" s="418"/>
      <c r="E279" s="418"/>
      <c r="F279" s="419" t="s">
        <v>473</v>
      </c>
      <c r="G279" s="420" t="s">
        <v>474</v>
      </c>
      <c r="H279" s="420" t="s">
        <v>475</v>
      </c>
      <c r="I279" s="420" t="s">
        <v>476</v>
      </c>
      <c r="J279" s="455" t="s">
        <v>477</v>
      </c>
      <c r="K279" s="455" t="s">
        <v>478</v>
      </c>
      <c r="L279" s="456" t="s">
        <v>479</v>
      </c>
      <c r="M279" s="446"/>
      <c r="N279" s="457" t="s">
        <v>480</v>
      </c>
      <c r="O279" s="455">
        <v>2024</v>
      </c>
      <c r="P279" s="455">
        <v>2023</v>
      </c>
      <c r="Q279" s="455">
        <v>2022</v>
      </c>
      <c r="R279" s="455">
        <v>2021</v>
      </c>
      <c r="S279" s="455">
        <v>2020</v>
      </c>
      <c r="T279" s="455">
        <v>2019</v>
      </c>
      <c r="U279" s="455">
        <v>2018</v>
      </c>
      <c r="V279" s="455">
        <v>2017</v>
      </c>
      <c r="W279" s="455">
        <v>2016</v>
      </c>
      <c r="X279" s="455">
        <v>2015</v>
      </c>
      <c r="Y279" s="455">
        <v>2014</v>
      </c>
      <c r="Z279" s="455">
        <v>2013</v>
      </c>
      <c r="AA279" s="455">
        <v>2012</v>
      </c>
      <c r="AB279" s="455">
        <v>2011</v>
      </c>
      <c r="AC279" s="455">
        <v>2010</v>
      </c>
      <c r="AD279" s="455">
        <v>2009</v>
      </c>
      <c r="AE279" s="456">
        <v>2008</v>
      </c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</row>
    <row r="280" ht="15.15" spans="2:73">
      <c r="B280" s="448" t="s">
        <v>556</v>
      </c>
      <c r="C280" s="449"/>
      <c r="D280" s="449"/>
      <c r="E280" s="449"/>
      <c r="F280" s="423">
        <v>-0.0168</v>
      </c>
      <c r="G280" s="424">
        <v>0.14428434176</v>
      </c>
      <c r="H280" s="424">
        <v>0.0902025270770879</v>
      </c>
      <c r="I280" s="424">
        <v>-0.0370995061714349</v>
      </c>
      <c r="J280" s="424">
        <v>0.222541434068717</v>
      </c>
      <c r="K280" s="424">
        <v>0.302449821759616</v>
      </c>
      <c r="L280" s="458">
        <v>0.169005335003792</v>
      </c>
      <c r="M280" s="459"/>
      <c r="N280" s="423">
        <v>-0.0569748140783191</v>
      </c>
      <c r="O280" s="424">
        <v>0.31567669016237</v>
      </c>
      <c r="P280" s="424">
        <v>0.443216847730554</v>
      </c>
      <c r="Q280" s="424">
        <v>-0.104488598345423</v>
      </c>
      <c r="R280" s="424">
        <v>0.698319417351685</v>
      </c>
      <c r="S280" s="424">
        <v>0.54212343851322</v>
      </c>
      <c r="T280" s="424">
        <v>-0.0603400617133207</v>
      </c>
      <c r="U280" s="424">
        <v>-0.263763455335964</v>
      </c>
      <c r="V280" s="424">
        <v>0.659199018435789</v>
      </c>
      <c r="W280" s="424">
        <v>0.0276612286832427</v>
      </c>
      <c r="X280" s="424">
        <v>0.139949241375734</v>
      </c>
      <c r="Y280" s="424">
        <v>1.00798588964242</v>
      </c>
      <c r="Z280" s="424">
        <v>0.111620772981811</v>
      </c>
      <c r="AA280" s="424">
        <v>0.666039873677104</v>
      </c>
      <c r="AB280" s="424" t="s">
        <v>113</v>
      </c>
      <c r="AC280" s="424" t="s">
        <v>113</v>
      </c>
      <c r="AD280" s="424" t="s">
        <v>113</v>
      </c>
      <c r="AE280" s="458" t="s">
        <v>113</v>
      </c>
      <c r="AS280" s="350" t="s">
        <v>557</v>
      </c>
      <c r="AT280" s="369" t="s">
        <v>16</v>
      </c>
      <c r="AU280" s="370" t="s">
        <v>99</v>
      </c>
      <c r="AV280" s="371"/>
      <c r="AW280" s="386"/>
      <c r="AX280" s="360" t="s">
        <v>102</v>
      </c>
      <c r="AY280" s="361"/>
      <c r="AZ280" s="361"/>
      <c r="BA280" s="361"/>
      <c r="BB280" s="361"/>
      <c r="BC280" s="361"/>
      <c r="BD280" s="364"/>
      <c r="BE280" s="386"/>
      <c r="BF280" s="398" t="s">
        <v>103</v>
      </c>
      <c r="BG280" s="399"/>
      <c r="BH280" s="399"/>
      <c r="BI280" s="399"/>
      <c r="BJ280" s="399"/>
      <c r="BK280" s="399"/>
      <c r="BL280" s="399"/>
      <c r="BM280" s="399"/>
      <c r="BN280" s="399"/>
      <c r="BO280" s="399"/>
      <c r="BP280" s="399"/>
      <c r="BQ280" s="399"/>
      <c r="BR280" s="399"/>
      <c r="BS280" s="399"/>
      <c r="BT280" s="399"/>
      <c r="BU280" s="401"/>
    </row>
    <row r="281" ht="15.15" spans="2:73">
      <c r="B281" s="117" t="s">
        <v>558</v>
      </c>
      <c r="C281" s="450">
        <v>2.5</v>
      </c>
      <c r="D281" s="450"/>
      <c r="E281" s="450"/>
      <c r="F281" s="427">
        <v>-0.0272</v>
      </c>
      <c r="G281" s="428">
        <v>0.0920225254400002</v>
      </c>
      <c r="H281" s="428">
        <v>0.0633002675083705</v>
      </c>
      <c r="I281" s="428">
        <v>0.0465107135894205</v>
      </c>
      <c r="J281" s="428">
        <v>0.267048952864259</v>
      </c>
      <c r="K281" s="428">
        <v>0.312977687101079</v>
      </c>
      <c r="L281" s="460" t="s">
        <v>113</v>
      </c>
      <c r="M281" s="459"/>
      <c r="N281" s="427">
        <v>-0.0357993174234099</v>
      </c>
      <c r="O281" s="428">
        <v>0.296780385782955</v>
      </c>
      <c r="P281" s="428">
        <v>0.52365397667072</v>
      </c>
      <c r="Q281" s="428">
        <v>-0.045286730498504</v>
      </c>
      <c r="R281" s="428">
        <v>0.807307682586755</v>
      </c>
      <c r="S281" s="428" t="s">
        <v>113</v>
      </c>
      <c r="T281" s="428" t="s">
        <v>113</v>
      </c>
      <c r="U281" s="428" t="s">
        <v>113</v>
      </c>
      <c r="V281" s="428" t="s">
        <v>113</v>
      </c>
      <c r="W281" s="428" t="s">
        <v>113</v>
      </c>
      <c r="X281" s="428" t="s">
        <v>113</v>
      </c>
      <c r="Y281" s="428" t="s">
        <v>113</v>
      </c>
      <c r="Z281" s="428" t="s">
        <v>113</v>
      </c>
      <c r="AA281" s="428" t="s">
        <v>113</v>
      </c>
      <c r="AB281" s="428" t="s">
        <v>113</v>
      </c>
      <c r="AC281" s="428" t="s">
        <v>113</v>
      </c>
      <c r="AD281" s="428" t="s">
        <v>113</v>
      </c>
      <c r="AE281" s="460" t="s">
        <v>113</v>
      </c>
      <c r="AN281" s="5">
        <v>1.22</v>
      </c>
      <c r="AO281" s="67">
        <v>0.86</v>
      </c>
      <c r="AP281" s="5" t="s">
        <v>113</v>
      </c>
      <c r="AQ281" s="5" t="s">
        <v>113</v>
      </c>
      <c r="AS281" s="352"/>
      <c r="AT281" s="373" t="s">
        <v>110</v>
      </c>
      <c r="AU281" s="374" t="s">
        <v>104</v>
      </c>
      <c r="AV281" s="375" t="s">
        <v>105</v>
      </c>
      <c r="AW281" s="387"/>
      <c r="AX281" s="16" t="s">
        <v>89</v>
      </c>
      <c r="AY281" s="18" t="s">
        <v>90</v>
      </c>
      <c r="AZ281" s="18" t="s">
        <v>91</v>
      </c>
      <c r="BA281" s="18" t="s">
        <v>20</v>
      </c>
      <c r="BB281" s="18" t="s">
        <v>92</v>
      </c>
      <c r="BC281" s="18" t="s">
        <v>93</v>
      </c>
      <c r="BD281" s="273" t="s">
        <v>111</v>
      </c>
      <c r="BE281" s="387"/>
      <c r="BF281" s="16">
        <v>2025</v>
      </c>
      <c r="BG281" s="16">
        <v>2024</v>
      </c>
      <c r="BH281" s="16">
        <v>2023</v>
      </c>
      <c r="BI281" s="18">
        <v>2022</v>
      </c>
      <c r="BJ281" s="18">
        <v>2021</v>
      </c>
      <c r="BK281" s="18">
        <v>2020</v>
      </c>
      <c r="BL281" s="18">
        <v>2019</v>
      </c>
      <c r="BM281" s="18">
        <v>2018</v>
      </c>
      <c r="BN281" s="18">
        <v>2017</v>
      </c>
      <c r="BO281" s="18">
        <v>2016</v>
      </c>
      <c r="BP281" s="18">
        <v>2015</v>
      </c>
      <c r="BQ281" s="18">
        <v>2014</v>
      </c>
      <c r="BR281" s="18">
        <v>2013</v>
      </c>
      <c r="BS281" s="18">
        <v>2012</v>
      </c>
      <c r="BT281" s="18">
        <v>2011</v>
      </c>
      <c r="BU281" s="273">
        <v>2010</v>
      </c>
    </row>
    <row r="282" ht="14.4" spans="2:73">
      <c r="B282" s="451" t="s">
        <v>559</v>
      </c>
      <c r="C282" s="450"/>
      <c r="D282" s="450"/>
      <c r="E282" s="450"/>
      <c r="F282" s="427">
        <v>0.0072000000000001</v>
      </c>
      <c r="G282" s="428">
        <v>0.1951243832</v>
      </c>
      <c r="H282" s="428">
        <v>0.147271358135198</v>
      </c>
      <c r="I282" s="428">
        <v>0.0446414173630907</v>
      </c>
      <c r="J282" s="428">
        <v>0.36266803736957</v>
      </c>
      <c r="K282" s="428">
        <v>0.348305678465261</v>
      </c>
      <c r="L282" s="460" t="s">
        <v>113</v>
      </c>
      <c r="M282" s="459"/>
      <c r="N282" s="427">
        <v>0.0371333077542193</v>
      </c>
      <c r="O282" s="428">
        <v>0.384825160662839</v>
      </c>
      <c r="P282" s="428">
        <v>0.646792246616892</v>
      </c>
      <c r="Q282" s="428">
        <v>-0.00558009335049481</v>
      </c>
      <c r="R282" s="428">
        <v>0.475559533062162</v>
      </c>
      <c r="S282" s="428">
        <v>0.617323094440013</v>
      </c>
      <c r="T282" s="428">
        <v>-0.303610016984161</v>
      </c>
      <c r="U282" s="428">
        <v>-0.252777586136961</v>
      </c>
      <c r="V282" s="428">
        <v>1.37780423367443</v>
      </c>
      <c r="W282" s="428" t="s">
        <v>113</v>
      </c>
      <c r="X282" s="428" t="s">
        <v>113</v>
      </c>
      <c r="Y282" s="428" t="s">
        <v>113</v>
      </c>
      <c r="Z282" s="428" t="s">
        <v>113</v>
      </c>
      <c r="AA282" s="428" t="s">
        <v>113</v>
      </c>
      <c r="AB282" s="428" t="s">
        <v>113</v>
      </c>
      <c r="AC282" s="428" t="s">
        <v>113</v>
      </c>
      <c r="AD282" s="428" t="s">
        <v>113</v>
      </c>
      <c r="AE282" s="460" t="s">
        <v>113</v>
      </c>
      <c r="AS282" s="379" t="s">
        <v>560</v>
      </c>
      <c r="AT282" s="382">
        <v>0.35</v>
      </c>
      <c r="AU282" s="383">
        <v>45716</v>
      </c>
      <c r="AV282" s="382">
        <v>26752.1568</v>
      </c>
      <c r="AW282" s="33"/>
      <c r="AX282" s="394">
        <v>0.008576</v>
      </c>
      <c r="AY282" s="394">
        <v>0.02028</v>
      </c>
      <c r="AZ282" s="394">
        <v>0.038566</v>
      </c>
      <c r="BA282" s="394">
        <v>0.077474</v>
      </c>
      <c r="BB282" s="394">
        <v>0.070046</v>
      </c>
      <c r="BC282" s="394">
        <v>0.061654</v>
      </c>
      <c r="BD282" s="394">
        <v>0.069059</v>
      </c>
      <c r="BE282" s="34"/>
      <c r="BF282" s="394">
        <v>0.02028</v>
      </c>
      <c r="BG282" s="394">
        <v>0.0777788378393521</v>
      </c>
      <c r="BH282" s="394">
        <v>0.0742550612108644</v>
      </c>
      <c r="BI282" s="394">
        <v>0.0484201247881225</v>
      </c>
      <c r="BJ282" s="394">
        <v>0.0383721008487894</v>
      </c>
      <c r="BK282" s="394">
        <v>0.0663226823074927</v>
      </c>
      <c r="BL282" s="394">
        <v>0.0804475228599285</v>
      </c>
      <c r="BM282" s="394">
        <v>0.0791296034271908</v>
      </c>
      <c r="BN282" s="394">
        <v>0.0676191067242513</v>
      </c>
      <c r="BO282" s="394">
        <v>0.0771441897634337</v>
      </c>
      <c r="BP282" s="394">
        <v>0.0839557420982541</v>
      </c>
      <c r="BQ282" s="394">
        <v>0.0916764796653693</v>
      </c>
      <c r="BR282" s="394">
        <v>0.0936533299078258</v>
      </c>
      <c r="BS282" s="394">
        <v>0.0978568231825161</v>
      </c>
      <c r="BT282" s="394">
        <v>0.0903517856022093</v>
      </c>
      <c r="BU282" s="394">
        <v>0.0566000198945589</v>
      </c>
    </row>
    <row r="283" ht="14.4" spans="2:73">
      <c r="B283" s="451" t="s">
        <v>561</v>
      </c>
      <c r="C283" s="450"/>
      <c r="D283" s="450"/>
      <c r="E283" s="450"/>
      <c r="F283" s="427">
        <v>-0.0162</v>
      </c>
      <c r="G283" s="428">
        <v>0.0912510491959997</v>
      </c>
      <c r="H283" s="428">
        <v>0.0762886158749947</v>
      </c>
      <c r="I283" s="428">
        <v>-0.0725548955878494</v>
      </c>
      <c r="J283" s="428">
        <v>0.204329971815659</v>
      </c>
      <c r="K283" s="428">
        <v>0.275708213418719</v>
      </c>
      <c r="L283" s="460" t="s">
        <v>113</v>
      </c>
      <c r="M283" s="459"/>
      <c r="N283" s="427">
        <v>-0.00841529819436759</v>
      </c>
      <c r="O283" s="428">
        <v>0.139512091873347</v>
      </c>
      <c r="P283" s="428">
        <v>0.398653387703106</v>
      </c>
      <c r="Q283" s="428">
        <v>0.180335808181963</v>
      </c>
      <c r="R283" s="428">
        <v>0.316602596541427</v>
      </c>
      <c r="S283" s="428">
        <v>0.168712729121955</v>
      </c>
      <c r="T283" s="428">
        <v>0.0439153973987207</v>
      </c>
      <c r="U283" s="428">
        <v>-0.146925334533099</v>
      </c>
      <c r="V283" s="428" t="s">
        <v>113</v>
      </c>
      <c r="W283" s="428" t="s">
        <v>113</v>
      </c>
      <c r="X283" s="428" t="s">
        <v>113</v>
      </c>
      <c r="Y283" s="428" t="s">
        <v>113</v>
      </c>
      <c r="Z283" s="428" t="s">
        <v>113</v>
      </c>
      <c r="AA283" s="428" t="s">
        <v>113</v>
      </c>
      <c r="AB283" s="428" t="s">
        <v>113</v>
      </c>
      <c r="AC283" s="428" t="s">
        <v>113</v>
      </c>
      <c r="AD283" s="428" t="s">
        <v>113</v>
      </c>
      <c r="AE283" s="460" t="s">
        <v>113</v>
      </c>
      <c r="AS283" s="379" t="s">
        <v>562</v>
      </c>
      <c r="AT283" s="382">
        <v>0.32</v>
      </c>
      <c r="AU283" s="383">
        <v>45716</v>
      </c>
      <c r="AV283" s="382">
        <v>17124.1307</v>
      </c>
      <c r="AW283" s="33"/>
      <c r="AX283" s="394">
        <v>0.008763</v>
      </c>
      <c r="AY283" s="394">
        <v>0.020273</v>
      </c>
      <c r="AZ283" s="394">
        <v>0.038575</v>
      </c>
      <c r="BA283" s="394">
        <v>0.077456</v>
      </c>
      <c r="BB283" s="394">
        <v>0.069497</v>
      </c>
      <c r="BC283" s="394">
        <v>0.060467</v>
      </c>
      <c r="BD283" s="394" t="s">
        <v>113</v>
      </c>
      <c r="BE283" s="34"/>
      <c r="BF283" s="394">
        <v>0.020273</v>
      </c>
      <c r="BG283" s="394">
        <v>0.0777305834321449</v>
      </c>
      <c r="BH283" s="394">
        <v>0.0732624426929116</v>
      </c>
      <c r="BI283" s="394">
        <v>0.0478181333190506</v>
      </c>
      <c r="BJ283" s="394">
        <v>0.0374449274790128</v>
      </c>
      <c r="BK283" s="394">
        <v>0.0621195028296497</v>
      </c>
      <c r="BL283" s="394">
        <v>0.0301982</v>
      </c>
      <c r="BM283" s="394" t="s">
        <v>113</v>
      </c>
      <c r="BN283" s="394" t="s">
        <v>113</v>
      </c>
      <c r="BO283" s="394" t="s">
        <v>113</v>
      </c>
      <c r="BP283" s="394" t="s">
        <v>113</v>
      </c>
      <c r="BQ283" s="394" t="s">
        <v>113</v>
      </c>
      <c r="BR283" s="394" t="s">
        <v>113</v>
      </c>
      <c r="BS283" s="394" t="s">
        <v>113</v>
      </c>
      <c r="BT283" s="394" t="s">
        <v>113</v>
      </c>
      <c r="BU283" s="394" t="s">
        <v>113</v>
      </c>
    </row>
    <row r="284" ht="14.4" spans="2:73">
      <c r="B284" s="451" t="s">
        <v>563</v>
      </c>
      <c r="C284" s="450"/>
      <c r="D284" s="450"/>
      <c r="E284" s="450"/>
      <c r="F284" s="427">
        <v>-0.0071</v>
      </c>
      <c r="G284" s="428">
        <v>0.118911907771</v>
      </c>
      <c r="H284" s="428">
        <v>0.0666380889425151</v>
      </c>
      <c r="I284" s="428">
        <v>-0.0181316508605512</v>
      </c>
      <c r="J284" s="428">
        <v>-0.00587747551257634</v>
      </c>
      <c r="K284" s="428">
        <v>0.12574864045031</v>
      </c>
      <c r="L284" s="460" t="s">
        <v>113</v>
      </c>
      <c r="M284" s="459"/>
      <c r="N284" s="427">
        <v>0.0182127197045248</v>
      </c>
      <c r="O284" s="428">
        <v>0.0312824637379263</v>
      </c>
      <c r="P284" s="428">
        <v>-0.0129989741253386</v>
      </c>
      <c r="Q284" s="428">
        <v>-0.105520367296126</v>
      </c>
      <c r="R284" s="428">
        <v>0.478926768733585</v>
      </c>
      <c r="S284" s="428">
        <v>0.461170843477555</v>
      </c>
      <c r="T284" s="428" t="s">
        <v>113</v>
      </c>
      <c r="U284" s="428" t="s">
        <v>113</v>
      </c>
      <c r="V284" s="428" t="s">
        <v>113</v>
      </c>
      <c r="W284" s="428" t="s">
        <v>113</v>
      </c>
      <c r="X284" s="428" t="s">
        <v>113</v>
      </c>
      <c r="Y284" s="428" t="s">
        <v>113</v>
      </c>
      <c r="Z284" s="428" t="s">
        <v>113</v>
      </c>
      <c r="AA284" s="428" t="s">
        <v>113</v>
      </c>
      <c r="AB284" s="428" t="s">
        <v>113</v>
      </c>
      <c r="AC284" s="428" t="s">
        <v>113</v>
      </c>
      <c r="AD284" s="428" t="s">
        <v>113</v>
      </c>
      <c r="AE284" s="460" t="s">
        <v>113</v>
      </c>
      <c r="AS284" s="379" t="s">
        <v>564</v>
      </c>
      <c r="AT284" s="382">
        <v>0.76</v>
      </c>
      <c r="AU284" s="383">
        <v>45716</v>
      </c>
      <c r="AV284" s="382">
        <v>3138.9578</v>
      </c>
      <c r="AW284" s="33"/>
      <c r="AX284" s="394">
        <v>0.008238</v>
      </c>
      <c r="AY284" s="394">
        <v>0.019125</v>
      </c>
      <c r="AZ284" s="394">
        <v>0.036549</v>
      </c>
      <c r="BA284" s="394">
        <v>0.072425</v>
      </c>
      <c r="BB284" s="394" t="s">
        <v>113</v>
      </c>
      <c r="BC284" s="394" t="s">
        <v>113</v>
      </c>
      <c r="BD284" s="394" t="s">
        <v>113</v>
      </c>
      <c r="BE284" s="34"/>
      <c r="BF284" s="394">
        <v>0.019125</v>
      </c>
      <c r="BG284" s="394">
        <v>0.0719299967817577</v>
      </c>
      <c r="BH284" s="394">
        <v>0.0319296999999999</v>
      </c>
      <c r="BI284" s="394" t="s">
        <v>113</v>
      </c>
      <c r="BJ284" s="394" t="s">
        <v>113</v>
      </c>
      <c r="BK284" s="394" t="s">
        <v>113</v>
      </c>
      <c r="BL284" s="394" t="s">
        <v>113</v>
      </c>
      <c r="BM284" s="394" t="s">
        <v>113</v>
      </c>
      <c r="BN284" s="394" t="s">
        <v>113</v>
      </c>
      <c r="BO284" s="394" t="s">
        <v>113</v>
      </c>
      <c r="BP284" s="394" t="s">
        <v>113</v>
      </c>
      <c r="BQ284" s="394" t="s">
        <v>113</v>
      </c>
      <c r="BR284" s="394" t="s">
        <v>113</v>
      </c>
      <c r="BS284" s="394" t="s">
        <v>113</v>
      </c>
      <c r="BT284" s="394" t="s">
        <v>113</v>
      </c>
      <c r="BU284" s="394" t="s">
        <v>113</v>
      </c>
    </row>
    <row r="285" ht="14.4" spans="2:73">
      <c r="B285" s="127" t="s">
        <v>565</v>
      </c>
      <c r="C285" s="450">
        <v>2.5</v>
      </c>
      <c r="D285" s="450"/>
      <c r="E285" s="450"/>
      <c r="F285" s="427">
        <v>-0.00180000000000002</v>
      </c>
      <c r="G285" s="428">
        <v>0.14177005789</v>
      </c>
      <c r="H285" s="428">
        <v>0.104277485587096</v>
      </c>
      <c r="I285" s="428">
        <v>0.0306555738941565</v>
      </c>
      <c r="J285" s="428">
        <v>0.278010567852792</v>
      </c>
      <c r="K285" s="428" t="s">
        <v>113</v>
      </c>
      <c r="L285" s="460" t="s">
        <v>113</v>
      </c>
      <c r="M285" s="459"/>
      <c r="N285" s="427">
        <v>0.0223585226640699</v>
      </c>
      <c r="O285" s="428">
        <v>0.315420641504217</v>
      </c>
      <c r="P285" s="428">
        <v>0.470121951219512</v>
      </c>
      <c r="Q285" s="428">
        <v>0.0472889823123643</v>
      </c>
      <c r="R285" s="428">
        <v>0.50331</v>
      </c>
      <c r="S285" s="428" t="s">
        <v>113</v>
      </c>
      <c r="T285" s="428" t="s">
        <v>113</v>
      </c>
      <c r="U285" s="428" t="s">
        <v>113</v>
      </c>
      <c r="V285" s="428" t="s">
        <v>113</v>
      </c>
      <c r="W285" s="428" t="s">
        <v>113</v>
      </c>
      <c r="X285" s="428" t="s">
        <v>113</v>
      </c>
      <c r="Y285" s="428" t="s">
        <v>113</v>
      </c>
      <c r="Z285" s="428" t="s">
        <v>113</v>
      </c>
      <c r="AA285" s="428" t="s">
        <v>113</v>
      </c>
      <c r="AB285" s="428" t="s">
        <v>113</v>
      </c>
      <c r="AC285" s="428" t="s">
        <v>113</v>
      </c>
      <c r="AD285" s="428" t="s">
        <v>113</v>
      </c>
      <c r="AE285" s="460" t="s">
        <v>113</v>
      </c>
      <c r="AS285" s="379" t="s">
        <v>566</v>
      </c>
      <c r="AT285" s="382">
        <v>0.35</v>
      </c>
      <c r="AU285" s="383">
        <v>45716</v>
      </c>
      <c r="AV285" s="382">
        <v>10852.5679</v>
      </c>
      <c r="AW285" s="33"/>
      <c r="AX285" s="394">
        <v>0.008648</v>
      </c>
      <c r="AY285" s="394">
        <v>0.02006</v>
      </c>
      <c r="AZ285" s="394">
        <v>0.037947</v>
      </c>
      <c r="BA285" s="394">
        <v>0.073756</v>
      </c>
      <c r="BB285" s="394">
        <v>0.063373</v>
      </c>
      <c r="BC285" s="394">
        <v>0.053063</v>
      </c>
      <c r="BD285" s="394">
        <v>0.061017</v>
      </c>
      <c r="BE285" s="34"/>
      <c r="BF285" s="394">
        <v>0.02006</v>
      </c>
      <c r="BG285" s="394">
        <v>0.0720585714364712</v>
      </c>
      <c r="BH285" s="394">
        <v>0.0665884198668233</v>
      </c>
      <c r="BI285" s="394">
        <v>0.0402449237527569</v>
      </c>
      <c r="BJ285" s="394">
        <v>0.0294030340924882</v>
      </c>
      <c r="BK285" s="394">
        <v>0.0501935111579826</v>
      </c>
      <c r="BL285" s="394">
        <v>0.0668485240890324</v>
      </c>
      <c r="BM285" s="394">
        <v>0.0622571164412908</v>
      </c>
      <c r="BN285" s="394">
        <v>0.0603303644370056</v>
      </c>
      <c r="BO285" s="394">
        <v>0.0812947873261831</v>
      </c>
      <c r="BP285" s="394">
        <v>0.0832197535474235</v>
      </c>
      <c r="BQ285" s="394">
        <v>0.0864978902953587</v>
      </c>
      <c r="BR285" s="394">
        <v>0.0845488746617384</v>
      </c>
      <c r="BS285" s="394">
        <v>0.0852244917449593</v>
      </c>
      <c r="BT285" s="394">
        <v>0.0857257656863634</v>
      </c>
      <c r="BU285" s="394">
        <v>0.0514745965983428</v>
      </c>
    </row>
    <row r="286" ht="14.4" spans="2:73">
      <c r="B286" s="451" t="s">
        <v>567</v>
      </c>
      <c r="C286" s="450"/>
      <c r="D286" s="450"/>
      <c r="E286" s="450"/>
      <c r="F286" s="427">
        <v>-0.0266999999999999</v>
      </c>
      <c r="G286" s="428">
        <v>0.0990033788090001</v>
      </c>
      <c r="H286" s="428">
        <v>0.037780037666749</v>
      </c>
      <c r="I286" s="428">
        <v>-0.13519451759062</v>
      </c>
      <c r="J286" s="428">
        <v>0.147963412470882</v>
      </c>
      <c r="K286" s="428">
        <v>0.252600528534728</v>
      </c>
      <c r="L286" s="460">
        <v>0.128906830839263</v>
      </c>
      <c r="M286" s="459"/>
      <c r="N286" s="427">
        <v>-0.048355705459591</v>
      </c>
      <c r="O286" s="428">
        <v>0.158299682445009</v>
      </c>
      <c r="P286" s="428">
        <v>0.327697434943483</v>
      </c>
      <c r="Q286" s="428">
        <v>-0.035137991182575</v>
      </c>
      <c r="R286" s="428">
        <v>0.582832517952752</v>
      </c>
      <c r="S286" s="428">
        <v>0.316255699167901</v>
      </c>
      <c r="T286" s="428">
        <v>-0.140741065881527</v>
      </c>
      <c r="U286" s="428">
        <v>-0.191354586459596</v>
      </c>
      <c r="V286" s="428">
        <v>0.520298205123948</v>
      </c>
      <c r="W286" s="428">
        <v>0.0403067701900905</v>
      </c>
      <c r="X286" s="428">
        <v>0.181867826211218</v>
      </c>
      <c r="Y286" s="428">
        <v>0.877151972102203</v>
      </c>
      <c r="Z286" s="428">
        <v>-0.146377167157344</v>
      </c>
      <c r="AA286" s="428" t="s">
        <v>113</v>
      </c>
      <c r="AB286" s="428" t="s">
        <v>113</v>
      </c>
      <c r="AC286" s="428" t="s">
        <v>113</v>
      </c>
      <c r="AD286" s="428" t="s">
        <v>113</v>
      </c>
      <c r="AE286" s="460" t="s">
        <v>113</v>
      </c>
      <c r="AS286" s="379" t="s">
        <v>568</v>
      </c>
      <c r="AT286" s="382">
        <v>0.62</v>
      </c>
      <c r="AU286" s="383">
        <v>45716</v>
      </c>
      <c r="AV286" s="382">
        <v>170.1376</v>
      </c>
      <c r="AW286" s="33"/>
      <c r="AX286" s="394">
        <v>0.008423</v>
      </c>
      <c r="AY286" s="394" t="s">
        <v>113</v>
      </c>
      <c r="AZ286" s="394" t="s">
        <v>113</v>
      </c>
      <c r="BA286" s="394" t="s">
        <v>113</v>
      </c>
      <c r="BB286" s="394" t="s">
        <v>113</v>
      </c>
      <c r="BC286" s="394" t="s">
        <v>113</v>
      </c>
      <c r="BD286" s="394" t="s">
        <v>113</v>
      </c>
      <c r="BE286" s="34"/>
      <c r="BF286" s="394" t="s">
        <v>113</v>
      </c>
      <c r="BG286" s="394" t="s">
        <v>113</v>
      </c>
      <c r="BH286" s="394" t="s">
        <v>113</v>
      </c>
      <c r="BI286" s="394" t="s">
        <v>113</v>
      </c>
      <c r="BJ286" s="394" t="s">
        <v>113</v>
      </c>
      <c r="BK286" s="394" t="s">
        <v>113</v>
      </c>
      <c r="BL286" s="394" t="s">
        <v>113</v>
      </c>
      <c r="BM286" s="394" t="s">
        <v>113</v>
      </c>
      <c r="BN286" s="394" t="s">
        <v>113</v>
      </c>
      <c r="BO286" s="394" t="s">
        <v>113</v>
      </c>
      <c r="BP286" s="394" t="s">
        <v>113</v>
      </c>
      <c r="BQ286" s="394" t="s">
        <v>113</v>
      </c>
      <c r="BR286" s="394" t="s">
        <v>113</v>
      </c>
      <c r="BS286" s="394" t="s">
        <v>113</v>
      </c>
      <c r="BT286" s="394" t="s">
        <v>113</v>
      </c>
      <c r="BU286" s="394" t="s">
        <v>113</v>
      </c>
    </row>
    <row r="287" ht="14.4" spans="2:73">
      <c r="B287" s="451" t="s">
        <v>569</v>
      </c>
      <c r="C287" s="450"/>
      <c r="D287" s="450"/>
      <c r="E287" s="450"/>
      <c r="F287" s="427">
        <v>-0.00929999999999997</v>
      </c>
      <c r="G287" s="428">
        <v>0.10057447513</v>
      </c>
      <c r="H287" s="428">
        <v>0.0164264988796341</v>
      </c>
      <c r="I287" s="428">
        <v>-0.106361316179112</v>
      </c>
      <c r="J287" s="428">
        <v>0.210045283452795</v>
      </c>
      <c r="K287" s="428">
        <v>0.337254854514069</v>
      </c>
      <c r="L287" s="460" t="s">
        <v>113</v>
      </c>
      <c r="M287" s="459"/>
      <c r="N287" s="427">
        <v>-0.0818619435620266</v>
      </c>
      <c r="O287" s="428">
        <v>0.204807056483591</v>
      </c>
      <c r="P287" s="428">
        <v>0.402603560101065</v>
      </c>
      <c r="Q287" s="428">
        <v>0.0734745673005701</v>
      </c>
      <c r="R287" s="428">
        <v>0.964383000823909</v>
      </c>
      <c r="S287" s="428">
        <v>0.334860512253584</v>
      </c>
      <c r="T287" s="428">
        <v>-0.183199316224933</v>
      </c>
      <c r="U287" s="428">
        <v>-0.163686879010095</v>
      </c>
      <c r="V287" s="428">
        <v>0.511868196972398</v>
      </c>
      <c r="W287" s="428" t="s">
        <v>113</v>
      </c>
      <c r="X287" s="428" t="s">
        <v>113</v>
      </c>
      <c r="Y287" s="428" t="s">
        <v>113</v>
      </c>
      <c r="Z287" s="428" t="s">
        <v>113</v>
      </c>
      <c r="AA287" s="428" t="s">
        <v>113</v>
      </c>
      <c r="AB287" s="428" t="s">
        <v>113</v>
      </c>
      <c r="AC287" s="428" t="s">
        <v>113</v>
      </c>
      <c r="AD287" s="428" t="s">
        <v>113</v>
      </c>
      <c r="AE287" s="460" t="s">
        <v>113</v>
      </c>
      <c r="AS287" s="379" t="s">
        <v>570</v>
      </c>
      <c r="AT287" s="382">
        <v>0.43</v>
      </c>
      <c r="AU287" s="383">
        <v>45716</v>
      </c>
      <c r="AV287" s="382">
        <v>1032.7358</v>
      </c>
      <c r="AW287" s="33"/>
      <c r="AX287" s="394">
        <v>0.008524</v>
      </c>
      <c r="AY287" s="394">
        <v>0.019996</v>
      </c>
      <c r="AZ287" s="394">
        <v>0.037905</v>
      </c>
      <c r="BA287" s="394">
        <v>0.075091</v>
      </c>
      <c r="BB287" s="394">
        <v>0.064888</v>
      </c>
      <c r="BC287" s="394">
        <v>0.051848</v>
      </c>
      <c r="BD287" s="394" t="s">
        <v>113</v>
      </c>
      <c r="BE287" s="34"/>
      <c r="BF287" s="394">
        <v>0.019996</v>
      </c>
      <c r="BG287" s="394">
        <v>0.0734413681405263</v>
      </c>
      <c r="BH287" s="394">
        <v>0.0688531922191697</v>
      </c>
      <c r="BI287" s="394">
        <v>0.041886328250975</v>
      </c>
      <c r="BJ287" s="394">
        <v>0.0291055514397502</v>
      </c>
      <c r="BK287" s="394">
        <v>0.0391259721324364</v>
      </c>
      <c r="BL287" s="394">
        <v>0.0375001</v>
      </c>
      <c r="BM287" s="394" t="s">
        <v>113</v>
      </c>
      <c r="BN287" s="394" t="s">
        <v>113</v>
      </c>
      <c r="BO287" s="394" t="s">
        <v>113</v>
      </c>
      <c r="BP287" s="394" t="s">
        <v>113</v>
      </c>
      <c r="BQ287" s="394" t="s">
        <v>113</v>
      </c>
      <c r="BR287" s="394" t="s">
        <v>113</v>
      </c>
      <c r="BS287" s="394" t="s">
        <v>113</v>
      </c>
      <c r="BT287" s="394" t="s">
        <v>113</v>
      </c>
      <c r="BU287" s="394" t="s">
        <v>113</v>
      </c>
    </row>
    <row r="288" ht="14.4" spans="2:73">
      <c r="B288" s="451" t="s">
        <v>571</v>
      </c>
      <c r="C288" s="450"/>
      <c r="D288" s="450"/>
      <c r="E288" s="450"/>
      <c r="F288" s="427">
        <v>-0.0134</v>
      </c>
      <c r="G288" s="428">
        <v>0.12430069927</v>
      </c>
      <c r="H288" s="428">
        <v>0.0854956317139122</v>
      </c>
      <c r="I288" s="428">
        <v>-0.00597169866289449</v>
      </c>
      <c r="J288" s="428">
        <v>0.239049127859629</v>
      </c>
      <c r="K288" s="428">
        <v>0.286942898910497</v>
      </c>
      <c r="L288" s="460" t="s">
        <v>113</v>
      </c>
      <c r="M288" s="459"/>
      <c r="N288" s="427">
        <v>0.0109655016404349</v>
      </c>
      <c r="O288" s="428">
        <v>0.302451498933993</v>
      </c>
      <c r="P288" s="428">
        <v>0.526889921178403</v>
      </c>
      <c r="Q288" s="428">
        <v>-0.187390897857096</v>
      </c>
      <c r="R288" s="428">
        <v>0.584287497283674</v>
      </c>
      <c r="S288" s="428">
        <v>0.382587296400398</v>
      </c>
      <c r="T288" s="428">
        <v>0.0662372602588757</v>
      </c>
      <c r="U288" s="428">
        <v>-0.169570726025374</v>
      </c>
      <c r="V288" s="428">
        <v>0.526388150602537</v>
      </c>
      <c r="W288" s="428">
        <v>0.0870013071004683</v>
      </c>
      <c r="X288" s="428" t="s">
        <v>113</v>
      </c>
      <c r="Y288" s="428" t="s">
        <v>113</v>
      </c>
      <c r="Z288" s="428" t="s">
        <v>113</v>
      </c>
      <c r="AA288" s="428" t="s">
        <v>113</v>
      </c>
      <c r="AB288" s="428" t="s">
        <v>113</v>
      </c>
      <c r="AC288" s="428" t="s">
        <v>113</v>
      </c>
      <c r="AD288" s="428" t="s">
        <v>113</v>
      </c>
      <c r="AE288" s="460" t="s">
        <v>113</v>
      </c>
      <c r="AS288" s="379" t="s">
        <v>572</v>
      </c>
      <c r="AT288" s="382">
        <v>0.5</v>
      </c>
      <c r="AU288" s="383">
        <v>45716</v>
      </c>
      <c r="AV288" s="382">
        <v>3843.9258</v>
      </c>
      <c r="AW288" s="33"/>
      <c r="AX288" s="394">
        <v>0.007766</v>
      </c>
      <c r="AY288" s="394">
        <v>0.018835</v>
      </c>
      <c r="AZ288" s="394">
        <v>0.036214</v>
      </c>
      <c r="BA288" s="394">
        <v>0.073506</v>
      </c>
      <c r="BB288" s="394">
        <v>0.064923</v>
      </c>
      <c r="BC288" s="394">
        <v>0.057115</v>
      </c>
      <c r="BD288" s="394">
        <v>0.062635</v>
      </c>
      <c r="BE288" s="34"/>
      <c r="BF288" s="394">
        <v>0.018835</v>
      </c>
      <c r="BG288" s="394">
        <v>0.0737183353118804</v>
      </c>
      <c r="BH288" s="394">
        <v>0.0716773780960717</v>
      </c>
      <c r="BI288" s="394">
        <v>0.0398575673253786</v>
      </c>
      <c r="BJ288" s="394">
        <v>0.0364135389247753</v>
      </c>
      <c r="BK288" s="394">
        <v>0.0565701064417669</v>
      </c>
      <c r="BL288" s="394">
        <v>0.0789634256769746</v>
      </c>
      <c r="BM288" s="394">
        <v>0.0725218441089637</v>
      </c>
      <c r="BN288" s="394">
        <v>0.057263545000458</v>
      </c>
      <c r="BO288" s="394">
        <v>0.0673773095613056</v>
      </c>
      <c r="BP288" s="394">
        <v>0.0738408389704072</v>
      </c>
      <c r="BQ288" s="394">
        <v>0.0823900159919727</v>
      </c>
      <c r="BR288" s="394">
        <v>0.101094499879156</v>
      </c>
      <c r="BS288" s="394">
        <v>0.0749681041081909</v>
      </c>
      <c r="BT288" s="394">
        <v>0.0725766321656051</v>
      </c>
      <c r="BU288" s="394">
        <v>0.0399126506491692</v>
      </c>
    </row>
    <row r="289" ht="14.4" spans="2:73">
      <c r="B289" s="451" t="s">
        <v>573</v>
      </c>
      <c r="C289" s="450"/>
      <c r="D289" s="450"/>
      <c r="E289" s="450"/>
      <c r="F289" s="427">
        <v>-0.0347</v>
      </c>
      <c r="G289" s="428">
        <v>0.0888002889400001</v>
      </c>
      <c r="H289" s="428">
        <v>0.0388436090779736</v>
      </c>
      <c r="I289" s="428">
        <v>-0.0990942161751146</v>
      </c>
      <c r="J289" s="428">
        <v>0.157948271265085</v>
      </c>
      <c r="K289" s="428">
        <v>0.255586029250993</v>
      </c>
      <c r="L289" s="460">
        <v>0.177379763979067</v>
      </c>
      <c r="M289" s="459"/>
      <c r="N289" s="427">
        <v>-0.0502891725809166</v>
      </c>
      <c r="O289" s="428">
        <v>0.142751666472918</v>
      </c>
      <c r="P289" s="428">
        <v>0.435226427704176</v>
      </c>
      <c r="Q289" s="428">
        <v>-0.0615327002949247</v>
      </c>
      <c r="R289" s="428">
        <v>0.628141688840653</v>
      </c>
      <c r="S289" s="428">
        <v>0.313130017903768</v>
      </c>
      <c r="T289" s="428">
        <v>-0.00715008657126848</v>
      </c>
      <c r="U289" s="428">
        <v>-0.224730301923665</v>
      </c>
      <c r="V289" s="428">
        <v>0.672960544240153</v>
      </c>
      <c r="W289" s="428">
        <v>0.173374020658505</v>
      </c>
      <c r="X289" s="428">
        <v>0.4781660795601</v>
      </c>
      <c r="Y289" s="428">
        <v>0.952265468294626</v>
      </c>
      <c r="Z289" s="428">
        <v>0.247269367225433</v>
      </c>
      <c r="AA289" s="428">
        <v>0.218695222615291</v>
      </c>
      <c r="AB289" s="428" t="s">
        <v>113</v>
      </c>
      <c r="AC289" s="428" t="s">
        <v>113</v>
      </c>
      <c r="AD289" s="428" t="s">
        <v>113</v>
      </c>
      <c r="AE289" s="460" t="s">
        <v>113</v>
      </c>
      <c r="AS289" s="379" t="s">
        <v>574</v>
      </c>
      <c r="AT289" s="382">
        <v>0.82</v>
      </c>
      <c r="AU289" s="383">
        <v>45716</v>
      </c>
      <c r="AV289" s="382">
        <v>1314.0461</v>
      </c>
      <c r="AW289" s="33"/>
      <c r="AX289" s="394">
        <v>0.008258</v>
      </c>
      <c r="AY289" s="394">
        <v>0.018957</v>
      </c>
      <c r="AZ289" s="394">
        <v>0.035512</v>
      </c>
      <c r="BA289" s="394">
        <v>0.070725</v>
      </c>
      <c r="BB289" s="394">
        <v>0.059954</v>
      </c>
      <c r="BC289" s="394">
        <v>0.049975</v>
      </c>
      <c r="BD289" s="394">
        <v>0.062781</v>
      </c>
      <c r="BE289" s="34"/>
      <c r="BF289" s="394">
        <v>0.018957</v>
      </c>
      <c r="BG289" s="394">
        <v>0.0699744752597357</v>
      </c>
      <c r="BH289" s="394">
        <v>0.0641376532006529</v>
      </c>
      <c r="BI289" s="394">
        <v>0.0348385932188093</v>
      </c>
      <c r="BJ289" s="394">
        <v>0.0284798656234804</v>
      </c>
      <c r="BK289" s="394">
        <v>0.0643162604265169</v>
      </c>
      <c r="BL289" s="394">
        <v>0.1248591008917</v>
      </c>
      <c r="BM289" s="394">
        <v>0.0623053484894481</v>
      </c>
      <c r="BN289" s="394">
        <v>0.0276434600253038</v>
      </c>
      <c r="BO289" s="394">
        <v>0.0949061628282087</v>
      </c>
      <c r="BP289" s="394">
        <v>0.0687086372516546</v>
      </c>
      <c r="BQ289" s="394">
        <v>0.125611584145608</v>
      </c>
      <c r="BR289" s="394">
        <v>0.0408100231254158</v>
      </c>
      <c r="BS289" s="394">
        <v>0.0825260197870407</v>
      </c>
      <c r="BT289" s="394">
        <v>0.0579005605035461</v>
      </c>
      <c r="BU289" s="394">
        <v>0.0541522458267204</v>
      </c>
    </row>
    <row r="290" ht="14.4" spans="2:73">
      <c r="B290" s="451" t="s">
        <v>575</v>
      </c>
      <c r="C290" s="450"/>
      <c r="D290" s="450"/>
      <c r="E290" s="450"/>
      <c r="F290" s="427">
        <v>-0.0538999999999999</v>
      </c>
      <c r="G290" s="428">
        <v>0.100325993796</v>
      </c>
      <c r="H290" s="428">
        <v>0.179811649706722</v>
      </c>
      <c r="I290" s="428">
        <v>0.168282321427441</v>
      </c>
      <c r="J290" s="428">
        <v>0.271896520099978</v>
      </c>
      <c r="K290" s="428">
        <v>0.263017906650196</v>
      </c>
      <c r="L290" s="460" t="s">
        <v>113</v>
      </c>
      <c r="M290" s="459"/>
      <c r="N290" s="427">
        <v>0.177570007572279</v>
      </c>
      <c r="O290" s="428">
        <v>0.0699995857578113</v>
      </c>
      <c r="P290" s="428">
        <v>0.4786701761982</v>
      </c>
      <c r="Q290" s="428">
        <v>0.0744688456213669</v>
      </c>
      <c r="R290" s="428">
        <v>0.328701834495939</v>
      </c>
      <c r="S290" s="428">
        <v>0.150741480083744</v>
      </c>
      <c r="T290" s="428">
        <v>0.14387514947061</v>
      </c>
      <c r="U290" s="428">
        <v>0.0221511159123333</v>
      </c>
      <c r="V290" s="428">
        <v>0.490989503129139</v>
      </c>
      <c r="W290" s="428" t="s">
        <v>113</v>
      </c>
      <c r="X290" s="428" t="s">
        <v>113</v>
      </c>
      <c r="Y290" s="428" t="s">
        <v>113</v>
      </c>
      <c r="Z290" s="428" t="s">
        <v>113</v>
      </c>
      <c r="AA290" s="428" t="s">
        <v>113</v>
      </c>
      <c r="AB290" s="428" t="s">
        <v>113</v>
      </c>
      <c r="AC290" s="428" t="s">
        <v>113</v>
      </c>
      <c r="AD290" s="428" t="s">
        <v>113</v>
      </c>
      <c r="AE290" s="460" t="s">
        <v>113</v>
      </c>
      <c r="AS290" s="379" t="s">
        <v>576</v>
      </c>
      <c r="AT290" s="382">
        <v>0.3</v>
      </c>
      <c r="AU290" s="383">
        <v>45716</v>
      </c>
      <c r="AV290" s="382">
        <v>2599.245335368</v>
      </c>
      <c r="AW290" s="33"/>
      <c r="AX290" s="394">
        <v>0.008995</v>
      </c>
      <c r="AY290" s="394">
        <v>0.020592</v>
      </c>
      <c r="AZ290" s="394">
        <v>0.038772</v>
      </c>
      <c r="BA290" s="394">
        <v>0.07746</v>
      </c>
      <c r="BB290" s="394">
        <v>0.068187</v>
      </c>
      <c r="BC290" s="394">
        <v>0.058663</v>
      </c>
      <c r="BD290" s="394">
        <v>0.068091</v>
      </c>
      <c r="BE290" s="34"/>
      <c r="BF290" s="394">
        <v>0.020592</v>
      </c>
      <c r="BG290" s="394">
        <v>0.07662955015864</v>
      </c>
      <c r="BH290" s="394">
        <v>0.0726142321021007</v>
      </c>
      <c r="BI290" s="394">
        <v>0.0441309224032948</v>
      </c>
      <c r="BJ290" s="394">
        <v>0.0358197434675397</v>
      </c>
      <c r="BK290" s="394">
        <v>0.0600141674949343</v>
      </c>
      <c r="BL290" s="394">
        <v>0.0848419861197986</v>
      </c>
      <c r="BM290" s="394">
        <v>0.0750687668714996</v>
      </c>
      <c r="BN290" s="394">
        <v>0.0716597175751961</v>
      </c>
      <c r="BO290" s="394">
        <v>0.0808389896517192</v>
      </c>
      <c r="BP290" s="394">
        <v>0.0829276521906781</v>
      </c>
      <c r="BQ290" s="394">
        <v>0.0889575113941546</v>
      </c>
      <c r="BR290" s="394">
        <v>0.0910123404945742</v>
      </c>
      <c r="BS290" s="394">
        <v>0.0975091130012152</v>
      </c>
      <c r="BT290" s="394">
        <v>0.0869510764991859</v>
      </c>
      <c r="BU290" s="394">
        <v>0.0545393421660854</v>
      </c>
    </row>
    <row r="291" ht="14.4" spans="2:73">
      <c r="B291" s="451" t="s">
        <v>577</v>
      </c>
      <c r="C291" s="450"/>
      <c r="D291" s="450"/>
      <c r="E291" s="450"/>
      <c r="F291" s="427">
        <v>-0.0374</v>
      </c>
      <c r="G291" s="428">
        <v>0.0213729869000001</v>
      </c>
      <c r="H291" s="428">
        <v>-0.0162724105483357</v>
      </c>
      <c r="I291" s="428">
        <v>-0.101651151463624</v>
      </c>
      <c r="J291" s="428">
        <v>0.138264654577689</v>
      </c>
      <c r="K291" s="428">
        <v>0.195713543946082</v>
      </c>
      <c r="L291" s="460">
        <v>0.143976751026546</v>
      </c>
      <c r="M291" s="459"/>
      <c r="N291" s="427">
        <v>-0.0898552342393202</v>
      </c>
      <c r="O291" s="428">
        <v>0.229590011192066</v>
      </c>
      <c r="P291" s="428">
        <v>0.321614014661822</v>
      </c>
      <c r="Q291" s="428">
        <v>-0.00429878619805169</v>
      </c>
      <c r="R291" s="428">
        <v>0.292064880842398</v>
      </c>
      <c r="S291" s="428">
        <v>0.162104297338898</v>
      </c>
      <c r="T291" s="428">
        <v>0.145470009128261</v>
      </c>
      <c r="U291" s="428">
        <v>0.0266770938409004</v>
      </c>
      <c r="V291" s="428">
        <v>0.290108489586673</v>
      </c>
      <c r="W291" s="428">
        <v>0.154251860837852</v>
      </c>
      <c r="X291" s="428" t="s">
        <v>113</v>
      </c>
      <c r="Y291" s="428" t="s">
        <v>113</v>
      </c>
      <c r="Z291" s="428" t="s">
        <v>113</v>
      </c>
      <c r="AA291" s="428" t="s">
        <v>113</v>
      </c>
      <c r="AB291" s="428" t="s">
        <v>113</v>
      </c>
      <c r="AC291" s="428" t="s">
        <v>113</v>
      </c>
      <c r="AD291" s="428" t="s">
        <v>113</v>
      </c>
      <c r="AE291" s="460" t="s">
        <v>113</v>
      </c>
      <c r="AS291" s="379" t="s">
        <v>578</v>
      </c>
      <c r="AT291" s="382">
        <v>0.41</v>
      </c>
      <c r="AU291" s="383">
        <v>45716</v>
      </c>
      <c r="AV291" s="382">
        <v>27398.9977</v>
      </c>
      <c r="AW291" s="33"/>
      <c r="AX291" s="394">
        <v>0.008747</v>
      </c>
      <c r="AY291" s="394">
        <v>0.020294</v>
      </c>
      <c r="AZ291" s="394">
        <v>0.038358</v>
      </c>
      <c r="BA291" s="394">
        <v>0.076814</v>
      </c>
      <c r="BB291" s="394">
        <v>0.068951</v>
      </c>
      <c r="BC291" s="394">
        <v>0.060814</v>
      </c>
      <c r="BD291" s="394">
        <v>0.067443</v>
      </c>
      <c r="BE291" s="34"/>
      <c r="BF291" s="394">
        <v>0.020294</v>
      </c>
      <c r="BG291" s="394">
        <v>0.0768127967669953</v>
      </c>
      <c r="BH291" s="394">
        <v>0.0726691794055829</v>
      </c>
      <c r="BI291" s="394">
        <v>0.0473139486035692</v>
      </c>
      <c r="BJ291" s="394">
        <v>0.0377724293684041</v>
      </c>
      <c r="BK291" s="394">
        <v>0.0651608519674566</v>
      </c>
      <c r="BL291" s="394">
        <v>0.080990759899394</v>
      </c>
      <c r="BM291" s="394">
        <v>0.0740902017977449</v>
      </c>
      <c r="BN291" s="394">
        <v>0.0645187644314111</v>
      </c>
      <c r="BO291" s="394">
        <v>0.0748043097551866</v>
      </c>
      <c r="BP291" s="394">
        <v>0.0827265633474584</v>
      </c>
      <c r="BQ291" s="394">
        <v>0.0906964051950827</v>
      </c>
      <c r="BR291" s="394">
        <v>0.092101533844615</v>
      </c>
      <c r="BS291" s="394">
        <v>0.0972586826675935</v>
      </c>
      <c r="BT291" s="394">
        <v>0.0885077784691972</v>
      </c>
      <c r="BU291" s="394">
        <v>0.0541133378462765</v>
      </c>
    </row>
    <row r="292" ht="14.4" spans="2:73">
      <c r="B292" s="451" t="s">
        <v>579</v>
      </c>
      <c r="C292" s="450"/>
      <c r="D292" s="450"/>
      <c r="E292" s="450"/>
      <c r="F292" s="427">
        <v>-0.0159</v>
      </c>
      <c r="G292" s="428">
        <v>0.154313833036</v>
      </c>
      <c r="H292" s="428">
        <v>0.106574385602582</v>
      </c>
      <c r="I292" s="428">
        <v>0.0180769861621428</v>
      </c>
      <c r="J292" s="428">
        <v>0.152905180225912</v>
      </c>
      <c r="K292" s="428">
        <v>0.286108439139798</v>
      </c>
      <c r="L292" s="460" t="s">
        <v>113</v>
      </c>
      <c r="M292" s="459"/>
      <c r="N292" s="427">
        <v>-0.00651751660600186</v>
      </c>
      <c r="O292" s="428">
        <v>0.145070071982659</v>
      </c>
      <c r="P292" s="428">
        <v>0.350553323876071</v>
      </c>
      <c r="Q292" s="428">
        <v>-0.0951425303452929</v>
      </c>
      <c r="R292" s="428">
        <v>0.812595657815592</v>
      </c>
      <c r="S292" s="428">
        <v>0.614275633659969</v>
      </c>
      <c r="T292" s="428" t="s">
        <v>113</v>
      </c>
      <c r="U292" s="428" t="s">
        <v>113</v>
      </c>
      <c r="V292" s="428" t="s">
        <v>113</v>
      </c>
      <c r="W292" s="428" t="s">
        <v>113</v>
      </c>
      <c r="X292" s="428" t="s">
        <v>113</v>
      </c>
      <c r="Y292" s="428" t="s">
        <v>113</v>
      </c>
      <c r="Z292" s="428" t="s">
        <v>113</v>
      </c>
      <c r="AA292" s="428" t="s">
        <v>113</v>
      </c>
      <c r="AB292" s="428" t="s">
        <v>113</v>
      </c>
      <c r="AC292" s="428" t="s">
        <v>113</v>
      </c>
      <c r="AD292" s="428" t="s">
        <v>113</v>
      </c>
      <c r="AE292" s="460" t="s">
        <v>113</v>
      </c>
      <c r="AS292" s="379" t="s">
        <v>580</v>
      </c>
      <c r="AT292" s="382">
        <v>0.39</v>
      </c>
      <c r="AU292" s="383">
        <v>45716</v>
      </c>
      <c r="AV292" s="382">
        <v>2620.3863</v>
      </c>
      <c r="AW292" s="33"/>
      <c r="AX292" s="394">
        <v>0.008636</v>
      </c>
      <c r="AY292" s="394">
        <v>0.020014</v>
      </c>
      <c r="AZ292" s="394">
        <v>0.037918</v>
      </c>
      <c r="BA292" s="394">
        <v>0.075488</v>
      </c>
      <c r="BB292" s="394">
        <v>0.065248</v>
      </c>
      <c r="BC292" s="394">
        <v>0.054171</v>
      </c>
      <c r="BD292" s="394">
        <v>0.067115</v>
      </c>
      <c r="BE292" s="34"/>
      <c r="BF292" s="394">
        <v>0.020014</v>
      </c>
      <c r="BG292" s="394">
        <v>0.0750131215820388</v>
      </c>
      <c r="BH292" s="394">
        <v>0.0693958473843611</v>
      </c>
      <c r="BI292" s="394">
        <v>0.0403479112609652</v>
      </c>
      <c r="BJ292" s="394">
        <v>0.0288919036775033</v>
      </c>
      <c r="BK292" s="394">
        <v>0.053601511052121</v>
      </c>
      <c r="BL292" s="394">
        <v>0.0822173605586504</v>
      </c>
      <c r="BM292" s="394">
        <v>0.0734287713638458</v>
      </c>
      <c r="BN292" s="394">
        <v>0.0746464601403346</v>
      </c>
      <c r="BO292" s="394">
        <v>0.0913485279491442</v>
      </c>
      <c r="BP292" s="394">
        <v>0.084420677899624</v>
      </c>
      <c r="BQ292" s="394">
        <v>0.0862985752091316</v>
      </c>
      <c r="BR292" s="394">
        <v>0.0873226888878884</v>
      </c>
      <c r="BS292" s="394">
        <v>0.106257720308024</v>
      </c>
      <c r="BT292" s="394">
        <v>0.0928360631018116</v>
      </c>
      <c r="BU292" s="394">
        <v>0.0522549886287222</v>
      </c>
    </row>
    <row r="293" ht="14.4" spans="2:73">
      <c r="B293" s="451" t="s">
        <v>581</v>
      </c>
      <c r="C293" s="450"/>
      <c r="D293" s="450"/>
      <c r="E293" s="450"/>
      <c r="F293" s="427">
        <v>-0.042</v>
      </c>
      <c r="G293" s="428">
        <v>0.0711522923199999</v>
      </c>
      <c r="H293" s="428">
        <v>0.0830069342369351</v>
      </c>
      <c r="I293" s="428">
        <v>-0.0291727406689307</v>
      </c>
      <c r="J293" s="428">
        <v>0.159517915829724</v>
      </c>
      <c r="K293" s="428">
        <v>0.219174113573743</v>
      </c>
      <c r="L293" s="460" t="s">
        <v>113</v>
      </c>
      <c r="M293" s="459"/>
      <c r="N293" s="427">
        <v>0.0240913570144459</v>
      </c>
      <c r="O293" s="428">
        <v>0.0554176077729824</v>
      </c>
      <c r="P293" s="428">
        <v>0.352446607698919</v>
      </c>
      <c r="Q293" s="428">
        <v>-0.0513650856417256</v>
      </c>
      <c r="R293" s="428">
        <v>0.543253270317368</v>
      </c>
      <c r="S293" s="428">
        <v>0.293365182646846</v>
      </c>
      <c r="T293" s="428">
        <v>0.0311051128720068</v>
      </c>
      <c r="U293" s="428" t="s">
        <v>113</v>
      </c>
      <c r="V293" s="428" t="s">
        <v>113</v>
      </c>
      <c r="W293" s="428" t="s">
        <v>113</v>
      </c>
      <c r="X293" s="428" t="s">
        <v>113</v>
      </c>
      <c r="Y293" s="428" t="s">
        <v>113</v>
      </c>
      <c r="Z293" s="428" t="s">
        <v>113</v>
      </c>
      <c r="AA293" s="428" t="s">
        <v>113</v>
      </c>
      <c r="AB293" s="428" t="s">
        <v>113</v>
      </c>
      <c r="AC293" s="428" t="s">
        <v>113</v>
      </c>
      <c r="AD293" s="428" t="s">
        <v>113</v>
      </c>
      <c r="AE293" s="460" t="s">
        <v>113</v>
      </c>
      <c r="AS293" s="379" t="s">
        <v>582</v>
      </c>
      <c r="AT293" s="382">
        <v>0.32</v>
      </c>
      <c r="AU293" s="383">
        <v>45716</v>
      </c>
      <c r="AV293" s="382">
        <v>25881.6979007326</v>
      </c>
      <c r="AW293" s="33"/>
      <c r="AX293" s="394">
        <v>0.008877</v>
      </c>
      <c r="AY293" s="394">
        <v>0.020327</v>
      </c>
      <c r="AZ293" s="394">
        <v>0.038564</v>
      </c>
      <c r="BA293" s="394">
        <v>0.077415</v>
      </c>
      <c r="BB293" s="394">
        <v>0.069506</v>
      </c>
      <c r="BC293" s="394">
        <v>0.060469</v>
      </c>
      <c r="BD293" s="394">
        <v>0.0677</v>
      </c>
      <c r="BE293" s="34"/>
      <c r="BF293" s="394">
        <v>0.020327</v>
      </c>
      <c r="BG293" s="394">
        <v>0.077376911307986</v>
      </c>
      <c r="BH293" s="394">
        <v>0.0736262781646424</v>
      </c>
      <c r="BI293" s="394">
        <v>0.0472866317497189</v>
      </c>
      <c r="BJ293" s="394">
        <v>0.036943718156271</v>
      </c>
      <c r="BK293" s="394">
        <v>0.0622182317562662</v>
      </c>
      <c r="BL293" s="394">
        <v>0.0788407855670308</v>
      </c>
      <c r="BM293" s="394">
        <v>0.076583681047735</v>
      </c>
      <c r="BN293" s="394">
        <v>0.06659493157605</v>
      </c>
      <c r="BO293" s="394">
        <v>0.0766122148351568</v>
      </c>
      <c r="BP293" s="394">
        <v>0.0833297224632404</v>
      </c>
      <c r="BQ293" s="394">
        <v>0.0911645741138483</v>
      </c>
      <c r="BR293" s="394">
        <v>0.091523522833049</v>
      </c>
      <c r="BS293" s="394">
        <v>0.0973837299649631</v>
      </c>
      <c r="BT293" s="394">
        <v>0.0816984723699781</v>
      </c>
      <c r="BU293" s="394">
        <v>0.0468555089693446</v>
      </c>
    </row>
    <row r="294" ht="14.4" spans="2:73">
      <c r="B294" s="469" t="s">
        <v>583</v>
      </c>
      <c r="C294" s="470"/>
      <c r="D294" s="470"/>
      <c r="E294" s="470"/>
      <c r="F294" s="431">
        <v>-0.0443</v>
      </c>
      <c r="G294" s="432">
        <v>0.0608346647139999</v>
      </c>
      <c r="H294" s="432">
        <v>0.0699388262998542</v>
      </c>
      <c r="I294" s="432">
        <v>-0.0242800926064733</v>
      </c>
      <c r="J294" s="432">
        <v>0.158252439035657</v>
      </c>
      <c r="K294" s="432">
        <v>0.244926361547764</v>
      </c>
      <c r="L294" s="461" t="s">
        <v>113</v>
      </c>
      <c r="M294" s="459"/>
      <c r="N294" s="431">
        <v>0.0130180807407019</v>
      </c>
      <c r="O294" s="432">
        <v>0.106403118686995</v>
      </c>
      <c r="P294" s="432">
        <v>0.32410668794045</v>
      </c>
      <c r="Q294" s="432">
        <v>-0.00227012738241195</v>
      </c>
      <c r="R294" s="432">
        <v>0.538942217392066</v>
      </c>
      <c r="S294" s="432">
        <v>0.63972988997913</v>
      </c>
      <c r="T294" s="432">
        <v>-0.0133885184644166</v>
      </c>
      <c r="U294" s="432">
        <v>-0.0794993650881466</v>
      </c>
      <c r="V294" s="432" t="s">
        <v>113</v>
      </c>
      <c r="W294" s="432" t="s">
        <v>113</v>
      </c>
      <c r="X294" s="432" t="s">
        <v>113</v>
      </c>
      <c r="Y294" s="432" t="s">
        <v>113</v>
      </c>
      <c r="Z294" s="432" t="s">
        <v>113</v>
      </c>
      <c r="AA294" s="432" t="s">
        <v>113</v>
      </c>
      <c r="AB294" s="432" t="s">
        <v>113</v>
      </c>
      <c r="AC294" s="432" t="s">
        <v>113</v>
      </c>
      <c r="AD294" s="432" t="s">
        <v>113</v>
      </c>
      <c r="AE294" s="461" t="s">
        <v>113</v>
      </c>
      <c r="AS294" s="379" t="s">
        <v>584</v>
      </c>
      <c r="AT294" s="382">
        <v>0.48</v>
      </c>
      <c r="AU294" s="383">
        <v>45716</v>
      </c>
      <c r="AV294" s="382">
        <v>5513.4064</v>
      </c>
      <c r="AW294" s="33"/>
      <c r="AX294" s="394">
        <v>0.008476</v>
      </c>
      <c r="AY294" s="394">
        <v>0.019519</v>
      </c>
      <c r="AZ294" s="394">
        <v>0.036916</v>
      </c>
      <c r="BA294" s="394">
        <v>0.074133</v>
      </c>
      <c r="BB294" s="394">
        <v>0.064632</v>
      </c>
      <c r="BC294" s="394">
        <v>0.056391</v>
      </c>
      <c r="BD294" s="394">
        <v>0.064938</v>
      </c>
      <c r="BE294" s="34"/>
      <c r="BF294" s="394">
        <v>0.019519</v>
      </c>
      <c r="BG294" s="394">
        <v>0.0748789191477808</v>
      </c>
      <c r="BH294" s="394">
        <v>0.0698873103319062</v>
      </c>
      <c r="BI294" s="394">
        <v>0.0390026757331274</v>
      </c>
      <c r="BJ294" s="394">
        <v>0.035404118368612</v>
      </c>
      <c r="BK294" s="394">
        <v>0.0577217024579192</v>
      </c>
      <c r="BL294" s="394">
        <v>0.0693408010493889</v>
      </c>
      <c r="BM294" s="394">
        <v>0.0757981886476804</v>
      </c>
      <c r="BN294" s="394">
        <v>0.0663551022298229</v>
      </c>
      <c r="BO294" s="394">
        <v>0.0775329099959274</v>
      </c>
      <c r="BP294" s="394">
        <v>0.0879554128957356</v>
      </c>
      <c r="BQ294" s="394">
        <v>0.0944938190553365</v>
      </c>
      <c r="BR294" s="394">
        <v>0.0958879080112985</v>
      </c>
      <c r="BS294" s="394">
        <v>0.102756700785931</v>
      </c>
      <c r="BT294" s="394">
        <v>0.0977136787970262</v>
      </c>
      <c r="BU294" s="394">
        <v>0.0530064455366866</v>
      </c>
    </row>
    <row r="295" ht="14.4" spans="2:73">
      <c r="B295" s="421" t="s">
        <v>585</v>
      </c>
      <c r="C295" s="422"/>
      <c r="D295" s="422"/>
      <c r="E295" s="422"/>
      <c r="F295" s="435">
        <v>-0.0228966463384702</v>
      </c>
      <c r="G295" s="436">
        <v>0.0675764602511164</v>
      </c>
      <c r="H295" s="436">
        <v>0.0623295930682997</v>
      </c>
      <c r="I295" s="436">
        <v>-0.0586375591974602</v>
      </c>
      <c r="J295" s="436">
        <v>0.239337867651656</v>
      </c>
      <c r="K295" s="436">
        <v>0.271809368636276</v>
      </c>
      <c r="L295" s="462">
        <v>0.150445411950948</v>
      </c>
      <c r="M295" s="459"/>
      <c r="N295" s="435">
        <v>-0.0142537472959939</v>
      </c>
      <c r="O295" s="436">
        <v>0.26073841300594</v>
      </c>
      <c r="P295" s="436">
        <v>0.455261424994462</v>
      </c>
      <c r="Q295" s="436">
        <v>0.0137931564207936</v>
      </c>
      <c r="R295" s="436">
        <v>0.391755239064429</v>
      </c>
      <c r="S295" s="436">
        <v>0.198666152982332</v>
      </c>
      <c r="T295" s="436">
        <v>-0.0304836301571723</v>
      </c>
      <c r="U295" s="436">
        <v>-0.133761446269863</v>
      </c>
      <c r="V295" s="436">
        <v>0.481331256535016</v>
      </c>
      <c r="W295" s="436">
        <v>0.0797140467447064</v>
      </c>
      <c r="X295" s="436">
        <v>0.0742823868314348</v>
      </c>
      <c r="Y295" s="436">
        <v>0.546862603570768</v>
      </c>
      <c r="Z295" s="436">
        <v>-0.0572664556881944</v>
      </c>
      <c r="AA295" s="436">
        <v>0.385164701414786</v>
      </c>
      <c r="AB295" s="436">
        <v>-0.341888907828178</v>
      </c>
      <c r="AC295" s="436">
        <v>0.161494353823116</v>
      </c>
      <c r="AD295" s="436">
        <v>1.0765737778396</v>
      </c>
      <c r="AE295" s="462">
        <v>-0.66953845399505</v>
      </c>
      <c r="AS295" s="379" t="s">
        <v>586</v>
      </c>
      <c r="AT295" s="382">
        <v>0.36</v>
      </c>
      <c r="AU295" s="383">
        <v>45716</v>
      </c>
      <c r="AV295" s="382">
        <v>27942.8228</v>
      </c>
      <c r="AW295" s="33"/>
      <c r="AX295" s="394">
        <v>0.008656</v>
      </c>
      <c r="AY295" s="394">
        <v>0.02029</v>
      </c>
      <c r="AZ295" s="394">
        <v>0.038403</v>
      </c>
      <c r="BA295" s="394">
        <v>0.077032</v>
      </c>
      <c r="BB295" s="394">
        <v>0.069546</v>
      </c>
      <c r="BC295" s="394">
        <v>0.059457</v>
      </c>
      <c r="BD295" s="394">
        <v>0.067443</v>
      </c>
      <c r="BE295" s="34"/>
      <c r="BF295" s="394">
        <v>0.02029</v>
      </c>
      <c r="BG295" s="394">
        <v>0.0771340410627534</v>
      </c>
      <c r="BH295" s="394">
        <v>0.0731387829986733</v>
      </c>
      <c r="BI295" s="394">
        <v>0.0485415221747957</v>
      </c>
      <c r="BJ295" s="394">
        <v>0.0368081915291111</v>
      </c>
      <c r="BK295" s="394">
        <v>0.0566700337935476</v>
      </c>
      <c r="BL295" s="394">
        <v>0.0801965454154543</v>
      </c>
      <c r="BM295" s="394">
        <v>0.0768832828314588</v>
      </c>
      <c r="BN295" s="394">
        <v>0.0670044304301106</v>
      </c>
      <c r="BO295" s="394">
        <v>0.0768320707564711</v>
      </c>
      <c r="BP295" s="394">
        <v>0.0844648297271189</v>
      </c>
      <c r="BQ295" s="394">
        <v>0.091027517429884</v>
      </c>
      <c r="BR295" s="394">
        <v>0.0929354711847112</v>
      </c>
      <c r="BS295" s="394">
        <v>0.0978575429424944</v>
      </c>
      <c r="BT295" s="394">
        <v>0.0905504546293293</v>
      </c>
      <c r="BU295" s="394">
        <v>0.0515958514553362</v>
      </c>
    </row>
    <row r="296" ht="14.4" spans="2:73">
      <c r="B296" s="425" t="s">
        <v>587</v>
      </c>
      <c r="C296" s="426"/>
      <c r="D296" s="426"/>
      <c r="E296" s="426"/>
      <c r="F296" s="439">
        <v>-0.0285306283014193</v>
      </c>
      <c r="G296" s="440">
        <v>0.0748824418876726</v>
      </c>
      <c r="H296" s="440">
        <v>0.0760947030697579</v>
      </c>
      <c r="I296" s="440">
        <v>-0.0228469555814829</v>
      </c>
      <c r="J296" s="440">
        <v>0.240337846720439</v>
      </c>
      <c r="K296" s="440">
        <v>0.294934236311726</v>
      </c>
      <c r="L296" s="464" t="s">
        <v>113</v>
      </c>
      <c r="M296" s="459"/>
      <c r="N296" s="439">
        <v>0.0104206433414105</v>
      </c>
      <c r="O296" s="440">
        <v>0.237989348934065</v>
      </c>
      <c r="P296" s="440">
        <v>0.436768297368494</v>
      </c>
      <c r="Q296" s="440">
        <v>0.0296442602145783</v>
      </c>
      <c r="R296" s="440">
        <v>0.468103371529588</v>
      </c>
      <c r="S296" s="440">
        <v>0.243814856998228</v>
      </c>
      <c r="T296" s="440">
        <v>-0.00279210638398542</v>
      </c>
      <c r="U296" s="440">
        <v>-0.133283931442572</v>
      </c>
      <c r="V296" s="440">
        <v>0.543446194751891</v>
      </c>
      <c r="W296" s="440" t="s">
        <v>113</v>
      </c>
      <c r="X296" s="440" t="s">
        <v>113</v>
      </c>
      <c r="Y296" s="440" t="s">
        <v>113</v>
      </c>
      <c r="Z296" s="440" t="s">
        <v>113</v>
      </c>
      <c r="AA296" s="440" t="s">
        <v>113</v>
      </c>
      <c r="AB296" s="440" t="s">
        <v>113</v>
      </c>
      <c r="AC296" s="440" t="s">
        <v>113</v>
      </c>
      <c r="AD296" s="440" t="s">
        <v>113</v>
      </c>
      <c r="AE296" s="464" t="s">
        <v>113</v>
      </c>
      <c r="AS296" s="379" t="s">
        <v>588</v>
      </c>
      <c r="AT296" s="382">
        <v>1.02</v>
      </c>
      <c r="AU296" s="383">
        <v>45716</v>
      </c>
      <c r="AV296" s="382">
        <v>19.9446</v>
      </c>
      <c r="AW296" s="33"/>
      <c r="AX296" s="394">
        <v>0.006774</v>
      </c>
      <c r="AY296" s="394">
        <v>0.015817</v>
      </c>
      <c r="AZ296" s="394">
        <v>0.029878</v>
      </c>
      <c r="BA296" s="394">
        <v>0.05982</v>
      </c>
      <c r="BB296" s="394" t="s">
        <v>113</v>
      </c>
      <c r="BC296" s="394" t="s">
        <v>113</v>
      </c>
      <c r="BD296" s="394" t="s">
        <v>113</v>
      </c>
      <c r="BE296" s="34"/>
      <c r="BF296" s="394">
        <v>0.015817</v>
      </c>
      <c r="BG296" s="394">
        <v>0.0606523442345975</v>
      </c>
      <c r="BH296" s="394">
        <v>0.0624110058893999</v>
      </c>
      <c r="BI296" s="394">
        <v>0.0197304</v>
      </c>
      <c r="BJ296" s="394" t="s">
        <v>113</v>
      </c>
      <c r="BK296" s="394" t="s">
        <v>113</v>
      </c>
      <c r="BL296" s="394" t="s">
        <v>113</v>
      </c>
      <c r="BM296" s="394" t="s">
        <v>113</v>
      </c>
      <c r="BN296" s="394" t="s">
        <v>113</v>
      </c>
      <c r="BO296" s="394" t="s">
        <v>113</v>
      </c>
      <c r="BP296" s="394" t="s">
        <v>113</v>
      </c>
      <c r="BQ296" s="394" t="s">
        <v>113</v>
      </c>
      <c r="BR296" s="394" t="s">
        <v>113</v>
      </c>
      <c r="BS296" s="394" t="s">
        <v>113</v>
      </c>
      <c r="BT296" s="394" t="s">
        <v>113</v>
      </c>
      <c r="BU296" s="394" t="s">
        <v>113</v>
      </c>
    </row>
    <row r="297" ht="14.4" spans="2:73">
      <c r="B297" s="425" t="s">
        <v>589</v>
      </c>
      <c r="C297" s="426"/>
      <c r="D297" s="426"/>
      <c r="E297" s="426"/>
      <c r="F297" s="439">
        <v>-0.023141322753635</v>
      </c>
      <c r="G297" s="440">
        <v>0.127108451400423</v>
      </c>
      <c r="H297" s="440">
        <v>0.0694257997669432</v>
      </c>
      <c r="I297" s="440">
        <v>-0.0344371230100166</v>
      </c>
      <c r="J297" s="440">
        <v>0.254573714556818</v>
      </c>
      <c r="K297" s="440">
        <v>0.326226618051842</v>
      </c>
      <c r="L297" s="464">
        <v>0.162718084815118</v>
      </c>
      <c r="M297" s="459"/>
      <c r="N297" s="439">
        <v>-0.0317835884972004</v>
      </c>
      <c r="O297" s="440">
        <v>0.293079074071364</v>
      </c>
      <c r="P297" s="440">
        <v>0.475233015161357</v>
      </c>
      <c r="Q297" s="440">
        <v>-0.0180254873896791</v>
      </c>
      <c r="R297" s="440">
        <v>0.627670892392481</v>
      </c>
      <c r="S297" s="440">
        <v>0.321091300950019</v>
      </c>
      <c r="T297" s="440">
        <v>-0.0684939983096129</v>
      </c>
      <c r="U297" s="440">
        <v>-0.235250162240415</v>
      </c>
      <c r="V297" s="440">
        <v>0.596423083596143</v>
      </c>
      <c r="W297" s="440">
        <v>0.0176924162203855</v>
      </c>
      <c r="X297" s="440">
        <v>0.0676138961871802</v>
      </c>
      <c r="Y297" s="440">
        <v>0.692390473093955</v>
      </c>
      <c r="Z297" s="440">
        <v>-0.112305791103993</v>
      </c>
      <c r="AA297" s="440">
        <v>0.329685377305797</v>
      </c>
      <c r="AB297" s="440">
        <v>-0.426063900743616</v>
      </c>
      <c r="AC297" s="440">
        <v>0.157065049619389</v>
      </c>
      <c r="AD297" s="440">
        <v>1.26917469204015</v>
      </c>
      <c r="AE297" s="464">
        <v>-0.724077921124452</v>
      </c>
      <c r="AS297" s="379" t="s">
        <v>590</v>
      </c>
      <c r="AT297" s="382">
        <v>0.44</v>
      </c>
      <c r="AU297" s="383">
        <v>45716</v>
      </c>
      <c r="AV297" s="382">
        <v>2607.56245434</v>
      </c>
      <c r="AW297" s="33"/>
      <c r="AX297" s="394">
        <v>0.008276</v>
      </c>
      <c r="AY297" s="394">
        <v>0.019662</v>
      </c>
      <c r="AZ297" s="394">
        <v>0.037716</v>
      </c>
      <c r="BA297" s="394">
        <v>0.075734</v>
      </c>
      <c r="BB297" s="394">
        <v>0.065965</v>
      </c>
      <c r="BC297" s="394" t="s">
        <v>113</v>
      </c>
      <c r="BD297" s="394" t="s">
        <v>113</v>
      </c>
      <c r="BE297" s="34"/>
      <c r="BF297" s="394">
        <v>0.019662</v>
      </c>
      <c r="BG297" s="394">
        <v>0.0752291117385193</v>
      </c>
      <c r="BH297" s="394">
        <v>0.0675072375373144</v>
      </c>
      <c r="BI297" s="394">
        <v>0.0437219014171147</v>
      </c>
      <c r="BJ297" s="394">
        <v>0.0119505</v>
      </c>
      <c r="BK297" s="394" t="s">
        <v>113</v>
      </c>
      <c r="BL297" s="394" t="s">
        <v>113</v>
      </c>
      <c r="BM297" s="394" t="s">
        <v>113</v>
      </c>
      <c r="BN297" s="394" t="s">
        <v>113</v>
      </c>
      <c r="BO297" s="394" t="s">
        <v>113</v>
      </c>
      <c r="BP297" s="394" t="s">
        <v>113</v>
      </c>
      <c r="BQ297" s="394" t="s">
        <v>113</v>
      </c>
      <c r="BR297" s="394" t="s">
        <v>113</v>
      </c>
      <c r="BS297" s="394" t="s">
        <v>113</v>
      </c>
      <c r="BT297" s="394" t="s">
        <v>113</v>
      </c>
      <c r="BU297" s="394" t="s">
        <v>113</v>
      </c>
    </row>
    <row r="298" ht="14.4" spans="2:73">
      <c r="B298" s="429" t="s">
        <v>591</v>
      </c>
      <c r="C298" s="430"/>
      <c r="D298" s="430"/>
      <c r="E298" s="430"/>
      <c r="F298" s="441">
        <v>-0.0580993022317052</v>
      </c>
      <c r="G298" s="442">
        <v>0.092286086869295</v>
      </c>
      <c r="H298" s="442">
        <v>0.0624748449387558</v>
      </c>
      <c r="I298" s="442">
        <v>-0.0611711358260113</v>
      </c>
      <c r="J298" s="442">
        <v>0.251266634586403</v>
      </c>
      <c r="K298" s="442">
        <v>0.290973134384938</v>
      </c>
      <c r="L298" s="465">
        <v>0.121207411605711</v>
      </c>
      <c r="M298" s="459"/>
      <c r="N298" s="441">
        <v>-0.0427409764806843</v>
      </c>
      <c r="O298" s="442">
        <v>0.239411013097219</v>
      </c>
      <c r="P298" s="442">
        <v>0.556180882153465</v>
      </c>
      <c r="Q298" s="442">
        <v>-0.137983878111436</v>
      </c>
      <c r="R298" s="442">
        <v>0.592781759692985</v>
      </c>
      <c r="S298" s="442">
        <v>0.214722138909122</v>
      </c>
      <c r="T298" s="442">
        <v>-0.0952683686997511</v>
      </c>
      <c r="U298" s="442">
        <v>-0.290776125147774</v>
      </c>
      <c r="V298" s="442">
        <v>0.572995320757329</v>
      </c>
      <c r="W298" s="442">
        <v>0.0225620434082747</v>
      </c>
      <c r="X298" s="442">
        <v>0.0721424642985835</v>
      </c>
      <c r="Y298" s="442">
        <v>0.549531282141702</v>
      </c>
      <c r="Z298" s="442">
        <v>-0.082813363341105</v>
      </c>
      <c r="AA298" s="442">
        <v>0.368125080664491</v>
      </c>
      <c r="AB298" s="442">
        <v>-0.338736067456553</v>
      </c>
      <c r="AC298" s="442">
        <v>0.176341846803433</v>
      </c>
      <c r="AD298" s="442">
        <v>1.07012772628216</v>
      </c>
      <c r="AE298" s="465">
        <v>-0.709680144257457</v>
      </c>
      <c r="AS298" s="379" t="s">
        <v>592</v>
      </c>
      <c r="AT298" s="382">
        <v>0.44</v>
      </c>
      <c r="AU298" s="383">
        <v>45716</v>
      </c>
      <c r="AV298" s="382">
        <v>16856.3123</v>
      </c>
      <c r="AW298" s="33"/>
      <c r="AX298" s="394">
        <v>0.008691</v>
      </c>
      <c r="AY298" s="394">
        <v>0.020162</v>
      </c>
      <c r="AZ298" s="394">
        <v>0.038408</v>
      </c>
      <c r="BA298" s="394">
        <v>0.077177</v>
      </c>
      <c r="BB298" s="394">
        <v>0.070102</v>
      </c>
      <c r="BC298" s="394">
        <v>0.060642</v>
      </c>
      <c r="BD298" s="394">
        <v>0.068113</v>
      </c>
      <c r="BE298" s="34"/>
      <c r="BF298" s="394">
        <v>0.020162</v>
      </c>
      <c r="BG298" s="394">
        <v>0.0775192569730869</v>
      </c>
      <c r="BH298" s="394">
        <v>0.0735299467638275</v>
      </c>
      <c r="BI298" s="394">
        <v>0.0499272703046236</v>
      </c>
      <c r="BJ298" s="394">
        <v>0.0378902059219008</v>
      </c>
      <c r="BK298" s="394">
        <v>0.0596569215377331</v>
      </c>
      <c r="BL298" s="394">
        <v>0.0808179669526793</v>
      </c>
      <c r="BM298" s="394">
        <v>0.0791855449184288</v>
      </c>
      <c r="BN298" s="394">
        <v>0.0659848052418566</v>
      </c>
      <c r="BO298" s="394">
        <v>0.0758965007498293</v>
      </c>
      <c r="BP298" s="394">
        <v>0.083379847819285</v>
      </c>
      <c r="BQ298" s="394">
        <v>0.0907497044623447</v>
      </c>
      <c r="BR298" s="394">
        <v>0.092474176833736</v>
      </c>
      <c r="BS298" s="394">
        <v>0.0964565731344797</v>
      </c>
      <c r="BT298" s="394">
        <v>0.0902036388261227</v>
      </c>
      <c r="BU298" s="394">
        <v>0.0543659611671707</v>
      </c>
    </row>
    <row r="299" ht="14.4" spans="2:73">
      <c r="B299" s="417" t="s">
        <v>146</v>
      </c>
      <c r="C299" s="418"/>
      <c r="D299" s="418"/>
      <c r="E299" s="418"/>
      <c r="F299" s="443">
        <f t="shared" ref="F299:L299" si="42">+AVERAGE(F280:F294)</f>
        <v>-0.0226333333333333</v>
      </c>
      <c r="G299" s="444">
        <f t="shared" si="42"/>
        <v>0.106936191878133</v>
      </c>
      <c r="H299" s="444">
        <f t="shared" si="42"/>
        <v>0.0766389003840859</v>
      </c>
      <c r="I299" s="444">
        <f t="shared" si="42"/>
        <v>-0.0214229849020235</v>
      </c>
      <c r="J299" s="444">
        <f t="shared" si="42"/>
        <v>0.197637619551718</v>
      </c>
      <c r="K299" s="444">
        <f t="shared" si="42"/>
        <v>0.264751051233061</v>
      </c>
      <c r="L299" s="466">
        <f t="shared" si="42"/>
        <v>0.154817170212167</v>
      </c>
      <c r="M299" s="459"/>
      <c r="N299" s="443">
        <f t="shared" ref="N299:AB299" si="43">+AVERAGE(N280:N294)</f>
        <v>-0.00498130033688513</v>
      </c>
      <c r="O299" s="444">
        <f t="shared" si="43"/>
        <v>0.193219182230112</v>
      </c>
      <c r="P299" s="444">
        <f t="shared" si="43"/>
        <v>0.399283172674536</v>
      </c>
      <c r="Q299" s="444">
        <f t="shared" si="43"/>
        <v>-0.0214963803317574</v>
      </c>
      <c r="R299" s="444">
        <f t="shared" si="43"/>
        <v>0.570348570935998</v>
      </c>
      <c r="S299" s="444">
        <f t="shared" si="43"/>
        <v>0.384336931922075</v>
      </c>
      <c r="T299" s="444">
        <f t="shared" si="43"/>
        <v>-0.0252569215191956</v>
      </c>
      <c r="U299" s="444">
        <f t="shared" si="43"/>
        <v>-0.144348002475967</v>
      </c>
      <c r="V299" s="444">
        <f t="shared" si="43"/>
        <v>0.631202042720633</v>
      </c>
      <c r="W299" s="444">
        <f t="shared" si="43"/>
        <v>0.0965190374940317</v>
      </c>
      <c r="X299" s="444">
        <f t="shared" si="43"/>
        <v>0.266661049049017</v>
      </c>
      <c r="Y299" s="444">
        <f t="shared" si="43"/>
        <v>0.945801110013085</v>
      </c>
      <c r="Z299" s="444">
        <f t="shared" si="43"/>
        <v>0.0708376576833</v>
      </c>
      <c r="AA299" s="444">
        <f t="shared" si="43"/>
        <v>0.442367548146198</v>
      </c>
      <c r="AB299" s="444" t="e">
        <f t="shared" si="43"/>
        <v>#DIV/0!</v>
      </c>
      <c r="AC299" s="444" t="s">
        <v>113</v>
      </c>
      <c r="AD299" s="444" t="s">
        <v>113</v>
      </c>
      <c r="AE299" s="466" t="s">
        <v>113</v>
      </c>
      <c r="AS299" s="379" t="s">
        <v>593</v>
      </c>
      <c r="AT299" s="382">
        <v>0.46</v>
      </c>
      <c r="AU299" s="383">
        <v>45716</v>
      </c>
      <c r="AV299" s="382">
        <v>176.7757</v>
      </c>
      <c r="AW299" s="33"/>
      <c r="AX299" s="394">
        <v>0.00828</v>
      </c>
      <c r="AY299" s="394">
        <v>0.019097</v>
      </c>
      <c r="AZ299" s="394">
        <v>0.036464</v>
      </c>
      <c r="BA299" s="394">
        <v>0.073251</v>
      </c>
      <c r="BB299" s="394">
        <v>0.065915</v>
      </c>
      <c r="BC299" s="394">
        <v>0.05365</v>
      </c>
      <c r="BD299" s="394" t="s">
        <v>113</v>
      </c>
      <c r="BE299" s="34"/>
      <c r="BF299" s="394">
        <v>0.019097</v>
      </c>
      <c r="BG299" s="394">
        <v>0.0725414694628233</v>
      </c>
      <c r="BH299" s="394">
        <v>0.0708816413787598</v>
      </c>
      <c r="BI299" s="394">
        <v>0.0438377132140824</v>
      </c>
      <c r="BJ299" s="394">
        <v>0.0283416579059899</v>
      </c>
      <c r="BK299" s="394">
        <v>0.0364495999999999</v>
      </c>
      <c r="BL299" s="394" t="s">
        <v>113</v>
      </c>
      <c r="BM299" s="394" t="s">
        <v>113</v>
      </c>
      <c r="BN299" s="394" t="s">
        <v>113</v>
      </c>
      <c r="BO299" s="394" t="s">
        <v>113</v>
      </c>
      <c r="BP299" s="394" t="s">
        <v>113</v>
      </c>
      <c r="BQ299" s="394" t="s">
        <v>113</v>
      </c>
      <c r="BR299" s="394" t="s">
        <v>113</v>
      </c>
      <c r="BS299" s="394" t="s">
        <v>113</v>
      </c>
      <c r="BT299" s="394" t="s">
        <v>113</v>
      </c>
      <c r="BU299" s="394" t="s">
        <v>113</v>
      </c>
    </row>
    <row r="300" ht="14.4" spans="2:73">
      <c r="B300" s="445" t="s">
        <v>501</v>
      </c>
      <c r="C300" s="445"/>
      <c r="D300" s="445"/>
      <c r="E300" s="445"/>
      <c r="F300" s="446"/>
      <c r="G300" s="446"/>
      <c r="H300" s="446"/>
      <c r="I300" s="446"/>
      <c r="J300" s="446"/>
      <c r="K300" s="446"/>
      <c r="L300" s="446"/>
      <c r="M300" s="446"/>
      <c r="N300" s="446"/>
      <c r="O300" s="446"/>
      <c r="P300" s="446"/>
      <c r="Q300" s="446"/>
      <c r="R300" s="446"/>
      <c r="S300" s="446"/>
      <c r="T300" s="446"/>
      <c r="U300" s="446"/>
      <c r="V300" s="446"/>
      <c r="W300" s="446"/>
      <c r="X300" s="446"/>
      <c r="Y300" s="446"/>
      <c r="Z300" s="446"/>
      <c r="AA300" s="446"/>
      <c r="AB300" s="446"/>
      <c r="AC300" s="446"/>
      <c r="AD300" s="446"/>
      <c r="AE300" s="446"/>
      <c r="AS300" s="379" t="s">
        <v>594</v>
      </c>
      <c r="AT300" s="382">
        <v>0.69</v>
      </c>
      <c r="AU300" s="383">
        <v>45716</v>
      </c>
      <c r="AV300" s="382">
        <v>26155.0808</v>
      </c>
      <c r="AW300" s="33"/>
      <c r="AX300" s="394">
        <v>0.00831</v>
      </c>
      <c r="AY300" s="394">
        <v>0.019312</v>
      </c>
      <c r="AZ300" s="394">
        <v>0.036377</v>
      </c>
      <c r="BA300" s="394">
        <v>0.072948</v>
      </c>
      <c r="BB300" s="394">
        <v>0.0648</v>
      </c>
      <c r="BC300" s="394">
        <v>0.055859</v>
      </c>
      <c r="BD300" s="394">
        <v>0.064835</v>
      </c>
      <c r="BE300" s="34"/>
      <c r="BF300" s="394">
        <v>0.019312</v>
      </c>
      <c r="BG300" s="394">
        <v>0.0725910478565593</v>
      </c>
      <c r="BH300" s="394">
        <v>0.0688819183528086</v>
      </c>
      <c r="BI300" s="394">
        <v>0.043073382950419</v>
      </c>
      <c r="BJ300" s="394">
        <v>0.0333578961056652</v>
      </c>
      <c r="BK300" s="394">
        <v>0.0566708107047047</v>
      </c>
      <c r="BL300" s="394">
        <v>0.0770943893552093</v>
      </c>
      <c r="BM300" s="394">
        <v>0.0705644020416709</v>
      </c>
      <c r="BN300" s="394">
        <v>0.0633918363253435</v>
      </c>
      <c r="BO300" s="394">
        <v>0.0835358193838917</v>
      </c>
      <c r="BP300" s="394">
        <v>0.0826772209384957</v>
      </c>
      <c r="BQ300" s="394">
        <v>0.0894190148066117</v>
      </c>
      <c r="BR300" s="394">
        <v>0.0920940649496081</v>
      </c>
      <c r="BS300" s="394">
        <v>0.0992866331423225</v>
      </c>
      <c r="BT300" s="394">
        <v>0.0950554709299974</v>
      </c>
      <c r="BU300" s="394">
        <v>0.0583208502746273</v>
      </c>
    </row>
    <row r="301" spans="45:73">
      <c r="AS301" s="379" t="s">
        <v>595</v>
      </c>
      <c r="AT301" s="382">
        <v>0.52</v>
      </c>
      <c r="AU301" s="383">
        <v>45716</v>
      </c>
      <c r="AV301" s="382">
        <v>1063.827635</v>
      </c>
      <c r="AW301" s="33"/>
      <c r="AX301" s="394">
        <v>0.008297</v>
      </c>
      <c r="AY301" s="394">
        <v>0.019814</v>
      </c>
      <c r="AZ301" s="394">
        <v>0.037881</v>
      </c>
      <c r="BA301" s="394">
        <v>0.075706</v>
      </c>
      <c r="BB301" s="394">
        <v>0.067637</v>
      </c>
      <c r="BC301" s="394">
        <v>0.056309</v>
      </c>
      <c r="BD301" s="394" t="s">
        <v>113</v>
      </c>
      <c r="BE301" s="34"/>
      <c r="BF301" s="394">
        <v>0.019814</v>
      </c>
      <c r="BG301" s="394">
        <v>0.0751209764608514</v>
      </c>
      <c r="BH301" s="394">
        <v>0.0702902425204893</v>
      </c>
      <c r="BI301" s="394">
        <v>0.0463430723369435</v>
      </c>
      <c r="BJ301" s="394">
        <v>0.0336259202679026</v>
      </c>
      <c r="BK301" s="394">
        <v>0.0518942867259208</v>
      </c>
      <c r="BL301" s="394">
        <v>0.0777592954990214</v>
      </c>
      <c r="BM301" s="394">
        <v>0.0220000000000001</v>
      </c>
      <c r="BN301" s="394" t="s">
        <v>113</v>
      </c>
      <c r="BO301" s="394" t="s">
        <v>113</v>
      </c>
      <c r="BP301" s="394" t="s">
        <v>113</v>
      </c>
      <c r="BQ301" s="394" t="s">
        <v>113</v>
      </c>
      <c r="BR301" s="394" t="s">
        <v>113</v>
      </c>
      <c r="BS301" s="394" t="s">
        <v>113</v>
      </c>
      <c r="BT301" s="394" t="s">
        <v>113</v>
      </c>
      <c r="BU301" s="394" t="s">
        <v>113</v>
      </c>
    </row>
    <row r="302" spans="45:73">
      <c r="AS302" s="379" t="s">
        <v>596</v>
      </c>
      <c r="AT302" s="382">
        <v>0.42</v>
      </c>
      <c r="AU302" s="383">
        <v>45716</v>
      </c>
      <c r="AV302" s="382">
        <v>28157.2871013668</v>
      </c>
      <c r="AW302" s="33"/>
      <c r="AX302" s="394">
        <v>0.008756</v>
      </c>
      <c r="AY302" s="394">
        <v>0.020466</v>
      </c>
      <c r="AZ302" s="394">
        <v>0.038554</v>
      </c>
      <c r="BA302" s="394">
        <v>0.07711</v>
      </c>
      <c r="BB302" s="394">
        <v>0.069517</v>
      </c>
      <c r="BC302" s="394">
        <v>0.061015</v>
      </c>
      <c r="BD302" s="394">
        <v>0.060298</v>
      </c>
      <c r="BE302" s="34"/>
      <c r="BF302" s="394">
        <v>0.020466</v>
      </c>
      <c r="BG302" s="394">
        <v>0.0771237524663095</v>
      </c>
      <c r="BH302" s="394">
        <v>0.073694802740815</v>
      </c>
      <c r="BI302" s="394">
        <v>0.047942091366625</v>
      </c>
      <c r="BJ302" s="394">
        <v>0.03925430436481</v>
      </c>
      <c r="BK302" s="394">
        <v>0.0638513680844198</v>
      </c>
      <c r="BL302" s="394">
        <v>0.0809191604124542</v>
      </c>
      <c r="BM302" s="394">
        <v>-0.0010680824815159</v>
      </c>
      <c r="BN302" s="394">
        <v>0.0665563710264208</v>
      </c>
      <c r="BO302" s="394">
        <v>0.0757023297013057</v>
      </c>
      <c r="BP302" s="394">
        <v>0.0833669991947924</v>
      </c>
      <c r="BQ302" s="394">
        <v>0.0899733564426953</v>
      </c>
      <c r="BR302" s="394">
        <v>0.0920468040974805</v>
      </c>
      <c r="BS302" s="394">
        <v>0.0965608555205852</v>
      </c>
      <c r="BT302" s="394">
        <v>0.0898536117061947</v>
      </c>
      <c r="BU302" s="394">
        <v>0.0551156682233699</v>
      </c>
    </row>
    <row r="303" spans="45:73">
      <c r="AS303" s="379" t="s">
        <v>597</v>
      </c>
      <c r="AT303" s="382">
        <v>0.46</v>
      </c>
      <c r="AU303" s="383">
        <v>45716</v>
      </c>
      <c r="AV303" s="382">
        <v>88.713128232</v>
      </c>
      <c r="AW303" s="33"/>
      <c r="AX303" s="394">
        <v>0.007862</v>
      </c>
      <c r="AY303" s="394">
        <v>0.018971</v>
      </c>
      <c r="AZ303" s="394">
        <v>0.037059</v>
      </c>
      <c r="BA303" s="394">
        <v>0.074497</v>
      </c>
      <c r="BB303" s="394" t="s">
        <v>113</v>
      </c>
      <c r="BC303" s="394" t="s">
        <v>113</v>
      </c>
      <c r="BD303" s="394" t="s">
        <v>113</v>
      </c>
      <c r="BE303" s="34"/>
      <c r="BF303" s="394">
        <v>0.018971</v>
      </c>
      <c r="BG303" s="394">
        <v>0.0742259532020809</v>
      </c>
      <c r="BH303" s="394">
        <v>0.0700034554321143</v>
      </c>
      <c r="BI303" s="394">
        <v>0.0224481</v>
      </c>
      <c r="BJ303" s="394" t="s">
        <v>113</v>
      </c>
      <c r="BK303" s="394" t="s">
        <v>113</v>
      </c>
      <c r="BL303" s="394" t="s">
        <v>113</v>
      </c>
      <c r="BM303" s="394" t="s">
        <v>113</v>
      </c>
      <c r="BN303" s="394" t="s">
        <v>113</v>
      </c>
      <c r="BO303" s="394" t="s">
        <v>113</v>
      </c>
      <c r="BP303" s="394" t="s">
        <v>113</v>
      </c>
      <c r="BQ303" s="394" t="s">
        <v>113</v>
      </c>
      <c r="BR303" s="394" t="s">
        <v>113</v>
      </c>
      <c r="BS303" s="394" t="s">
        <v>113</v>
      </c>
      <c r="BT303" s="394" t="s">
        <v>113</v>
      </c>
      <c r="BU303" s="394" t="s">
        <v>113</v>
      </c>
    </row>
    <row r="304" spans="45:73">
      <c r="AS304" s="379" t="s">
        <v>598</v>
      </c>
      <c r="AT304" s="382">
        <v>0.89</v>
      </c>
      <c r="AU304" s="383">
        <v>45716</v>
      </c>
      <c r="AV304" s="382">
        <v>188.7468</v>
      </c>
      <c r="AW304" s="33"/>
      <c r="AX304" s="394">
        <v>0.00749</v>
      </c>
      <c r="AY304" s="394">
        <v>0.017651</v>
      </c>
      <c r="AZ304" s="394">
        <v>0.033886</v>
      </c>
      <c r="BA304" s="394">
        <v>0.067777</v>
      </c>
      <c r="BB304" s="394">
        <v>0.059968</v>
      </c>
      <c r="BC304" s="394" t="s">
        <v>113</v>
      </c>
      <c r="BD304" s="394" t="s">
        <v>113</v>
      </c>
      <c r="BE304" s="34"/>
      <c r="BF304" s="394">
        <v>0.017651</v>
      </c>
      <c r="BG304" s="394">
        <v>0.0669589319531224</v>
      </c>
      <c r="BH304" s="394">
        <v>0.0623832548831554</v>
      </c>
      <c r="BI304" s="394">
        <v>0.0404455083665904</v>
      </c>
      <c r="BJ304" s="394">
        <v>0.00876220000000001</v>
      </c>
      <c r="BK304" s="394" t="s">
        <v>113</v>
      </c>
      <c r="BL304" s="394" t="s">
        <v>113</v>
      </c>
      <c r="BM304" s="394" t="s">
        <v>113</v>
      </c>
      <c r="BN304" s="394" t="s">
        <v>113</v>
      </c>
      <c r="BO304" s="394" t="s">
        <v>113</v>
      </c>
      <c r="BP304" s="394" t="s">
        <v>113</v>
      </c>
      <c r="BQ304" s="394" t="s">
        <v>113</v>
      </c>
      <c r="BR304" s="394" t="s">
        <v>113</v>
      </c>
      <c r="BS304" s="394" t="s">
        <v>113</v>
      </c>
      <c r="BT304" s="394" t="s">
        <v>113</v>
      </c>
      <c r="BU304" s="394" t="s">
        <v>113</v>
      </c>
    </row>
    <row r="305" ht="14.55" spans="45:73">
      <c r="AS305" s="379" t="s">
        <v>599</v>
      </c>
      <c r="AT305" s="382">
        <v>0.23</v>
      </c>
      <c r="AU305" s="383">
        <v>45716</v>
      </c>
      <c r="AV305" s="382">
        <v>18083.1275</v>
      </c>
      <c r="AW305" s="33"/>
      <c r="AX305" s="394">
        <v>0.008767</v>
      </c>
      <c r="AY305" s="394">
        <v>0.020381</v>
      </c>
      <c r="AZ305" s="394">
        <v>0.038822</v>
      </c>
      <c r="BA305" s="394">
        <v>0.07778</v>
      </c>
      <c r="BB305" s="394">
        <v>0.070184</v>
      </c>
      <c r="BC305" s="394">
        <v>0.060875</v>
      </c>
      <c r="BD305" s="394">
        <v>0.068079</v>
      </c>
      <c r="BE305" s="34"/>
      <c r="BF305" s="394">
        <v>0.020381</v>
      </c>
      <c r="BG305" s="394">
        <v>0.0774065344676638</v>
      </c>
      <c r="BH305" s="394">
        <v>0.0743476239722872</v>
      </c>
      <c r="BI305" s="394">
        <v>0.0491209468810742</v>
      </c>
      <c r="BJ305" s="394">
        <v>0.0374976953311509</v>
      </c>
      <c r="BK305" s="394">
        <v>0.0603338166540226</v>
      </c>
      <c r="BL305" s="394">
        <v>0.0797506313799471</v>
      </c>
      <c r="BM305" s="394">
        <v>0.0777854930785187</v>
      </c>
      <c r="BN305" s="394">
        <v>0.0666896629542728</v>
      </c>
      <c r="BO305" s="394">
        <v>0.0767291420404194</v>
      </c>
      <c r="BP305" s="394">
        <v>0.0835160619408699</v>
      </c>
      <c r="BQ305" s="394">
        <v>0.0909259265720037</v>
      </c>
      <c r="BR305" s="394">
        <v>0.091850277353705</v>
      </c>
      <c r="BS305" s="394">
        <v>0.0965484789148539</v>
      </c>
      <c r="BT305" s="394">
        <v>0.0900367977099765</v>
      </c>
      <c r="BU305" s="394">
        <v>0.0539922444709487</v>
      </c>
    </row>
    <row r="306" ht="14.55" spans="45:73">
      <c r="AS306" s="4" t="s">
        <v>146</v>
      </c>
      <c r="AT306"/>
      <c r="AU306"/>
      <c r="AV306"/>
      <c r="AW306" s="395"/>
      <c r="AX306" s="396">
        <f t="shared" ref="AX306:BD306" si="44">AVERAGE(AX282:AX305)</f>
        <v>0.00837858333333334</v>
      </c>
      <c r="AY306" s="396">
        <f t="shared" si="44"/>
        <v>0.019560652173913</v>
      </c>
      <c r="AZ306" s="396">
        <f t="shared" si="44"/>
        <v>0.0371845217391304</v>
      </c>
      <c r="BA306" s="396">
        <f t="shared" si="44"/>
        <v>0.0743728260869565</v>
      </c>
      <c r="BB306" s="396">
        <f t="shared" si="44"/>
        <v>0.06664195</v>
      </c>
      <c r="BC306" s="396">
        <f t="shared" si="44"/>
        <v>0.0573576111111111</v>
      </c>
      <c r="BD306" s="396">
        <f t="shared" si="44"/>
        <v>0.0656819285714286</v>
      </c>
      <c r="BE306" s="395"/>
      <c r="BF306" s="396">
        <f t="shared" ref="BF306:BU306" si="45">AVERAGE(BF282:BF305)</f>
        <v>0.019560652173913</v>
      </c>
      <c r="BG306" s="396">
        <f t="shared" si="45"/>
        <v>0.0740802994366816</v>
      </c>
      <c r="BH306" s="396">
        <f t="shared" si="45"/>
        <v>0.0685202872671622</v>
      </c>
      <c r="BI306" s="396">
        <f t="shared" si="45"/>
        <v>0.0421036213371835</v>
      </c>
      <c r="BJ306" s="396">
        <f t="shared" si="45"/>
        <v>0.0320769751436579</v>
      </c>
      <c r="BK306" s="396">
        <f t="shared" si="45"/>
        <v>0.0568272965291606</v>
      </c>
      <c r="BL306" s="396">
        <f t="shared" si="45"/>
        <v>0.0759756797486273</v>
      </c>
      <c r="BM306" s="396">
        <f t="shared" si="45"/>
        <v>0.0651022775055974</v>
      </c>
      <c r="BN306" s="396">
        <f t="shared" si="45"/>
        <v>0.0633041827227027</v>
      </c>
      <c r="BO306" s="396">
        <f t="shared" si="45"/>
        <v>0.0793253760212988</v>
      </c>
      <c r="BP306" s="396">
        <f t="shared" si="45"/>
        <v>0.082034997163217</v>
      </c>
      <c r="BQ306" s="396">
        <f t="shared" si="45"/>
        <v>0.0921344553413858</v>
      </c>
      <c r="BR306" s="396">
        <f t="shared" si="45"/>
        <v>0.0885253940046287</v>
      </c>
      <c r="BS306" s="396">
        <f t="shared" si="45"/>
        <v>0.0948893906575121</v>
      </c>
      <c r="BT306" s="396">
        <f t="shared" si="45"/>
        <v>0.0864258419283245</v>
      </c>
      <c r="BU306" s="396">
        <f t="shared" si="45"/>
        <v>0.0525928365505257</v>
      </c>
    </row>
    <row r="307" spans="45:73">
      <c r="AS307" s="4" t="s">
        <v>162</v>
      </c>
      <c r="AT307"/>
      <c r="AU307"/>
      <c r="AV307"/>
      <c r="AW307"/>
      <c r="AX307" s="397">
        <v>0.0087263867959253</v>
      </c>
      <c r="AY307" s="397">
        <v>0.0207643930788102</v>
      </c>
      <c r="AZ307" s="397">
        <v>0.0377184412193585</v>
      </c>
      <c r="BA307" s="397">
        <v>0.080280059411505</v>
      </c>
      <c r="BB307" s="397">
        <v>0.0659301709109001</v>
      </c>
      <c r="BC307" s="397">
        <v>0.0655149768088614</v>
      </c>
      <c r="BD307" s="397">
        <v>0.0738047315298365</v>
      </c>
      <c r="BE307" s="400"/>
      <c r="BF307" s="397">
        <v>0.0207643930788102</v>
      </c>
      <c r="BG307" s="397">
        <v>0.0797029257152309</v>
      </c>
      <c r="BH307" s="397">
        <v>0.0725988870220093</v>
      </c>
      <c r="BI307" s="397">
        <v>0.0358682288812193</v>
      </c>
      <c r="BJ307" s="397">
        <v>0.0437965988907254</v>
      </c>
      <c r="BK307" s="397">
        <v>0.104161972570555</v>
      </c>
      <c r="BL307" s="397">
        <v>0.0953364838894115</v>
      </c>
      <c r="BM307" s="397">
        <v>0.0665068187794211</v>
      </c>
      <c r="BN307" s="397">
        <v>0.0602957159773323</v>
      </c>
      <c r="BO307" s="397">
        <v>0.0986738756953636</v>
      </c>
      <c r="BP307" s="397">
        <v>0.0865549936165921</v>
      </c>
      <c r="BQ307" s="397">
        <v>0.104681934209951</v>
      </c>
      <c r="BR307" s="397">
        <v>0.0827206164504672</v>
      </c>
      <c r="BS307" s="397">
        <v>0.0912371315059957</v>
      </c>
      <c r="BT307" s="397">
        <v>0.0786771029274067</v>
      </c>
      <c r="BU307" s="397">
        <v>0.0470040326565153</v>
      </c>
    </row>
    <row r="308" ht="14.55" spans="45:73"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</row>
    <row r="309" ht="14.55" spans="45:73">
      <c r="AS309" s="350" t="s">
        <v>600</v>
      </c>
      <c r="AT309" s="369" t="s">
        <v>16</v>
      </c>
      <c r="AU309" s="411" t="s">
        <v>99</v>
      </c>
      <c r="AV309" s="412"/>
      <c r="AW309" s="386"/>
      <c r="AX309" s="353" t="s">
        <v>102</v>
      </c>
      <c r="AY309" s="354"/>
      <c r="AZ309" s="354"/>
      <c r="BA309" s="354"/>
      <c r="BB309" s="354"/>
      <c r="BC309" s="354"/>
      <c r="BD309" s="363"/>
      <c r="BE309" s="386"/>
      <c r="BF309" s="411" t="s">
        <v>103</v>
      </c>
      <c r="BG309" s="414"/>
      <c r="BH309" s="414"/>
      <c r="BI309" s="414"/>
      <c r="BJ309" s="414"/>
      <c r="BK309" s="414"/>
      <c r="BL309" s="414"/>
      <c r="BM309" s="414"/>
      <c r="BN309" s="414"/>
      <c r="BO309" s="414"/>
      <c r="BP309" s="414"/>
      <c r="BQ309" s="414"/>
      <c r="BR309" s="414"/>
      <c r="BS309" s="414"/>
      <c r="BT309" s="414"/>
      <c r="BU309" s="416"/>
    </row>
    <row r="310" ht="14.55" spans="45:73">
      <c r="AS310" s="352"/>
      <c r="AT310" s="373" t="s">
        <v>110</v>
      </c>
      <c r="AU310" s="374" t="s">
        <v>104</v>
      </c>
      <c r="AV310" s="375" t="s">
        <v>105</v>
      </c>
      <c r="AW310" s="387"/>
      <c r="AX310" s="16" t="s">
        <v>89</v>
      </c>
      <c r="AY310" s="18" t="s">
        <v>90</v>
      </c>
      <c r="AZ310" s="18" t="s">
        <v>91</v>
      </c>
      <c r="BA310" s="18" t="s">
        <v>20</v>
      </c>
      <c r="BB310" s="18" t="s">
        <v>92</v>
      </c>
      <c r="BC310" s="18" t="s">
        <v>93</v>
      </c>
      <c r="BD310" s="273" t="s">
        <v>111</v>
      </c>
      <c r="BE310" s="387"/>
      <c r="BF310" s="16">
        <v>2025</v>
      </c>
      <c r="BG310" s="16">
        <v>2024</v>
      </c>
      <c r="BH310" s="16">
        <v>2023</v>
      </c>
      <c r="BI310" s="18">
        <v>2022</v>
      </c>
      <c r="BJ310" s="18">
        <v>2021</v>
      </c>
      <c r="BK310" s="18">
        <v>2020</v>
      </c>
      <c r="BL310" s="18">
        <v>2019</v>
      </c>
      <c r="BM310" s="18">
        <v>2018</v>
      </c>
      <c r="BN310" s="18">
        <v>2017</v>
      </c>
      <c r="BO310" s="18">
        <v>2016</v>
      </c>
      <c r="BP310" s="18">
        <v>2015</v>
      </c>
      <c r="BQ310" s="18">
        <v>2014</v>
      </c>
      <c r="BR310" s="18">
        <v>2013</v>
      </c>
      <c r="BS310" s="18">
        <v>2012</v>
      </c>
      <c r="BT310" s="18">
        <v>2011</v>
      </c>
      <c r="BU310" s="273">
        <v>2010</v>
      </c>
    </row>
    <row r="311" spans="45:73">
      <c r="AS311" s="379" t="s">
        <v>601</v>
      </c>
      <c r="AT311" s="382">
        <v>0.16</v>
      </c>
      <c r="AU311" s="383">
        <v>45716</v>
      </c>
      <c r="AV311" s="382">
        <v>8138.1146</v>
      </c>
      <c r="AW311" s="33"/>
      <c r="AX311" s="394">
        <v>0.005297</v>
      </c>
      <c r="AY311" s="394">
        <v>0.015605</v>
      </c>
      <c r="AZ311" s="394">
        <v>0.031861</v>
      </c>
      <c r="BA311" s="394">
        <v>0.065299</v>
      </c>
      <c r="BB311" s="394">
        <v>0.06184</v>
      </c>
      <c r="BC311" s="394">
        <v>0.049175</v>
      </c>
      <c r="BD311" s="394" t="s">
        <v>113</v>
      </c>
      <c r="BE311" s="34"/>
      <c r="BF311" s="394">
        <v>0.015605</v>
      </c>
      <c r="BG311" s="394">
        <v>0.0660830544480614</v>
      </c>
      <c r="BH311" s="394">
        <v>0.0659647519985601</v>
      </c>
      <c r="BI311" s="394">
        <v>0.0459122943670035</v>
      </c>
      <c r="BJ311" s="394">
        <v>0.031031456151602</v>
      </c>
      <c r="BK311" s="394">
        <v>0.0326805682421076</v>
      </c>
      <c r="BL311" s="394">
        <v>0.0557400787769041</v>
      </c>
      <c r="BM311" s="394">
        <v>0.0103215</v>
      </c>
      <c r="BN311" s="394" t="s">
        <v>113</v>
      </c>
      <c r="BO311" s="394" t="s">
        <v>113</v>
      </c>
      <c r="BP311" s="394" t="s">
        <v>113</v>
      </c>
      <c r="BQ311" s="394" t="s">
        <v>113</v>
      </c>
      <c r="BR311" s="394" t="s">
        <v>113</v>
      </c>
      <c r="BS311" s="394" t="s">
        <v>113</v>
      </c>
      <c r="BT311" s="394" t="s">
        <v>113</v>
      </c>
      <c r="BU311" s="394" t="s">
        <v>113</v>
      </c>
    </row>
    <row r="312" spans="45:73">
      <c r="AS312" s="379" t="s">
        <v>602</v>
      </c>
      <c r="AT312" s="382">
        <v>0.09</v>
      </c>
      <c r="AU312" s="383">
        <v>45716</v>
      </c>
      <c r="AV312" s="382">
        <v>7828.0748</v>
      </c>
      <c r="AW312" s="33"/>
      <c r="AX312" s="394">
        <v>0.005405</v>
      </c>
      <c r="AY312" s="394">
        <v>0.015874</v>
      </c>
      <c r="AZ312" s="394">
        <v>0.032415</v>
      </c>
      <c r="BA312" s="394">
        <v>0.066226</v>
      </c>
      <c r="BB312" s="394">
        <v>0.06273</v>
      </c>
      <c r="BC312" s="394">
        <v>0.050046</v>
      </c>
      <c r="BD312" s="394" t="s">
        <v>113</v>
      </c>
      <c r="BE312" s="34"/>
      <c r="BF312" s="394">
        <v>0.015874</v>
      </c>
      <c r="BG312" s="394">
        <v>0.0671484831499071</v>
      </c>
      <c r="BH312" s="394">
        <v>0.0666388404128566</v>
      </c>
      <c r="BI312" s="394">
        <v>0.0467770380357968</v>
      </c>
      <c r="BJ312" s="394">
        <v>0.0315384748754648</v>
      </c>
      <c r="BK312" s="394">
        <v>0.0337099597068021</v>
      </c>
      <c r="BL312" s="394">
        <v>0.0433770999999999</v>
      </c>
      <c r="BM312" s="394" t="s">
        <v>113</v>
      </c>
      <c r="BN312" s="394" t="s">
        <v>113</v>
      </c>
      <c r="BO312" s="394" t="s">
        <v>113</v>
      </c>
      <c r="BP312" s="394" t="s">
        <v>113</v>
      </c>
      <c r="BQ312" s="394" t="s">
        <v>113</v>
      </c>
      <c r="BR312" s="394" t="s">
        <v>113</v>
      </c>
      <c r="BS312" s="394" t="s">
        <v>113</v>
      </c>
      <c r="BT312" s="394" t="s">
        <v>113</v>
      </c>
      <c r="BU312" s="394" t="s">
        <v>113</v>
      </c>
    </row>
    <row r="313" spans="45:73">
      <c r="AS313" s="379" t="s">
        <v>603</v>
      </c>
      <c r="AT313" s="382">
        <v>0.12</v>
      </c>
      <c r="AU313" s="383">
        <v>45716</v>
      </c>
      <c r="AV313" s="382">
        <v>445.5604</v>
      </c>
      <c r="AW313" s="33"/>
      <c r="AX313" s="394">
        <v>0.00534</v>
      </c>
      <c r="AY313" s="394">
        <v>0.015724</v>
      </c>
      <c r="AZ313" s="394">
        <v>0.03216</v>
      </c>
      <c r="BA313" s="394">
        <v>0.06586</v>
      </c>
      <c r="BB313" s="394" t="s">
        <v>113</v>
      </c>
      <c r="BC313" s="394" t="s">
        <v>113</v>
      </c>
      <c r="BD313" s="394" t="s">
        <v>113</v>
      </c>
      <c r="BE313" s="34"/>
      <c r="BF313" s="394">
        <v>0.015724</v>
      </c>
      <c r="BG313" s="394">
        <v>0.0666459894433834</v>
      </c>
      <c r="BH313" s="394">
        <v>0.0325088346288456</v>
      </c>
      <c r="BI313" s="394" t="s">
        <v>113</v>
      </c>
      <c r="BJ313" s="394" t="s">
        <v>113</v>
      </c>
      <c r="BK313" s="394" t="s">
        <v>113</v>
      </c>
      <c r="BL313" s="394" t="s">
        <v>113</v>
      </c>
      <c r="BM313" s="394" t="s">
        <v>113</v>
      </c>
      <c r="BN313" s="394" t="s">
        <v>113</v>
      </c>
      <c r="BO313" s="394" t="s">
        <v>113</v>
      </c>
      <c r="BP313" s="394" t="s">
        <v>113</v>
      </c>
      <c r="BQ313" s="394" t="s">
        <v>113</v>
      </c>
      <c r="BR313" s="394" t="s">
        <v>113</v>
      </c>
      <c r="BS313" s="394" t="s">
        <v>113</v>
      </c>
      <c r="BT313" s="394" t="s">
        <v>113</v>
      </c>
      <c r="BU313" s="394" t="s">
        <v>113</v>
      </c>
    </row>
    <row r="314" spans="45:73">
      <c r="AS314" s="379" t="s">
        <v>604</v>
      </c>
      <c r="AT314" s="382">
        <v>0.15</v>
      </c>
      <c r="AU314" s="383">
        <v>45716</v>
      </c>
      <c r="AV314" s="382">
        <v>681.2526</v>
      </c>
      <c r="AW314" s="33"/>
      <c r="AX314" s="394">
        <v>0.005269</v>
      </c>
      <c r="AY314" s="394">
        <v>0.015571</v>
      </c>
      <c r="AZ314" s="394">
        <v>0.03184</v>
      </c>
      <c r="BA314" s="394">
        <v>0.065325</v>
      </c>
      <c r="BB314" s="394">
        <v>0.061849</v>
      </c>
      <c r="BC314" s="394">
        <v>0.049105</v>
      </c>
      <c r="BD314" s="394" t="s">
        <v>113</v>
      </c>
      <c r="BE314" s="34"/>
      <c r="BF314" s="394">
        <v>0.015571</v>
      </c>
      <c r="BG314" s="394">
        <v>0.0661781104730982</v>
      </c>
      <c r="BH314" s="394">
        <v>0.0658886385794057</v>
      </c>
      <c r="BI314" s="394">
        <v>0.0460189973109872</v>
      </c>
      <c r="BJ314" s="394">
        <v>0.0306873891267799</v>
      </c>
      <c r="BK314" s="394">
        <v>0.0323134624944981</v>
      </c>
      <c r="BL314" s="394">
        <v>0.0530255</v>
      </c>
      <c r="BM314" s="394" t="s">
        <v>113</v>
      </c>
      <c r="BN314" s="394" t="s">
        <v>113</v>
      </c>
      <c r="BO314" s="394" t="s">
        <v>113</v>
      </c>
      <c r="BP314" s="394" t="s">
        <v>113</v>
      </c>
      <c r="BQ314" s="394" t="s">
        <v>113</v>
      </c>
      <c r="BR314" s="394" t="s">
        <v>113</v>
      </c>
      <c r="BS314" s="394" t="s">
        <v>113</v>
      </c>
      <c r="BT314" s="394" t="s">
        <v>113</v>
      </c>
      <c r="BU314" s="394" t="s">
        <v>113</v>
      </c>
    </row>
    <row r="315" spans="45:73">
      <c r="AS315" s="379" t="s">
        <v>605</v>
      </c>
      <c r="AT315" s="382">
        <v>0.1</v>
      </c>
      <c r="AU315" s="383">
        <v>45716</v>
      </c>
      <c r="AV315" s="382">
        <v>64.8324</v>
      </c>
      <c r="AW315" s="33"/>
      <c r="AX315" s="394">
        <v>0.005438</v>
      </c>
      <c r="AY315" s="394">
        <v>0.015954</v>
      </c>
      <c r="AZ315" s="394">
        <v>0.032684</v>
      </c>
      <c r="BA315" s="394">
        <v>0.066986</v>
      </c>
      <c r="BB315" s="394">
        <v>0.063441</v>
      </c>
      <c r="BC315" s="394">
        <v>0.050863</v>
      </c>
      <c r="BD315" s="394" t="s">
        <v>113</v>
      </c>
      <c r="BE315" s="34"/>
      <c r="BF315" s="394">
        <v>0.015954</v>
      </c>
      <c r="BG315" s="394">
        <v>0.0678427948448897</v>
      </c>
      <c r="BH315" s="394">
        <v>0.0675438710501488</v>
      </c>
      <c r="BI315" s="394">
        <v>0.0475701169679548</v>
      </c>
      <c r="BJ315" s="394">
        <v>0.0318801780315086</v>
      </c>
      <c r="BK315" s="394">
        <v>0.0319354048808494</v>
      </c>
      <c r="BL315" s="394" t="s">
        <v>113</v>
      </c>
      <c r="BM315" s="394" t="s">
        <v>113</v>
      </c>
      <c r="BN315" s="394" t="s">
        <v>113</v>
      </c>
      <c r="BO315" s="394" t="s">
        <v>113</v>
      </c>
      <c r="BP315" s="394" t="s">
        <v>113</v>
      </c>
      <c r="BQ315" s="394" t="s">
        <v>113</v>
      </c>
      <c r="BR315" s="394" t="s">
        <v>113</v>
      </c>
      <c r="BS315" s="394" t="s">
        <v>113</v>
      </c>
      <c r="BT315" s="394" t="s">
        <v>113</v>
      </c>
      <c r="BU315" s="394" t="s">
        <v>113</v>
      </c>
    </row>
    <row r="316" spans="45:73">
      <c r="AS316" s="379" t="s">
        <v>606</v>
      </c>
      <c r="AT316" s="382">
        <v>0.17</v>
      </c>
      <c r="AU316" s="383">
        <v>45716</v>
      </c>
      <c r="AV316" s="382">
        <v>577.2815</v>
      </c>
      <c r="AW316" s="33"/>
      <c r="AX316" s="394">
        <v>0.005335</v>
      </c>
      <c r="AY316" s="394">
        <v>0.015675</v>
      </c>
      <c r="AZ316" s="394">
        <v>0.031977</v>
      </c>
      <c r="BA316" s="394">
        <v>0.065617</v>
      </c>
      <c r="BB316" s="394">
        <v>0.062206</v>
      </c>
      <c r="BC316" s="394">
        <v>0.049718</v>
      </c>
      <c r="BD316" s="394" t="s">
        <v>113</v>
      </c>
      <c r="BE316" s="34"/>
      <c r="BF316" s="394">
        <v>0.015675</v>
      </c>
      <c r="BG316" s="394">
        <v>0.0663420873121381</v>
      </c>
      <c r="BH316" s="394">
        <v>0.0663183947563841</v>
      </c>
      <c r="BI316" s="394">
        <v>0.0463881729340767</v>
      </c>
      <c r="BJ316" s="394">
        <v>0.0314854274927761</v>
      </c>
      <c r="BK316" s="394">
        <v>0.0340012304968326</v>
      </c>
      <c r="BL316" s="394">
        <v>0.0363162443965748</v>
      </c>
      <c r="BM316" s="394" t="s">
        <v>113</v>
      </c>
      <c r="BN316" s="394" t="s">
        <v>113</v>
      </c>
      <c r="BO316" s="394" t="s">
        <v>113</v>
      </c>
      <c r="BP316" s="394" t="s">
        <v>113</v>
      </c>
      <c r="BQ316" s="394" t="s">
        <v>113</v>
      </c>
      <c r="BR316" s="394" t="s">
        <v>113</v>
      </c>
      <c r="BS316" s="394" t="s">
        <v>113</v>
      </c>
      <c r="BT316" s="394" t="s">
        <v>113</v>
      </c>
      <c r="BU316" s="394" t="s">
        <v>113</v>
      </c>
    </row>
    <row r="317" spans="45:73">
      <c r="AS317" s="379" t="s">
        <v>607</v>
      </c>
      <c r="AT317" s="382">
        <v>0.11</v>
      </c>
      <c r="AU317" s="383">
        <v>45716</v>
      </c>
      <c r="AV317" s="382">
        <v>270.4784</v>
      </c>
      <c r="AW317" s="33"/>
      <c r="AX317" s="394">
        <v>0.005224</v>
      </c>
      <c r="AY317" s="394">
        <v>0.015486</v>
      </c>
      <c r="AZ317" s="394">
        <v>0.031759</v>
      </c>
      <c r="BA317" s="394">
        <v>0.065091</v>
      </c>
      <c r="BB317" s="394">
        <v>0.062077</v>
      </c>
      <c r="BC317" s="394">
        <v>0.04975</v>
      </c>
      <c r="BD317" s="394" t="s">
        <v>113</v>
      </c>
      <c r="BE317" s="34"/>
      <c r="BF317" s="394">
        <v>0.015486</v>
      </c>
      <c r="BG317" s="394">
        <v>0.0660108796521456</v>
      </c>
      <c r="BH317" s="394">
        <v>0.0662081988322769</v>
      </c>
      <c r="BI317" s="394">
        <v>0.0467494506814393</v>
      </c>
      <c r="BJ317" s="394">
        <v>0.0314890533508584</v>
      </c>
      <c r="BK317" s="394">
        <v>0.0345317527128025</v>
      </c>
      <c r="BL317" s="394">
        <v>0.02188002683076</v>
      </c>
      <c r="BM317" s="394" t="s">
        <v>113</v>
      </c>
      <c r="BN317" s="394" t="s">
        <v>113</v>
      </c>
      <c r="BO317" s="394" t="s">
        <v>113</v>
      </c>
      <c r="BP317" s="394" t="s">
        <v>113</v>
      </c>
      <c r="BQ317" s="394" t="s">
        <v>113</v>
      </c>
      <c r="BR317" s="394" t="s">
        <v>113</v>
      </c>
      <c r="BS317" s="394" t="s">
        <v>113</v>
      </c>
      <c r="BT317" s="394" t="s">
        <v>113</v>
      </c>
      <c r="BU317" s="394" t="s">
        <v>113</v>
      </c>
    </row>
    <row r="318" spans="45:73">
      <c r="AS318" s="379" t="s">
        <v>608</v>
      </c>
      <c r="AT318" s="382">
        <v>0.12</v>
      </c>
      <c r="AU318" s="383">
        <v>45716</v>
      </c>
      <c r="AV318" s="382">
        <v>1898.6434</v>
      </c>
      <c r="AW318" s="33"/>
      <c r="AX318" s="394">
        <v>0.005326</v>
      </c>
      <c r="AY318" s="394">
        <v>0.015648</v>
      </c>
      <c r="AZ318" s="394">
        <v>0.031994</v>
      </c>
      <c r="BA318" s="394">
        <v>0.065593</v>
      </c>
      <c r="BB318" s="394">
        <v>0.062203</v>
      </c>
      <c r="BC318" s="394">
        <v>0.049744</v>
      </c>
      <c r="BD318" s="394" t="s">
        <v>113</v>
      </c>
      <c r="BE318" s="34"/>
      <c r="BF318" s="394">
        <v>0.015648</v>
      </c>
      <c r="BG318" s="394">
        <v>0.0664409567910397</v>
      </c>
      <c r="BH318" s="394">
        <v>0.0663535693409177</v>
      </c>
      <c r="BI318" s="394">
        <v>0.0462940728681605</v>
      </c>
      <c r="BJ318" s="394">
        <v>0.0310560541748338</v>
      </c>
      <c r="BK318" s="394">
        <v>0.034784741773317</v>
      </c>
      <c r="BL318" s="394">
        <v>0.0552404163550131</v>
      </c>
      <c r="BM318" s="394" t="s">
        <v>113</v>
      </c>
      <c r="BN318" s="394" t="s">
        <v>113</v>
      </c>
      <c r="BO318" s="394" t="s">
        <v>113</v>
      </c>
      <c r="BP318" s="394" t="s">
        <v>113</v>
      </c>
      <c r="BQ318" s="394" t="s">
        <v>113</v>
      </c>
      <c r="BR318" s="394" t="s">
        <v>113</v>
      </c>
      <c r="BS318" s="394" t="s">
        <v>113</v>
      </c>
      <c r="BT318" s="394" t="s">
        <v>113</v>
      </c>
      <c r="BU318" s="394" t="s">
        <v>113</v>
      </c>
    </row>
    <row r="319" spans="45:73">
      <c r="AS319" s="379" t="s">
        <v>609</v>
      </c>
      <c r="AT319" s="382">
        <v>0.16</v>
      </c>
      <c r="AU319" s="383">
        <v>45716</v>
      </c>
      <c r="AV319" s="382">
        <v>408.355</v>
      </c>
      <c r="AW319" s="33"/>
      <c r="AX319" s="394">
        <v>0.005257</v>
      </c>
      <c r="AY319" s="394">
        <v>0.015519</v>
      </c>
      <c r="AZ319" s="394">
        <v>0.031807</v>
      </c>
      <c r="BA319" s="394">
        <v>0.065075</v>
      </c>
      <c r="BB319" s="394">
        <v>0.06179</v>
      </c>
      <c r="BC319" s="394">
        <v>0.049551</v>
      </c>
      <c r="BD319" s="394" t="s">
        <v>113</v>
      </c>
      <c r="BE319" s="34"/>
      <c r="BF319" s="394">
        <v>0.015519</v>
      </c>
      <c r="BG319" s="394">
        <v>0.0659497522801234</v>
      </c>
      <c r="BH319" s="394">
        <v>0.0661843197203098</v>
      </c>
      <c r="BI319" s="394">
        <v>0.0456891001033801</v>
      </c>
      <c r="BJ319" s="394">
        <v>0.0310943391378391</v>
      </c>
      <c r="BK319" s="394">
        <v>0.0353941195278619</v>
      </c>
      <c r="BL319" s="394">
        <v>0.0222493270020265</v>
      </c>
      <c r="BM319" s="394" t="s">
        <v>113</v>
      </c>
      <c r="BN319" s="394" t="s">
        <v>113</v>
      </c>
      <c r="BO319" s="394" t="s">
        <v>113</v>
      </c>
      <c r="BP319" s="394" t="s">
        <v>113</v>
      </c>
      <c r="BQ319" s="394" t="s">
        <v>113</v>
      </c>
      <c r="BR319" s="394" t="s">
        <v>113</v>
      </c>
      <c r="BS319" s="394" t="s">
        <v>113</v>
      </c>
      <c r="BT319" s="394" t="s">
        <v>113</v>
      </c>
      <c r="BU319" s="394" t="s">
        <v>113</v>
      </c>
    </row>
    <row r="320" spans="45:73">
      <c r="AS320" s="379" t="s">
        <v>610</v>
      </c>
      <c r="AT320" s="382">
        <v>0.15</v>
      </c>
      <c r="AU320" s="383">
        <v>45716</v>
      </c>
      <c r="AV320" s="382">
        <v>441.580141392</v>
      </c>
      <c r="AW320" s="33"/>
      <c r="AX320" s="394">
        <v>0.005321</v>
      </c>
      <c r="AY320" s="394">
        <v>0.01567</v>
      </c>
      <c r="AZ320" s="394">
        <v>0.032054</v>
      </c>
      <c r="BA320" s="394">
        <v>0.065409</v>
      </c>
      <c r="BB320" s="394">
        <v>0.061851</v>
      </c>
      <c r="BC320" s="394">
        <v>0.049115</v>
      </c>
      <c r="BD320" s="394" t="s">
        <v>113</v>
      </c>
      <c r="BE320" s="34"/>
      <c r="BF320" s="394">
        <v>0.01567</v>
      </c>
      <c r="BG320" s="394">
        <v>0.0661637296677463</v>
      </c>
      <c r="BH320" s="394">
        <v>0.0657656334676726</v>
      </c>
      <c r="BI320" s="394">
        <v>0.0460230714242841</v>
      </c>
      <c r="BJ320" s="394">
        <v>0.0308825423827018</v>
      </c>
      <c r="BK320" s="394">
        <v>0.0320202215867606</v>
      </c>
      <c r="BL320" s="394">
        <v>0.0335093999999999</v>
      </c>
      <c r="BM320" s="394" t="s">
        <v>113</v>
      </c>
      <c r="BN320" s="394" t="s">
        <v>113</v>
      </c>
      <c r="BO320" s="394" t="s">
        <v>113</v>
      </c>
      <c r="BP320" s="394" t="s">
        <v>113</v>
      </c>
      <c r="BQ320" s="394" t="s">
        <v>113</v>
      </c>
      <c r="BR320" s="394" t="s">
        <v>113</v>
      </c>
      <c r="BS320" s="394" t="s">
        <v>113</v>
      </c>
      <c r="BT320" s="394" t="s">
        <v>113</v>
      </c>
      <c r="BU320" s="394" t="s">
        <v>113</v>
      </c>
    </row>
    <row r="321" spans="45:73">
      <c r="AS321" s="379" t="s">
        <v>611</v>
      </c>
      <c r="AT321" s="382">
        <v>0.24</v>
      </c>
      <c r="AU321" s="383">
        <v>45716</v>
      </c>
      <c r="AV321" s="382">
        <v>13.284312695</v>
      </c>
      <c r="AW321" s="33"/>
      <c r="AX321" s="394">
        <v>0.005137</v>
      </c>
      <c r="AY321" s="394">
        <v>0.015315</v>
      </c>
      <c r="AZ321" s="394">
        <v>0.031408</v>
      </c>
      <c r="BA321" s="394">
        <v>0.064822</v>
      </c>
      <c r="BB321" s="394">
        <v>0.06041</v>
      </c>
      <c r="BC321" s="394">
        <v>0.04803</v>
      </c>
      <c r="BD321" s="394" t="s">
        <v>113</v>
      </c>
      <c r="BE321" s="34"/>
      <c r="BF321" s="394">
        <v>0.015315</v>
      </c>
      <c r="BG321" s="394">
        <v>0.0657554672994669</v>
      </c>
      <c r="BH321" s="394">
        <v>0.0632405894280468</v>
      </c>
      <c r="BI321" s="394">
        <v>0.044762142045332</v>
      </c>
      <c r="BJ321" s="394">
        <v>0.0301488915965455</v>
      </c>
      <c r="BK321" s="394">
        <v>0.0322248463674791</v>
      </c>
      <c r="BL321" s="394">
        <v>0.0247992999999999</v>
      </c>
      <c r="BM321" s="394" t="s">
        <v>113</v>
      </c>
      <c r="BN321" s="394" t="s">
        <v>113</v>
      </c>
      <c r="BO321" s="394" t="s">
        <v>113</v>
      </c>
      <c r="BP321" s="394" t="s">
        <v>113</v>
      </c>
      <c r="BQ321" s="394" t="s">
        <v>113</v>
      </c>
      <c r="BR321" s="394" t="s">
        <v>113</v>
      </c>
      <c r="BS321" s="394" t="s">
        <v>113</v>
      </c>
      <c r="BT321" s="394" t="s">
        <v>113</v>
      </c>
      <c r="BU321" s="394" t="s">
        <v>113</v>
      </c>
    </row>
    <row r="322" spans="45:73">
      <c r="AS322" s="379" t="s">
        <v>612</v>
      </c>
      <c r="AT322" s="382">
        <v>0.17</v>
      </c>
      <c r="AU322" s="383">
        <v>45716</v>
      </c>
      <c r="AV322" s="382">
        <v>12517.2494</v>
      </c>
      <c r="AW322" s="33"/>
      <c r="AX322" s="394">
        <v>0.005242</v>
      </c>
      <c r="AY322" s="394">
        <v>0.015481</v>
      </c>
      <c r="AZ322" s="394">
        <v>0.031642</v>
      </c>
      <c r="BA322" s="394">
        <v>0.064856</v>
      </c>
      <c r="BB322" s="394">
        <v>0.061478</v>
      </c>
      <c r="BC322" s="394">
        <v>0.048859</v>
      </c>
      <c r="BD322" s="394">
        <v>0.054813</v>
      </c>
      <c r="BE322" s="34"/>
      <c r="BF322" s="394">
        <v>0.015481</v>
      </c>
      <c r="BG322" s="394">
        <v>0.0658941676010848</v>
      </c>
      <c r="BH322" s="394">
        <v>0.0654470898746253</v>
      </c>
      <c r="BI322" s="394">
        <v>0.0455492340141293</v>
      </c>
      <c r="BJ322" s="394">
        <v>0.0306835165021561</v>
      </c>
      <c r="BK322" s="394">
        <v>0.0324318716785541</v>
      </c>
      <c r="BL322" s="394">
        <v>0.0555077743628758</v>
      </c>
      <c r="BM322" s="394">
        <v>0.0612102682362774</v>
      </c>
      <c r="BN322" s="394">
        <v>0.0590401583161694</v>
      </c>
      <c r="BO322" s="394">
        <v>0.0640925255011751</v>
      </c>
      <c r="BP322" s="394">
        <v>0.0729249198614017</v>
      </c>
      <c r="BQ322" s="394">
        <v>0.0815972744125458</v>
      </c>
      <c r="BR322" s="394">
        <v>0.0821053316417814</v>
      </c>
      <c r="BS322" s="394">
        <v>0.0823787615604902</v>
      </c>
      <c r="BT322" s="394">
        <v>0.0745869592634632</v>
      </c>
      <c r="BU322" s="394">
        <v>0.0473202787042234</v>
      </c>
    </row>
    <row r="323" spans="45:73">
      <c r="AS323" s="379" t="s">
        <v>613</v>
      </c>
      <c r="AT323" s="382">
        <v>0.18</v>
      </c>
      <c r="AU323" s="383">
        <v>45716</v>
      </c>
      <c r="AV323" s="382">
        <v>148.3029</v>
      </c>
      <c r="AW323" s="33"/>
      <c r="AX323" s="394">
        <v>0.005109</v>
      </c>
      <c r="AY323" s="394">
        <v>0.015267</v>
      </c>
      <c r="AZ323" s="394">
        <v>0.031597</v>
      </c>
      <c r="BA323" s="394">
        <v>0.064772</v>
      </c>
      <c r="BB323" s="394" t="s">
        <v>113</v>
      </c>
      <c r="BC323" s="394" t="s">
        <v>113</v>
      </c>
      <c r="BD323" s="394" t="s">
        <v>113</v>
      </c>
      <c r="BE323" s="34"/>
      <c r="BF323" s="394">
        <v>0.015267</v>
      </c>
      <c r="BG323" s="394">
        <v>0.065912477977325</v>
      </c>
      <c r="BH323" s="394">
        <v>0.0121833568372378</v>
      </c>
      <c r="BI323" s="394" t="s">
        <v>113</v>
      </c>
      <c r="BJ323" s="394" t="s">
        <v>113</v>
      </c>
      <c r="BK323" s="394" t="s">
        <v>113</v>
      </c>
      <c r="BL323" s="394" t="s">
        <v>113</v>
      </c>
      <c r="BM323" s="394" t="s">
        <v>113</v>
      </c>
      <c r="BN323" s="394" t="s">
        <v>113</v>
      </c>
      <c r="BO323" s="394" t="s">
        <v>113</v>
      </c>
      <c r="BP323" s="394" t="s">
        <v>113</v>
      </c>
      <c r="BQ323" s="394" t="s">
        <v>113</v>
      </c>
      <c r="BR323" s="394" t="s">
        <v>113</v>
      </c>
      <c r="BS323" s="394" t="s">
        <v>113</v>
      </c>
      <c r="BT323" s="394" t="s">
        <v>113</v>
      </c>
      <c r="BU323" s="394" t="s">
        <v>113</v>
      </c>
    </row>
    <row r="324" spans="45:73">
      <c r="AS324" s="379" t="s">
        <v>614</v>
      </c>
      <c r="AT324" s="382">
        <v>0.16</v>
      </c>
      <c r="AU324" s="383">
        <v>45716</v>
      </c>
      <c r="AV324" s="382">
        <v>2384.0357</v>
      </c>
      <c r="AW324" s="33"/>
      <c r="AX324" s="394">
        <v>0.00528</v>
      </c>
      <c r="AY324" s="394">
        <v>0.015565</v>
      </c>
      <c r="AZ324" s="394">
        <v>0.031882</v>
      </c>
      <c r="BA324" s="394">
        <v>0.065371</v>
      </c>
      <c r="BB324" s="394">
        <v>0.061848</v>
      </c>
      <c r="BC324" s="394">
        <v>0.049289</v>
      </c>
      <c r="BD324" s="394" t="s">
        <v>113</v>
      </c>
      <c r="BE324" s="34"/>
      <c r="BF324" s="394">
        <v>0.015565</v>
      </c>
      <c r="BG324" s="394">
        <v>0.0662546063397151</v>
      </c>
      <c r="BH324" s="394">
        <v>0.0662259878809705</v>
      </c>
      <c r="BI324" s="394">
        <v>0.045596813312547</v>
      </c>
      <c r="BJ324" s="394">
        <v>0.0310256456229081</v>
      </c>
      <c r="BK324" s="394">
        <v>0.033028626807509</v>
      </c>
      <c r="BL324" s="394">
        <v>0.0310716466087997</v>
      </c>
      <c r="BM324" s="394" t="s">
        <v>113</v>
      </c>
      <c r="BN324" s="394" t="s">
        <v>113</v>
      </c>
      <c r="BO324" s="394" t="s">
        <v>113</v>
      </c>
      <c r="BP324" s="394" t="s">
        <v>113</v>
      </c>
      <c r="BQ324" s="394" t="s">
        <v>113</v>
      </c>
      <c r="BR324" s="394" t="s">
        <v>113</v>
      </c>
      <c r="BS324" s="394" t="s">
        <v>113</v>
      </c>
      <c r="BT324" s="394" t="s">
        <v>113</v>
      </c>
      <c r="BU324" s="394" t="s">
        <v>113</v>
      </c>
    </row>
    <row r="325" spans="45:73">
      <c r="AS325" s="379" t="s">
        <v>615</v>
      </c>
      <c r="AT325" s="382">
        <v>0.16</v>
      </c>
      <c r="AU325" s="383">
        <v>45716</v>
      </c>
      <c r="AV325" s="382">
        <v>10036.9423676767</v>
      </c>
      <c r="AW325" s="33"/>
      <c r="AX325" s="394">
        <v>0.005321</v>
      </c>
      <c r="AY325" s="394">
        <v>0.015655</v>
      </c>
      <c r="AZ325" s="394">
        <v>0.031976</v>
      </c>
      <c r="BA325" s="394">
        <v>0.065422</v>
      </c>
      <c r="BB325" s="394">
        <v>0.06203</v>
      </c>
      <c r="BC325" s="394">
        <v>0.049235</v>
      </c>
      <c r="BD325" s="394" t="s">
        <v>113</v>
      </c>
      <c r="BE325" s="34"/>
      <c r="BF325" s="394">
        <v>0.015655</v>
      </c>
      <c r="BG325" s="394">
        <v>0.0665971950601381</v>
      </c>
      <c r="BH325" s="394">
        <v>0.0659522627174887</v>
      </c>
      <c r="BI325" s="394">
        <v>0.0459508025845809</v>
      </c>
      <c r="BJ325" s="394">
        <v>0.0307713861770756</v>
      </c>
      <c r="BK325" s="394">
        <v>0.0325770015518674</v>
      </c>
      <c r="BL325" s="394">
        <v>0.056017776807813</v>
      </c>
      <c r="BM325" s="394">
        <v>0.00789776794820008</v>
      </c>
      <c r="BN325" s="394" t="s">
        <v>113</v>
      </c>
      <c r="BO325" s="394" t="s">
        <v>113</v>
      </c>
      <c r="BP325" s="394" t="s">
        <v>113</v>
      </c>
      <c r="BQ325" s="394" t="s">
        <v>113</v>
      </c>
      <c r="BR325" s="394" t="s">
        <v>113</v>
      </c>
      <c r="BS325" s="394" t="s">
        <v>113</v>
      </c>
      <c r="BT325" s="394" t="s">
        <v>113</v>
      </c>
      <c r="BU325" s="394" t="s">
        <v>113</v>
      </c>
    </row>
    <row r="326" spans="45:73">
      <c r="AS326" s="379" t="s">
        <v>616</v>
      </c>
      <c r="AT326" s="382">
        <v>0.12</v>
      </c>
      <c r="AU326" s="383">
        <v>45716</v>
      </c>
      <c r="AV326" s="382">
        <v>435.055490131</v>
      </c>
      <c r="AW326" s="33"/>
      <c r="AX326" s="394">
        <v>0.005319</v>
      </c>
      <c r="AY326" s="394">
        <v>0.015654</v>
      </c>
      <c r="AZ326" s="394">
        <v>0.032053</v>
      </c>
      <c r="BA326" s="394">
        <v>0.065759</v>
      </c>
      <c r="BB326" s="394">
        <v>0.062278</v>
      </c>
      <c r="BC326" s="394">
        <v>0.049542</v>
      </c>
      <c r="BD326" s="394" t="s">
        <v>113</v>
      </c>
      <c r="BE326" s="34"/>
      <c r="BF326" s="394">
        <v>0.015654</v>
      </c>
      <c r="BG326" s="394">
        <v>0.0668246772439246</v>
      </c>
      <c r="BH326" s="394">
        <v>0.0662207810204418</v>
      </c>
      <c r="BI326" s="394">
        <v>0.0462871364347594</v>
      </c>
      <c r="BJ326" s="394">
        <v>0.0311358686563393</v>
      </c>
      <c r="BK326" s="394">
        <v>0.0320894000000001</v>
      </c>
      <c r="BL326" s="394" t="s">
        <v>113</v>
      </c>
      <c r="BM326" s="394" t="s">
        <v>113</v>
      </c>
      <c r="BN326" s="394" t="s">
        <v>113</v>
      </c>
      <c r="BO326" s="394" t="s">
        <v>113</v>
      </c>
      <c r="BP326" s="394" t="s">
        <v>113</v>
      </c>
      <c r="BQ326" s="394" t="s">
        <v>113</v>
      </c>
      <c r="BR326" s="394" t="s">
        <v>113</v>
      </c>
      <c r="BS326" s="394" t="s">
        <v>113</v>
      </c>
      <c r="BT326" s="394" t="s">
        <v>113</v>
      </c>
      <c r="BU326" s="394" t="s">
        <v>113</v>
      </c>
    </row>
    <row r="327" spans="45:73">
      <c r="AS327" s="379" t="s">
        <v>617</v>
      </c>
      <c r="AT327" s="382">
        <v>0.18</v>
      </c>
      <c r="AU327" s="383">
        <v>45716</v>
      </c>
      <c r="AV327" s="382">
        <v>17.3223</v>
      </c>
      <c r="AW327" s="33"/>
      <c r="AX327" s="394">
        <v>0.005033</v>
      </c>
      <c r="AY327" s="394">
        <v>0.014925</v>
      </c>
      <c r="AZ327" s="394">
        <v>0.030655</v>
      </c>
      <c r="BA327" s="394">
        <v>0.062813</v>
      </c>
      <c r="BB327" s="394">
        <v>0.059846</v>
      </c>
      <c r="BC327" s="394">
        <v>0.047785</v>
      </c>
      <c r="BD327" s="394" t="s">
        <v>113</v>
      </c>
      <c r="BE327" s="34"/>
      <c r="BF327" s="394">
        <v>0.014925</v>
      </c>
      <c r="BG327" s="394">
        <v>0.0638525510973995</v>
      </c>
      <c r="BH327" s="394">
        <v>0.0637559766155968</v>
      </c>
      <c r="BI327" s="394">
        <v>0.0448098602638559</v>
      </c>
      <c r="BJ327" s="394">
        <v>0.030343095686408</v>
      </c>
      <c r="BK327" s="394">
        <v>0.0324227281719797</v>
      </c>
      <c r="BL327" s="394">
        <v>0.00891880000000003</v>
      </c>
      <c r="BM327" s="394" t="s">
        <v>113</v>
      </c>
      <c r="BN327" s="394" t="s">
        <v>113</v>
      </c>
      <c r="BO327" s="394" t="s">
        <v>113</v>
      </c>
      <c r="BP327" s="394" t="s">
        <v>113</v>
      </c>
      <c r="BQ327" s="394" t="s">
        <v>113</v>
      </c>
      <c r="BR327" s="394" t="s">
        <v>113</v>
      </c>
      <c r="BS327" s="394" t="s">
        <v>113</v>
      </c>
      <c r="BT327" s="394" t="s">
        <v>113</v>
      </c>
      <c r="BU327" s="394" t="s">
        <v>113</v>
      </c>
    </row>
    <row r="328" spans="45:73">
      <c r="AS328" s="379" t="s">
        <v>618</v>
      </c>
      <c r="AT328" s="382">
        <v>0.15</v>
      </c>
      <c r="AU328" s="383">
        <v>45716</v>
      </c>
      <c r="AV328" s="382">
        <v>126.778873586</v>
      </c>
      <c r="AW328" s="33"/>
      <c r="AX328" s="394">
        <v>0.005152</v>
      </c>
      <c r="AY328" s="394">
        <v>0.015361</v>
      </c>
      <c r="AZ328" s="394">
        <v>0.03163</v>
      </c>
      <c r="BA328" s="394">
        <v>0.064819</v>
      </c>
      <c r="BB328" s="394">
        <v>0.061678</v>
      </c>
      <c r="BC328" s="394">
        <v>0.049354</v>
      </c>
      <c r="BD328" s="394" t="s">
        <v>113</v>
      </c>
      <c r="BE328" s="34"/>
      <c r="BF328" s="394">
        <v>0.015361</v>
      </c>
      <c r="BG328" s="394">
        <v>0.0658032154703061</v>
      </c>
      <c r="BH328" s="394">
        <v>0.0658704022695071</v>
      </c>
      <c r="BI328" s="394">
        <v>0.0461220108241559</v>
      </c>
      <c r="BJ328" s="394">
        <v>0.031549505212039</v>
      </c>
      <c r="BK328" s="394">
        <v>0.0334788586434353</v>
      </c>
      <c r="BL328" s="394">
        <v>0.00365129999999999</v>
      </c>
      <c r="BM328" s="394" t="s">
        <v>113</v>
      </c>
      <c r="BN328" s="394" t="s">
        <v>113</v>
      </c>
      <c r="BO328" s="394" t="s">
        <v>113</v>
      </c>
      <c r="BP328" s="394" t="s">
        <v>113</v>
      </c>
      <c r="BQ328" s="394" t="s">
        <v>113</v>
      </c>
      <c r="BR328" s="394" t="s">
        <v>113</v>
      </c>
      <c r="BS328" s="394" t="s">
        <v>113</v>
      </c>
      <c r="BT328" s="394" t="s">
        <v>113</v>
      </c>
      <c r="BU328" s="394" t="s">
        <v>113</v>
      </c>
    </row>
    <row r="329" spans="45:73">
      <c r="AS329" s="379" t="s">
        <v>619</v>
      </c>
      <c r="AT329" s="382">
        <v>0.16</v>
      </c>
      <c r="AU329" s="383">
        <v>45716</v>
      </c>
      <c r="AV329" s="382">
        <v>5377.7204</v>
      </c>
      <c r="AW329" s="33"/>
      <c r="AX329" s="394">
        <v>0.005325</v>
      </c>
      <c r="AY329" s="394">
        <v>0.01567</v>
      </c>
      <c r="AZ329" s="394">
        <v>0.032007</v>
      </c>
      <c r="BA329" s="394">
        <v>0.065599</v>
      </c>
      <c r="BB329" s="394">
        <v>0.061909</v>
      </c>
      <c r="BC329" s="394">
        <v>0.049177</v>
      </c>
      <c r="BD329" s="394" t="s">
        <v>113</v>
      </c>
      <c r="BE329" s="34"/>
      <c r="BF329" s="394">
        <v>0.01567</v>
      </c>
      <c r="BG329" s="394">
        <v>0.0662989955107164</v>
      </c>
      <c r="BH329" s="394">
        <v>0.0659209162094905</v>
      </c>
      <c r="BI329" s="394">
        <v>0.0458926687710816</v>
      </c>
      <c r="BJ329" s="394">
        <v>0.0307459462519094</v>
      </c>
      <c r="BK329" s="394">
        <v>0.032812202685293</v>
      </c>
      <c r="BL329" s="394">
        <v>0.0537025000000001</v>
      </c>
      <c r="BM329" s="394" t="s">
        <v>113</v>
      </c>
      <c r="BN329" s="394" t="s">
        <v>113</v>
      </c>
      <c r="BO329" s="394" t="s">
        <v>113</v>
      </c>
      <c r="BP329" s="394" t="s">
        <v>113</v>
      </c>
      <c r="BQ329" s="394" t="s">
        <v>113</v>
      </c>
      <c r="BR329" s="394" t="s">
        <v>113</v>
      </c>
      <c r="BS329" s="394" t="s">
        <v>113</v>
      </c>
      <c r="BT329" s="394" t="s">
        <v>113</v>
      </c>
      <c r="BU329" s="394" t="s">
        <v>113</v>
      </c>
    </row>
    <row r="330" spans="45:73">
      <c r="AS330" s="379" t="s">
        <v>620</v>
      </c>
      <c r="AT330" s="382">
        <v>0.2</v>
      </c>
      <c r="AU330" s="383">
        <v>45716</v>
      </c>
      <c r="AV330" s="382">
        <v>1017.6873</v>
      </c>
      <c r="AW330" s="33"/>
      <c r="AX330" s="394">
        <v>0.005348</v>
      </c>
      <c r="AY330" s="394">
        <v>0.015614</v>
      </c>
      <c r="AZ330" s="394">
        <v>0.031778</v>
      </c>
      <c r="BA330" s="394">
        <v>0.065065</v>
      </c>
      <c r="BB330" s="394">
        <v>0.061587</v>
      </c>
      <c r="BC330" s="394">
        <v>0.048939</v>
      </c>
      <c r="BD330" s="394" t="s">
        <v>113</v>
      </c>
      <c r="BE330" s="34"/>
      <c r="BF330" s="394">
        <v>0.015614</v>
      </c>
      <c r="BG330" s="394">
        <v>0.0657627706800377</v>
      </c>
      <c r="BH330" s="394">
        <v>0.0655130858679928</v>
      </c>
      <c r="BI330" s="394">
        <v>0.045919893068583</v>
      </c>
      <c r="BJ330" s="394">
        <v>0.0308244074291514</v>
      </c>
      <c r="BK330" s="394">
        <v>0.0327571369812453</v>
      </c>
      <c r="BL330" s="394">
        <v>0.0225038363922861</v>
      </c>
      <c r="BM330" s="394" t="s">
        <v>113</v>
      </c>
      <c r="BN330" s="394" t="s">
        <v>113</v>
      </c>
      <c r="BO330" s="394" t="s">
        <v>113</v>
      </c>
      <c r="BP330" s="394" t="s">
        <v>113</v>
      </c>
      <c r="BQ330" s="394" t="s">
        <v>113</v>
      </c>
      <c r="BR330" s="394" t="s">
        <v>113</v>
      </c>
      <c r="BS330" s="394" t="s">
        <v>113</v>
      </c>
      <c r="BT330" s="394" t="s">
        <v>113</v>
      </c>
      <c r="BU330" s="394" t="s">
        <v>113</v>
      </c>
    </row>
    <row r="331" spans="45:73">
      <c r="AS331" s="379" t="s">
        <v>621</v>
      </c>
      <c r="AT331" s="382">
        <v>0.19</v>
      </c>
      <c r="AU331" s="383">
        <v>45716</v>
      </c>
      <c r="AV331" s="382">
        <v>155.9923</v>
      </c>
      <c r="AW331" s="33"/>
      <c r="AX331" s="394">
        <v>0.005317</v>
      </c>
      <c r="AY331" s="394">
        <v>0.015592</v>
      </c>
      <c r="AZ331" s="394">
        <v>0.031851</v>
      </c>
      <c r="BA331" s="394">
        <v>0.065289</v>
      </c>
      <c r="BB331" s="394">
        <v>0.061855</v>
      </c>
      <c r="BC331" s="394">
        <v>0.049405</v>
      </c>
      <c r="BD331" s="394" t="s">
        <v>113</v>
      </c>
      <c r="BE331" s="34"/>
      <c r="BF331" s="394">
        <v>0.015592</v>
      </c>
      <c r="BG331" s="394">
        <v>0.0660859537604308</v>
      </c>
      <c r="BH331" s="394">
        <v>0.0659272898835226</v>
      </c>
      <c r="BI331" s="394">
        <v>0.0461703958810517</v>
      </c>
      <c r="BJ331" s="394">
        <v>0.0313307581687752</v>
      </c>
      <c r="BK331" s="394">
        <v>0.0329620334443972</v>
      </c>
      <c r="BL331" s="394">
        <v>0.021636</v>
      </c>
      <c r="BM331" s="394" t="s">
        <v>113</v>
      </c>
      <c r="BN331" s="394" t="s">
        <v>113</v>
      </c>
      <c r="BO331" s="394" t="s">
        <v>113</v>
      </c>
      <c r="BP331" s="394" t="s">
        <v>113</v>
      </c>
      <c r="BQ331" s="394" t="s">
        <v>113</v>
      </c>
      <c r="BR331" s="394" t="s">
        <v>113</v>
      </c>
      <c r="BS331" s="394" t="s">
        <v>113</v>
      </c>
      <c r="BT331" s="394" t="s">
        <v>113</v>
      </c>
      <c r="BU331" s="394" t="s">
        <v>113</v>
      </c>
    </row>
    <row r="332" spans="45:73">
      <c r="AS332" s="379" t="s">
        <v>622</v>
      </c>
      <c r="AT332" s="382">
        <v>0.16</v>
      </c>
      <c r="AU332" s="383">
        <v>45716</v>
      </c>
      <c r="AV332" s="382">
        <v>825.147040517</v>
      </c>
      <c r="AW332" s="33"/>
      <c r="AX332" s="394">
        <v>0.005296</v>
      </c>
      <c r="AY332" s="394">
        <v>0.015583</v>
      </c>
      <c r="AZ332" s="394">
        <v>0.031895</v>
      </c>
      <c r="BA332" s="394">
        <v>0.0656</v>
      </c>
      <c r="BB332" s="394">
        <v>0.062168</v>
      </c>
      <c r="BC332" s="394">
        <v>0.049785</v>
      </c>
      <c r="BD332" s="394" t="s">
        <v>113</v>
      </c>
      <c r="BE332" s="34"/>
      <c r="BF332" s="394">
        <v>0.015583</v>
      </c>
      <c r="BG332" s="394">
        <v>0.0664655954044338</v>
      </c>
      <c r="BH332" s="394">
        <v>0.0662705520193701</v>
      </c>
      <c r="BI332" s="394">
        <v>0.0464533384791366</v>
      </c>
      <c r="BJ332" s="394">
        <v>0.0315704873307107</v>
      </c>
      <c r="BK332" s="394">
        <v>0.034476388403233</v>
      </c>
      <c r="BL332" s="394">
        <v>0.0100884</v>
      </c>
      <c r="BM332" s="394" t="s">
        <v>113</v>
      </c>
      <c r="BN332" s="394" t="s">
        <v>113</v>
      </c>
      <c r="BO332" s="394" t="s">
        <v>113</v>
      </c>
      <c r="BP332" s="394" t="s">
        <v>113</v>
      </c>
      <c r="BQ332" s="394" t="s">
        <v>113</v>
      </c>
      <c r="BR332" s="394" t="s">
        <v>113</v>
      </c>
      <c r="BS332" s="394" t="s">
        <v>113</v>
      </c>
      <c r="BT332" s="394" t="s">
        <v>113</v>
      </c>
      <c r="BU332" s="394" t="s">
        <v>113</v>
      </c>
    </row>
    <row r="333" spans="45:73">
      <c r="AS333" s="379" t="s">
        <v>623</v>
      </c>
      <c r="AT333" s="382">
        <v>0.16</v>
      </c>
      <c r="AU333" s="383">
        <v>45716</v>
      </c>
      <c r="AV333" s="382">
        <v>6838.5359</v>
      </c>
      <c r="AW333" s="33"/>
      <c r="AX333" s="394">
        <v>0.005378</v>
      </c>
      <c r="AY333" s="394">
        <v>0.015736</v>
      </c>
      <c r="AZ333" s="394">
        <v>0.032107</v>
      </c>
      <c r="BA333" s="394">
        <v>0.065713</v>
      </c>
      <c r="BB333" s="394">
        <v>0.06216</v>
      </c>
      <c r="BC333" s="394">
        <v>0.049519</v>
      </c>
      <c r="BD333" s="394" t="s">
        <v>113</v>
      </c>
      <c r="BE333" s="34"/>
      <c r="BF333" s="394">
        <v>0.015736</v>
      </c>
      <c r="BG333" s="394">
        <v>0.0664495911161117</v>
      </c>
      <c r="BH333" s="394">
        <v>0.0662344846984031</v>
      </c>
      <c r="BI333" s="394">
        <v>0.0462280138839154</v>
      </c>
      <c r="BJ333" s="394">
        <v>0.0309444527700513</v>
      </c>
      <c r="BK333" s="394">
        <v>0.0334577054524472</v>
      </c>
      <c r="BL333" s="394">
        <v>0.0563404729056374</v>
      </c>
      <c r="BM333" s="394">
        <v>0.00244100000000003</v>
      </c>
      <c r="BN333" s="394" t="s">
        <v>113</v>
      </c>
      <c r="BO333" s="394" t="s">
        <v>113</v>
      </c>
      <c r="BP333" s="394" t="s">
        <v>113</v>
      </c>
      <c r="BQ333" s="394" t="s">
        <v>113</v>
      </c>
      <c r="BR333" s="394" t="s">
        <v>113</v>
      </c>
      <c r="BS333" s="394" t="s">
        <v>113</v>
      </c>
      <c r="BT333" s="394" t="s">
        <v>113</v>
      </c>
      <c r="BU333" s="394" t="s">
        <v>113</v>
      </c>
    </row>
    <row r="334" spans="45:73">
      <c r="AS334" s="379" t="s">
        <v>624</v>
      </c>
      <c r="AT334" s="382">
        <v>0.15</v>
      </c>
      <c r="AU334" s="383">
        <v>45716</v>
      </c>
      <c r="AV334" s="382">
        <v>178.487941801</v>
      </c>
      <c r="AW334" s="33"/>
      <c r="AX334" s="394">
        <v>0.005142</v>
      </c>
      <c r="AY334" s="394">
        <v>0.015352</v>
      </c>
      <c r="AZ334" s="394">
        <v>0.031506</v>
      </c>
      <c r="BA334" s="394">
        <v>0.064436</v>
      </c>
      <c r="BB334" s="394" t="s">
        <v>113</v>
      </c>
      <c r="BC334" s="394" t="s">
        <v>113</v>
      </c>
      <c r="BD334" s="394" t="s">
        <v>113</v>
      </c>
      <c r="BE334" s="34"/>
      <c r="BF334" s="394">
        <v>0.015352</v>
      </c>
      <c r="BG334" s="394">
        <v>0.0653224961758169</v>
      </c>
      <c r="BH334" s="394">
        <v>0.0655168356433413</v>
      </c>
      <c r="BI334" s="394">
        <v>0.0232576</v>
      </c>
      <c r="BJ334" s="394" t="s">
        <v>113</v>
      </c>
      <c r="BK334" s="394" t="s">
        <v>113</v>
      </c>
      <c r="BL334" s="394" t="s">
        <v>113</v>
      </c>
      <c r="BM334" s="394" t="s">
        <v>113</v>
      </c>
      <c r="BN334" s="394" t="s">
        <v>113</v>
      </c>
      <c r="BO334" s="394" t="s">
        <v>113</v>
      </c>
      <c r="BP334" s="394" t="s">
        <v>113</v>
      </c>
      <c r="BQ334" s="394" t="s">
        <v>113</v>
      </c>
      <c r="BR334" s="394" t="s">
        <v>113</v>
      </c>
      <c r="BS334" s="394" t="s">
        <v>113</v>
      </c>
      <c r="BT334" s="394" t="s">
        <v>113</v>
      </c>
      <c r="BU334" s="394" t="s">
        <v>113</v>
      </c>
    </row>
    <row r="335" spans="45:73">
      <c r="AS335" s="379" t="s">
        <v>625</v>
      </c>
      <c r="AT335" s="382">
        <v>0.15</v>
      </c>
      <c r="AU335" s="383">
        <v>45716</v>
      </c>
      <c r="AV335" s="382">
        <v>87.0839</v>
      </c>
      <c r="AW335" s="33"/>
      <c r="AX335" s="394">
        <v>0.005371</v>
      </c>
      <c r="AY335" s="394">
        <v>0.015729</v>
      </c>
      <c r="AZ335" s="394">
        <v>0.032147</v>
      </c>
      <c r="BA335" s="394">
        <v>0.06595</v>
      </c>
      <c r="BB335" s="394">
        <v>0.062161</v>
      </c>
      <c r="BC335" s="394">
        <v>0.049847</v>
      </c>
      <c r="BD335" s="394" t="s">
        <v>113</v>
      </c>
      <c r="BE335" s="34"/>
      <c r="BF335" s="394">
        <v>0.015729</v>
      </c>
      <c r="BG335" s="394">
        <v>0.0666153474380304</v>
      </c>
      <c r="BH335" s="394">
        <v>0.0658605465813432</v>
      </c>
      <c r="BI335" s="394">
        <v>0.0465145362530316</v>
      </c>
      <c r="BJ335" s="394">
        <v>0.0318029377096659</v>
      </c>
      <c r="BK335" s="394">
        <v>0.0346491255235214</v>
      </c>
      <c r="BL335" s="394">
        <v>0.0171743</v>
      </c>
      <c r="BM335" s="394" t="s">
        <v>113</v>
      </c>
      <c r="BN335" s="394" t="s">
        <v>113</v>
      </c>
      <c r="BO335" s="394" t="s">
        <v>113</v>
      </c>
      <c r="BP335" s="394" t="s">
        <v>113</v>
      </c>
      <c r="BQ335" s="394" t="s">
        <v>113</v>
      </c>
      <c r="BR335" s="394" t="s">
        <v>113</v>
      </c>
      <c r="BS335" s="394" t="s">
        <v>113</v>
      </c>
      <c r="BT335" s="394" t="s">
        <v>113</v>
      </c>
      <c r="BU335" s="394" t="s">
        <v>113</v>
      </c>
    </row>
    <row r="336" spans="45:73">
      <c r="AS336" s="379" t="s">
        <v>626</v>
      </c>
      <c r="AT336" s="382">
        <v>0.24</v>
      </c>
      <c r="AU336" s="383">
        <v>45716</v>
      </c>
      <c r="AV336" s="382">
        <v>171.1939</v>
      </c>
      <c r="AW336" s="33"/>
      <c r="AX336" s="394">
        <v>0.005095</v>
      </c>
      <c r="AY336" s="394">
        <v>0.015202</v>
      </c>
      <c r="AZ336" s="394">
        <v>0.032198</v>
      </c>
      <c r="BA336" s="394">
        <v>0.066664</v>
      </c>
      <c r="BB336" s="394" t="s">
        <v>113</v>
      </c>
      <c r="BC336" s="394" t="s">
        <v>113</v>
      </c>
      <c r="BD336" s="394" t="s">
        <v>113</v>
      </c>
      <c r="BE336" s="34"/>
      <c r="BF336" s="394">
        <v>0.015202</v>
      </c>
      <c r="BG336" s="394">
        <v>0.0687200483878472</v>
      </c>
      <c r="BH336" s="394">
        <v>0.0702192921305794</v>
      </c>
      <c r="BI336" s="394">
        <v>0.00398940158976147</v>
      </c>
      <c r="BJ336" s="394" t="s">
        <v>113</v>
      </c>
      <c r="BK336" s="394" t="s">
        <v>113</v>
      </c>
      <c r="BL336" s="394" t="s">
        <v>113</v>
      </c>
      <c r="BM336" s="394" t="s">
        <v>113</v>
      </c>
      <c r="BN336" s="394" t="s">
        <v>113</v>
      </c>
      <c r="BO336" s="394" t="s">
        <v>113</v>
      </c>
      <c r="BP336" s="394" t="s">
        <v>113</v>
      </c>
      <c r="BQ336" s="394" t="s">
        <v>113</v>
      </c>
      <c r="BR336" s="394" t="s">
        <v>113</v>
      </c>
      <c r="BS336" s="394" t="s">
        <v>113</v>
      </c>
      <c r="BT336" s="394" t="s">
        <v>113</v>
      </c>
      <c r="BU336" s="394" t="s">
        <v>113</v>
      </c>
    </row>
    <row r="337" spans="45:73">
      <c r="AS337" s="379" t="s">
        <v>627</v>
      </c>
      <c r="AT337" s="382">
        <v>0.33</v>
      </c>
      <c r="AU337" s="383">
        <v>45716</v>
      </c>
      <c r="AV337" s="382">
        <v>53.7635</v>
      </c>
      <c r="AW337" s="33"/>
      <c r="AX337" s="394">
        <v>0.004913</v>
      </c>
      <c r="AY337" s="394">
        <v>0.014671</v>
      </c>
      <c r="AZ337" s="394">
        <v>0.030245</v>
      </c>
      <c r="BA337" s="394">
        <v>0.061862</v>
      </c>
      <c r="BB337" s="394" t="s">
        <v>113</v>
      </c>
      <c r="BC337" s="394" t="s">
        <v>113</v>
      </c>
      <c r="BD337" s="394" t="s">
        <v>113</v>
      </c>
      <c r="BE337" s="34"/>
      <c r="BF337" s="394">
        <v>0.014671</v>
      </c>
      <c r="BG337" s="394">
        <v>0.0630212107282081</v>
      </c>
      <c r="BH337" s="394">
        <v>0.063778890164586</v>
      </c>
      <c r="BI337" s="394">
        <v>0.0134764</v>
      </c>
      <c r="BJ337" s="394" t="s">
        <v>113</v>
      </c>
      <c r="BK337" s="394" t="s">
        <v>113</v>
      </c>
      <c r="BL337" s="394" t="s">
        <v>113</v>
      </c>
      <c r="BM337" s="394" t="s">
        <v>113</v>
      </c>
      <c r="BN337" s="394" t="s">
        <v>113</v>
      </c>
      <c r="BO337" s="394" t="s">
        <v>113</v>
      </c>
      <c r="BP337" s="394" t="s">
        <v>113</v>
      </c>
      <c r="BQ337" s="394" t="s">
        <v>113</v>
      </c>
      <c r="BR337" s="394" t="s">
        <v>113</v>
      </c>
      <c r="BS337" s="394" t="s">
        <v>113</v>
      </c>
      <c r="BT337" s="394" t="s">
        <v>113</v>
      </c>
      <c r="BU337" s="394" t="s">
        <v>113</v>
      </c>
    </row>
    <row r="338" spans="45:73">
      <c r="AS338" s="379" t="s">
        <v>628</v>
      </c>
      <c r="AT338" s="382">
        <v>0.15</v>
      </c>
      <c r="AU338" s="383">
        <v>45716</v>
      </c>
      <c r="AV338" s="382">
        <v>21498.4609</v>
      </c>
      <c r="AW338" s="33"/>
      <c r="AX338" s="394">
        <v>0.005278</v>
      </c>
      <c r="AY338" s="394">
        <v>0.015574</v>
      </c>
      <c r="AZ338" s="394">
        <v>0.031859</v>
      </c>
      <c r="BA338" s="394">
        <v>0.065247</v>
      </c>
      <c r="BB338" s="394">
        <v>0.061721</v>
      </c>
      <c r="BC338" s="394">
        <v>0.049193</v>
      </c>
      <c r="BD338" s="394">
        <v>0.055658</v>
      </c>
      <c r="BE338" s="34"/>
      <c r="BF338" s="394">
        <v>0.015574</v>
      </c>
      <c r="BG338" s="394">
        <v>0.0659827222319945</v>
      </c>
      <c r="BH338" s="394">
        <v>0.0657425941389063</v>
      </c>
      <c r="BI338" s="394">
        <v>0.0459642271566107</v>
      </c>
      <c r="BJ338" s="394">
        <v>0.0310612735578882</v>
      </c>
      <c r="BK338" s="394">
        <v>0.0330235538940327</v>
      </c>
      <c r="BL338" s="394">
        <v>0.0560640611050662</v>
      </c>
      <c r="BM338" s="394">
        <v>0.0619440645377431</v>
      </c>
      <c r="BN338" s="394">
        <v>0.0575797744626459</v>
      </c>
      <c r="BO338" s="394">
        <v>0.0678066671674551</v>
      </c>
      <c r="BP338" s="394">
        <v>0.0778116855790835</v>
      </c>
      <c r="BQ338" s="394">
        <v>0.0874256596200019</v>
      </c>
      <c r="BR338" s="394">
        <v>0.0887425185741203</v>
      </c>
      <c r="BS338" s="394">
        <v>0.0929547329660289</v>
      </c>
      <c r="BT338" s="394">
        <v>0.0890369655671471</v>
      </c>
      <c r="BU338" s="394">
        <v>0.0564506367499314</v>
      </c>
    </row>
    <row r="339" spans="45:73">
      <c r="AS339" s="379" t="s">
        <v>629</v>
      </c>
      <c r="AT339" s="382">
        <v>0.16</v>
      </c>
      <c r="AU339" s="383">
        <v>45716</v>
      </c>
      <c r="AV339" s="382">
        <v>185.7037</v>
      </c>
      <c r="AW339" s="33"/>
      <c r="AX339" s="394">
        <v>0.005115</v>
      </c>
      <c r="AY339" s="394">
        <v>0.015128</v>
      </c>
      <c r="AZ339" s="394">
        <v>0.031173</v>
      </c>
      <c r="BA339" s="394">
        <v>0.06441</v>
      </c>
      <c r="BB339" s="394" t="s">
        <v>113</v>
      </c>
      <c r="BC339" s="394" t="s">
        <v>113</v>
      </c>
      <c r="BD339" s="394" t="s">
        <v>113</v>
      </c>
      <c r="BE339" s="34"/>
      <c r="BF339" s="394">
        <v>0.015128</v>
      </c>
      <c r="BG339" s="394">
        <v>0.0655264633171278</v>
      </c>
      <c r="BH339" s="394">
        <v>0.065760991997806</v>
      </c>
      <c r="BI339" s="394">
        <v>0.02097</v>
      </c>
      <c r="BJ339" s="394" t="s">
        <v>113</v>
      </c>
      <c r="BK339" s="394" t="s">
        <v>113</v>
      </c>
      <c r="BL339" s="394" t="s">
        <v>113</v>
      </c>
      <c r="BM339" s="394" t="s">
        <v>113</v>
      </c>
      <c r="BN339" s="394" t="s">
        <v>113</v>
      </c>
      <c r="BO339" s="394" t="s">
        <v>113</v>
      </c>
      <c r="BP339" s="394" t="s">
        <v>113</v>
      </c>
      <c r="BQ339" s="394" t="s">
        <v>113</v>
      </c>
      <c r="BR339" s="394" t="s">
        <v>113</v>
      </c>
      <c r="BS339" s="394" t="s">
        <v>113</v>
      </c>
      <c r="BT339" s="394" t="s">
        <v>113</v>
      </c>
      <c r="BU339" s="394" t="s">
        <v>113</v>
      </c>
    </row>
    <row r="340" spans="45:73">
      <c r="AS340" s="379" t="s">
        <v>630</v>
      </c>
      <c r="AT340" s="382">
        <v>0.13</v>
      </c>
      <c r="AU340" s="383">
        <v>45716</v>
      </c>
      <c r="AV340" s="382">
        <v>697.868846</v>
      </c>
      <c r="AW340" s="33"/>
      <c r="AX340" s="394">
        <v>0.005324</v>
      </c>
      <c r="AY340" s="394">
        <v>0.015635</v>
      </c>
      <c r="AZ340" s="394">
        <v>0.03187</v>
      </c>
      <c r="BA340" s="394">
        <v>0.06519</v>
      </c>
      <c r="BB340" s="394">
        <v>0.061841</v>
      </c>
      <c r="BC340" s="394">
        <v>0.049076</v>
      </c>
      <c r="BD340" s="394" t="s">
        <v>113</v>
      </c>
      <c r="BE340" s="34"/>
      <c r="BF340" s="394">
        <v>0.015635</v>
      </c>
      <c r="BG340" s="394">
        <v>0.0659079921885824</v>
      </c>
      <c r="BH340" s="394">
        <v>0.065998312426939</v>
      </c>
      <c r="BI340" s="394">
        <v>0.04588649769233</v>
      </c>
      <c r="BJ340" s="394">
        <v>0.030391296741378</v>
      </c>
      <c r="BK340" s="394">
        <v>0.033201715256158</v>
      </c>
      <c r="BL340" s="394">
        <v>0.0494758999999999</v>
      </c>
      <c r="BM340" s="394" t="s">
        <v>113</v>
      </c>
      <c r="BN340" s="394" t="s">
        <v>113</v>
      </c>
      <c r="BO340" s="394" t="s">
        <v>113</v>
      </c>
      <c r="BP340" s="394" t="s">
        <v>113</v>
      </c>
      <c r="BQ340" s="394" t="s">
        <v>113</v>
      </c>
      <c r="BR340" s="394" t="s">
        <v>113</v>
      </c>
      <c r="BS340" s="394" t="s">
        <v>113</v>
      </c>
      <c r="BT340" s="394" t="s">
        <v>113</v>
      </c>
      <c r="BU340" s="394" t="s">
        <v>113</v>
      </c>
    </row>
    <row r="341" spans="45:73">
      <c r="AS341" s="379" t="s">
        <v>631</v>
      </c>
      <c r="AT341" s="382">
        <v>0.18</v>
      </c>
      <c r="AU341" s="383">
        <v>45716</v>
      </c>
      <c r="AV341" s="382">
        <v>3610.093443145</v>
      </c>
      <c r="AW341" s="33"/>
      <c r="AX341" s="394">
        <v>0.005356</v>
      </c>
      <c r="AY341" s="394">
        <v>0.015654</v>
      </c>
      <c r="AZ341" s="394">
        <v>0.031959</v>
      </c>
      <c r="BA341" s="394">
        <v>0.0654</v>
      </c>
      <c r="BB341" s="394">
        <v>0.061806</v>
      </c>
      <c r="BC341" s="394">
        <v>0.049203</v>
      </c>
      <c r="BD341" s="394" t="s">
        <v>113</v>
      </c>
      <c r="BE341" s="34"/>
      <c r="BF341" s="394">
        <v>0.015654</v>
      </c>
      <c r="BG341" s="394">
        <v>0.06613452063576</v>
      </c>
      <c r="BH341" s="394">
        <v>0.0658356247774302</v>
      </c>
      <c r="BI341" s="394">
        <v>0.0458882690058512</v>
      </c>
      <c r="BJ341" s="394">
        <v>0.0308069355624525</v>
      </c>
      <c r="BK341" s="394">
        <v>0.0330090335509256</v>
      </c>
      <c r="BL341" s="394">
        <v>0.0410056861122108</v>
      </c>
      <c r="BM341" s="394" t="s">
        <v>113</v>
      </c>
      <c r="BN341" s="394" t="s">
        <v>113</v>
      </c>
      <c r="BO341" s="394" t="s">
        <v>113</v>
      </c>
      <c r="BP341" s="394" t="s">
        <v>113</v>
      </c>
      <c r="BQ341" s="394" t="s">
        <v>113</v>
      </c>
      <c r="BR341" s="394" t="s">
        <v>113</v>
      </c>
      <c r="BS341" s="394" t="s">
        <v>113</v>
      </c>
      <c r="BT341" s="394" t="s">
        <v>113</v>
      </c>
      <c r="BU341" s="394" t="s">
        <v>113</v>
      </c>
    </row>
    <row r="342" spans="45:73">
      <c r="AS342" s="379" t="s">
        <v>632</v>
      </c>
      <c r="AT342" s="382">
        <v>0.12</v>
      </c>
      <c r="AU342" s="383">
        <v>45716</v>
      </c>
      <c r="AV342" s="382">
        <v>182.333717561</v>
      </c>
      <c r="AW342" s="33"/>
      <c r="AX342" s="394">
        <v>0.005171</v>
      </c>
      <c r="AY342" s="394">
        <v>0.015411</v>
      </c>
      <c r="AZ342" s="394">
        <v>0.032151</v>
      </c>
      <c r="BA342" s="394">
        <v>0.065706</v>
      </c>
      <c r="BB342" s="394">
        <v>0.062209</v>
      </c>
      <c r="BC342" s="394" t="s">
        <v>113</v>
      </c>
      <c r="BD342" s="394" t="s">
        <v>113</v>
      </c>
      <c r="BE342" s="34"/>
      <c r="BF342" s="394">
        <v>0.015411</v>
      </c>
      <c r="BG342" s="394">
        <v>0.0666404535415138</v>
      </c>
      <c r="BH342" s="394">
        <v>0.0666256111892483</v>
      </c>
      <c r="BI342" s="394">
        <v>0.0446027999999999</v>
      </c>
      <c r="BJ342" s="394" t="s">
        <v>113</v>
      </c>
      <c r="BK342" s="394" t="s">
        <v>113</v>
      </c>
      <c r="BL342" s="394" t="s">
        <v>113</v>
      </c>
      <c r="BM342" s="394" t="s">
        <v>113</v>
      </c>
      <c r="BN342" s="394" t="s">
        <v>113</v>
      </c>
      <c r="BO342" s="394" t="s">
        <v>113</v>
      </c>
      <c r="BP342" s="394" t="s">
        <v>113</v>
      </c>
      <c r="BQ342" s="394" t="s">
        <v>113</v>
      </c>
      <c r="BR342" s="394" t="s">
        <v>113</v>
      </c>
      <c r="BS342" s="394" t="s">
        <v>113</v>
      </c>
      <c r="BT342" s="394" t="s">
        <v>113</v>
      </c>
      <c r="BU342" s="394" t="s">
        <v>113</v>
      </c>
    </row>
    <row r="343" spans="45:73">
      <c r="AS343" s="379" t="s">
        <v>633</v>
      </c>
      <c r="AT343" s="382">
        <v>0.18</v>
      </c>
      <c r="AU343" s="383">
        <v>45716</v>
      </c>
      <c r="AV343" s="382">
        <v>187.3681</v>
      </c>
      <c r="AW343" s="33"/>
      <c r="AX343" s="394">
        <v>0.005315</v>
      </c>
      <c r="AY343" s="394">
        <v>0.01558</v>
      </c>
      <c r="AZ343" s="394">
        <v>0.031795</v>
      </c>
      <c r="BA343" s="394">
        <v>0.065313</v>
      </c>
      <c r="BB343" s="394">
        <v>0.061832</v>
      </c>
      <c r="BC343" s="394">
        <v>0.04913</v>
      </c>
      <c r="BD343" s="394" t="s">
        <v>113</v>
      </c>
      <c r="BE343" s="34"/>
      <c r="BF343" s="394">
        <v>0.01558</v>
      </c>
      <c r="BG343" s="394">
        <v>0.0662308750628632</v>
      </c>
      <c r="BH343" s="394">
        <v>0.0657509033183768</v>
      </c>
      <c r="BI343" s="394">
        <v>0.0459518888150376</v>
      </c>
      <c r="BJ343" s="394">
        <v>0.0309607450225245</v>
      </c>
      <c r="BK343" s="394">
        <v>0.0322658079242559</v>
      </c>
      <c r="BL343" s="394">
        <v>0.0400523916173414</v>
      </c>
      <c r="BM343" s="394" t="s">
        <v>113</v>
      </c>
      <c r="BN343" s="394" t="s">
        <v>113</v>
      </c>
      <c r="BO343" s="394" t="s">
        <v>113</v>
      </c>
      <c r="BP343" s="394" t="s">
        <v>113</v>
      </c>
      <c r="BQ343" s="394" t="s">
        <v>113</v>
      </c>
      <c r="BR343" s="394" t="s">
        <v>113</v>
      </c>
      <c r="BS343" s="394" t="s">
        <v>113</v>
      </c>
      <c r="BT343" s="394" t="s">
        <v>113</v>
      </c>
      <c r="BU343" s="394" t="s">
        <v>113</v>
      </c>
    </row>
    <row r="344" ht="14.55" spans="45:73">
      <c r="AS344" s="379" t="s">
        <v>634</v>
      </c>
      <c r="AT344" s="382">
        <v>0.11</v>
      </c>
      <c r="AU344" s="383">
        <v>45716</v>
      </c>
      <c r="AV344" s="382">
        <v>4733.6373</v>
      </c>
      <c r="AW344" s="33"/>
      <c r="AX344" s="394">
        <v>0.00535</v>
      </c>
      <c r="AY344" s="394">
        <v>0.015708</v>
      </c>
      <c r="AZ344" s="394">
        <v>0.032118</v>
      </c>
      <c r="BA344" s="394">
        <v>0.065885</v>
      </c>
      <c r="BB344" s="394">
        <v>0.062379</v>
      </c>
      <c r="BC344" s="394">
        <v>0.049737</v>
      </c>
      <c r="BD344" s="394">
        <v>0.057</v>
      </c>
      <c r="BE344" s="34"/>
      <c r="BF344" s="394">
        <v>0.015708</v>
      </c>
      <c r="BG344" s="394">
        <v>0.066705361670609</v>
      </c>
      <c r="BH344" s="394">
        <v>0.066404228800948</v>
      </c>
      <c r="BI344" s="394">
        <v>0.0464720487981513</v>
      </c>
      <c r="BJ344" s="394">
        <v>0.0312942608161093</v>
      </c>
      <c r="BK344" s="394">
        <v>0.0335707958852943</v>
      </c>
      <c r="BL344" s="394">
        <v>0.0562953125577606</v>
      </c>
      <c r="BM344" s="394">
        <v>0.0585204338893773</v>
      </c>
      <c r="BN344" s="394">
        <v>0.0508962237296747</v>
      </c>
      <c r="BO344" s="394">
        <v>0.0890832693435843</v>
      </c>
      <c r="BP344" s="394">
        <v>0.0808794721105269</v>
      </c>
      <c r="BQ344" s="394">
        <v>0.0843656365994364</v>
      </c>
      <c r="BR344" s="394">
        <v>0.0888351907871912</v>
      </c>
      <c r="BS344" s="394">
        <v>0.0846283850693849</v>
      </c>
      <c r="BT344" s="394">
        <v>0.0734766771079898</v>
      </c>
      <c r="BU344" s="394">
        <v>0.0367132224907978</v>
      </c>
    </row>
    <row r="345" ht="14.55" spans="45:73">
      <c r="AS345" s="4" t="s">
        <v>146</v>
      </c>
      <c r="AT345"/>
      <c r="AU345"/>
      <c r="AV345"/>
      <c r="AW345" s="395"/>
      <c r="AX345" s="396">
        <f t="shared" ref="AX345:BD345" si="46">AVERAGE(AX311:AX344)</f>
        <v>0.00526173529411765</v>
      </c>
      <c r="AY345" s="396">
        <f t="shared" si="46"/>
        <v>0.0155231764705882</v>
      </c>
      <c r="AZ345" s="396">
        <f t="shared" si="46"/>
        <v>0.0318250882352941</v>
      </c>
      <c r="BA345" s="396">
        <f t="shared" si="46"/>
        <v>0.0652483529411765</v>
      </c>
      <c r="BB345" s="396">
        <f t="shared" si="46"/>
        <v>0.0618993928571429</v>
      </c>
      <c r="BC345" s="396">
        <f t="shared" si="46"/>
        <v>0.0493397037037037</v>
      </c>
      <c r="BD345" s="396">
        <f t="shared" si="46"/>
        <v>0.0558236666666667</v>
      </c>
      <c r="BE345" s="395"/>
      <c r="BF345" s="396">
        <f>AVERAGE(BF311:BF344)</f>
        <v>0.0155231764705882</v>
      </c>
      <c r="BG345" s="396">
        <f>AVERAGE(BG311:BG344)</f>
        <v>0.0661638410000581</v>
      </c>
      <c r="BH345" s="396">
        <f>AVERAGE(BH311:BH344)</f>
        <v>0.0634009311552816</v>
      </c>
      <c r="BI345" s="396">
        <f>AVERAGE(BI311:BI344)</f>
        <v>0.0421918216739683</v>
      </c>
      <c r="BJ345" s="396">
        <f t="shared" ref="BJ345:BU345" si="47">AVERAGE(BJ311:BJ344)</f>
        <v>0.0310569009458686</v>
      </c>
      <c r="BK345" s="396">
        <f t="shared" si="47"/>
        <v>0.0331781590238319</v>
      </c>
      <c r="BL345" s="396">
        <f t="shared" si="47"/>
        <v>0.0370257420732428</v>
      </c>
      <c r="BM345" s="396">
        <f t="shared" si="47"/>
        <v>0.0337225057685996</v>
      </c>
      <c r="BN345" s="396">
        <f t="shared" si="47"/>
        <v>0.0558387188361633</v>
      </c>
      <c r="BO345" s="396">
        <f t="shared" si="47"/>
        <v>0.0736608206707382</v>
      </c>
      <c r="BP345" s="396">
        <f t="shared" si="47"/>
        <v>0.0772053591836707</v>
      </c>
      <c r="BQ345" s="396">
        <f t="shared" si="47"/>
        <v>0.084462856877328</v>
      </c>
      <c r="BR345" s="396">
        <f t="shared" si="47"/>
        <v>0.0865610136676976</v>
      </c>
      <c r="BS345" s="396">
        <f t="shared" si="47"/>
        <v>0.0866539598653013</v>
      </c>
      <c r="BT345" s="396">
        <f t="shared" si="47"/>
        <v>0.0790335339795334</v>
      </c>
      <c r="BU345" s="396">
        <f t="shared" si="47"/>
        <v>0.0468280459816509</v>
      </c>
    </row>
    <row r="346" spans="45:73">
      <c r="AS346" s="4" t="s">
        <v>162</v>
      </c>
      <c r="AT346"/>
      <c r="AU346"/>
      <c r="AV346"/>
      <c r="AW346"/>
      <c r="AX346" s="397">
        <v>0.0087263867959253</v>
      </c>
      <c r="AY346" s="397">
        <v>0.0207643930788102</v>
      </c>
      <c r="AZ346" s="397">
        <v>0.0377184412193585</v>
      </c>
      <c r="BA346" s="397">
        <v>0.080280059411505</v>
      </c>
      <c r="BB346" s="397">
        <v>0.0659301709109001</v>
      </c>
      <c r="BC346" s="397">
        <v>0.0655149768088614</v>
      </c>
      <c r="BD346" s="397">
        <v>0.0738047315298365</v>
      </c>
      <c r="BE346" s="400"/>
      <c r="BF346" s="397">
        <v>0.0207643930788102</v>
      </c>
      <c r="BG346" s="397">
        <v>0.0797029257152309</v>
      </c>
      <c r="BH346" s="397">
        <v>0.0725988870220093</v>
      </c>
      <c r="BI346" s="397">
        <v>0.0358682288812193</v>
      </c>
      <c r="BJ346" s="397">
        <v>0.0437965988907254</v>
      </c>
      <c r="BK346" s="397">
        <v>0.104161972570555</v>
      </c>
      <c r="BL346" s="397">
        <v>0.0953364838894115</v>
      </c>
      <c r="BM346" s="397">
        <v>0.0665068187794211</v>
      </c>
      <c r="BN346" s="397">
        <v>0.0602957159773323</v>
      </c>
      <c r="BO346" s="397">
        <v>0.0986738756953636</v>
      </c>
      <c r="BP346" s="397">
        <v>0.0865549936165921</v>
      </c>
      <c r="BQ346" s="397">
        <v>0.104681934209951</v>
      </c>
      <c r="BR346" s="397">
        <v>0.0827206164504672</v>
      </c>
      <c r="BS346" s="397">
        <v>0.0912371315059957</v>
      </c>
      <c r="BT346" s="397">
        <v>0.0786771029274067</v>
      </c>
      <c r="BU346" s="397">
        <v>0.0470040326565153</v>
      </c>
    </row>
    <row r="347" ht="14.55" spans="45:73"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</row>
    <row r="348" ht="14.55" spans="45:73">
      <c r="AS348" s="350" t="s">
        <v>635</v>
      </c>
      <c r="AT348" s="369" t="s">
        <v>16</v>
      </c>
      <c r="AU348" s="370" t="s">
        <v>99</v>
      </c>
      <c r="AV348" s="371"/>
      <c r="AW348" s="386"/>
      <c r="AX348" s="360" t="s">
        <v>102</v>
      </c>
      <c r="AY348" s="361"/>
      <c r="AZ348" s="361"/>
      <c r="BA348" s="361"/>
      <c r="BB348" s="361"/>
      <c r="BC348" s="361"/>
      <c r="BD348" s="364"/>
      <c r="BE348" s="386"/>
      <c r="BF348" s="398" t="s">
        <v>103</v>
      </c>
      <c r="BG348" s="399"/>
      <c r="BH348" s="399"/>
      <c r="BI348" s="399"/>
      <c r="BJ348" s="399"/>
      <c r="BK348" s="399"/>
      <c r="BL348" s="399"/>
      <c r="BM348" s="399"/>
      <c r="BN348" s="399"/>
      <c r="BO348" s="399"/>
      <c r="BP348" s="399"/>
      <c r="BQ348" s="399"/>
      <c r="BR348" s="399"/>
      <c r="BS348" s="399"/>
      <c r="BT348" s="399"/>
      <c r="BU348" s="401"/>
    </row>
    <row r="349" ht="14.55" spans="45:73">
      <c r="AS349" s="352"/>
      <c r="AT349" s="373" t="s">
        <v>110</v>
      </c>
      <c r="AU349" s="374" t="s">
        <v>104</v>
      </c>
      <c r="AV349" s="375" t="s">
        <v>105</v>
      </c>
      <c r="AW349" s="387"/>
      <c r="AX349" s="16" t="s">
        <v>89</v>
      </c>
      <c r="AY349" s="18" t="s">
        <v>90</v>
      </c>
      <c r="AZ349" s="18" t="s">
        <v>91</v>
      </c>
      <c r="BA349" s="18" t="s">
        <v>20</v>
      </c>
      <c r="BB349" s="18" t="s">
        <v>92</v>
      </c>
      <c r="BC349" s="18" t="s">
        <v>93</v>
      </c>
      <c r="BD349" s="273" t="s">
        <v>111</v>
      </c>
      <c r="BE349" s="387"/>
      <c r="BF349" s="16">
        <v>2025</v>
      </c>
      <c r="BG349" s="16">
        <v>2024</v>
      </c>
      <c r="BH349" s="16">
        <v>2023</v>
      </c>
      <c r="BI349" s="18">
        <v>2022</v>
      </c>
      <c r="BJ349" s="18">
        <v>2021</v>
      </c>
      <c r="BK349" s="18">
        <v>2020</v>
      </c>
      <c r="BL349" s="18">
        <v>2019</v>
      </c>
      <c r="BM349" s="18">
        <v>2018</v>
      </c>
      <c r="BN349" s="18">
        <v>2017</v>
      </c>
      <c r="BO349" s="18">
        <v>2016</v>
      </c>
      <c r="BP349" s="18">
        <v>2015</v>
      </c>
      <c r="BQ349" s="18">
        <v>2014</v>
      </c>
      <c r="BR349" s="18">
        <v>2013</v>
      </c>
      <c r="BS349" s="18">
        <v>2012</v>
      </c>
      <c r="BT349" s="18">
        <v>2011</v>
      </c>
      <c r="BU349" s="273">
        <v>2010</v>
      </c>
    </row>
    <row r="350" spans="45:73">
      <c r="AS350" s="379" t="s">
        <v>636</v>
      </c>
      <c r="AT350" s="382">
        <v>0.35</v>
      </c>
      <c r="AU350" s="383">
        <v>45716</v>
      </c>
      <c r="AV350" s="382">
        <v>418.0656</v>
      </c>
      <c r="AW350" s="33"/>
      <c r="AX350" s="394">
        <v>0.007606</v>
      </c>
      <c r="AY350" s="394">
        <v>0.022233</v>
      </c>
      <c r="AZ350" s="394">
        <v>0.036742</v>
      </c>
      <c r="BA350" s="394">
        <v>0.084252</v>
      </c>
      <c r="BB350" s="394" t="s">
        <v>113</v>
      </c>
      <c r="BC350" s="394" t="s">
        <v>113</v>
      </c>
      <c r="BD350" s="394" t="s">
        <v>113</v>
      </c>
      <c r="BE350" s="34"/>
      <c r="BF350" s="394">
        <v>0.022233</v>
      </c>
      <c r="BG350" s="394">
        <v>0.0806951808434206</v>
      </c>
      <c r="BH350" s="394">
        <v>0.0769434187716084</v>
      </c>
      <c r="BI350" s="394">
        <v>0.0210100000000001</v>
      </c>
      <c r="BJ350" s="394" t="s">
        <v>113</v>
      </c>
      <c r="BK350" s="394" t="s">
        <v>113</v>
      </c>
      <c r="BL350" s="394" t="s">
        <v>113</v>
      </c>
      <c r="BM350" s="394" t="s">
        <v>113</v>
      </c>
      <c r="BN350" s="394" t="s">
        <v>113</v>
      </c>
      <c r="BO350" s="394" t="s">
        <v>113</v>
      </c>
      <c r="BP350" s="394" t="s">
        <v>113</v>
      </c>
      <c r="BQ350" s="394" t="s">
        <v>113</v>
      </c>
      <c r="BR350" s="394" t="s">
        <v>113</v>
      </c>
      <c r="BS350" s="394" t="s">
        <v>113</v>
      </c>
      <c r="BT350" s="394" t="s">
        <v>113</v>
      </c>
      <c r="BU350" s="394" t="s">
        <v>113</v>
      </c>
    </row>
    <row r="351" spans="45:73">
      <c r="AS351" s="379" t="s">
        <v>637</v>
      </c>
      <c r="AT351" s="382">
        <v>0.36</v>
      </c>
      <c r="AU351" s="383">
        <v>45716</v>
      </c>
      <c r="AV351" s="382">
        <v>287.2618</v>
      </c>
      <c r="AW351" s="33"/>
      <c r="AX351" s="394">
        <v>0.006605</v>
      </c>
      <c r="AY351" s="394">
        <v>0.018139</v>
      </c>
      <c r="AZ351" s="394">
        <v>0.033589</v>
      </c>
      <c r="BA351" s="394">
        <v>0.073419</v>
      </c>
      <c r="BB351" s="394" t="s">
        <v>113</v>
      </c>
      <c r="BC351" s="394" t="s">
        <v>113</v>
      </c>
      <c r="BD351" s="394" t="s">
        <v>113</v>
      </c>
      <c r="BE351" s="34"/>
      <c r="BF351" s="394">
        <v>0.018139</v>
      </c>
      <c r="BG351" s="394">
        <v>0.0728729003615725</v>
      </c>
      <c r="BH351" s="394">
        <v>0.0701900470219436</v>
      </c>
      <c r="BI351" s="394">
        <v>0.0208</v>
      </c>
      <c r="BJ351" s="394" t="s">
        <v>113</v>
      </c>
      <c r="BK351" s="394" t="s">
        <v>113</v>
      </c>
      <c r="BL351" s="394" t="s">
        <v>113</v>
      </c>
      <c r="BM351" s="394" t="s">
        <v>113</v>
      </c>
      <c r="BN351" s="394" t="s">
        <v>113</v>
      </c>
      <c r="BO351" s="394" t="s">
        <v>113</v>
      </c>
      <c r="BP351" s="394" t="s">
        <v>113</v>
      </c>
      <c r="BQ351" s="394" t="s">
        <v>113</v>
      </c>
      <c r="BR351" s="394" t="s">
        <v>113</v>
      </c>
      <c r="BS351" s="394" t="s">
        <v>113</v>
      </c>
      <c r="BT351" s="394" t="s">
        <v>113</v>
      </c>
      <c r="BU351" s="394" t="s">
        <v>113</v>
      </c>
    </row>
    <row r="352" spans="45:73">
      <c r="AS352" s="379" t="s">
        <v>638</v>
      </c>
      <c r="AT352" s="382">
        <v>0.79</v>
      </c>
      <c r="AU352" s="383">
        <v>45716</v>
      </c>
      <c r="AV352" s="382">
        <v>29.6412</v>
      </c>
      <c r="AW352" s="33"/>
      <c r="AX352" s="394">
        <v>0.007965</v>
      </c>
      <c r="AY352" s="394">
        <v>0.021562</v>
      </c>
      <c r="AZ352" s="394">
        <v>0.034698</v>
      </c>
      <c r="BA352" s="394">
        <v>0.078129</v>
      </c>
      <c r="BB352" s="394" t="s">
        <v>113</v>
      </c>
      <c r="BC352" s="394" t="s">
        <v>113</v>
      </c>
      <c r="BD352" s="394" t="s">
        <v>113</v>
      </c>
      <c r="BE352" s="34"/>
      <c r="BF352" s="394">
        <v>0.021562</v>
      </c>
      <c r="BG352" s="394">
        <v>0.073565765919359</v>
      </c>
      <c r="BH352" s="394">
        <v>0.05579</v>
      </c>
      <c r="BI352" s="394" t="s">
        <v>113</v>
      </c>
      <c r="BJ352" s="394" t="s">
        <v>113</v>
      </c>
      <c r="BK352" s="394" t="s">
        <v>113</v>
      </c>
      <c r="BL352" s="394" t="s">
        <v>113</v>
      </c>
      <c r="BM352" s="394" t="s">
        <v>113</v>
      </c>
      <c r="BN352" s="394" t="s">
        <v>113</v>
      </c>
      <c r="BO352" s="394" t="s">
        <v>113</v>
      </c>
      <c r="BP352" s="394" t="s">
        <v>113</v>
      </c>
      <c r="BQ352" s="394" t="s">
        <v>113</v>
      </c>
      <c r="BR352" s="394" t="s">
        <v>113</v>
      </c>
      <c r="BS352" s="394" t="s">
        <v>113</v>
      </c>
      <c r="BT352" s="394" t="s">
        <v>113</v>
      </c>
      <c r="BU352" s="394" t="s">
        <v>113</v>
      </c>
    </row>
    <row r="353" spans="45:73">
      <c r="AS353" s="379" t="s">
        <v>639</v>
      </c>
      <c r="AT353" s="382">
        <v>0.37</v>
      </c>
      <c r="AU353" s="383">
        <v>45716</v>
      </c>
      <c r="AV353" s="382">
        <v>701.8006</v>
      </c>
      <c r="AW353" s="33"/>
      <c r="AX353" s="394">
        <v>0.010821</v>
      </c>
      <c r="AY353" s="394">
        <v>0.024904</v>
      </c>
      <c r="AZ353" s="394">
        <v>0.038989</v>
      </c>
      <c r="BA353" s="394">
        <v>0.089349</v>
      </c>
      <c r="BB353" s="394" t="s">
        <v>113</v>
      </c>
      <c r="BC353" s="394" t="s">
        <v>113</v>
      </c>
      <c r="BD353" s="394" t="s">
        <v>113</v>
      </c>
      <c r="BE353" s="34"/>
      <c r="BF353" s="394">
        <v>0.024904</v>
      </c>
      <c r="BG353" s="394">
        <v>0.0842937586710313</v>
      </c>
      <c r="BH353" s="394">
        <v>0.0804024531222447</v>
      </c>
      <c r="BI353" s="394">
        <v>0.02074</v>
      </c>
      <c r="BJ353" s="394" t="s">
        <v>113</v>
      </c>
      <c r="BK353" s="394" t="s">
        <v>113</v>
      </c>
      <c r="BL353" s="394" t="s">
        <v>113</v>
      </c>
      <c r="BM353" s="394" t="s">
        <v>113</v>
      </c>
      <c r="BN353" s="394" t="s">
        <v>113</v>
      </c>
      <c r="BO353" s="394" t="s">
        <v>113</v>
      </c>
      <c r="BP353" s="394" t="s">
        <v>113</v>
      </c>
      <c r="BQ353" s="394" t="s">
        <v>113</v>
      </c>
      <c r="BR353" s="394" t="s">
        <v>113</v>
      </c>
      <c r="BS353" s="394" t="s">
        <v>113</v>
      </c>
      <c r="BT353" s="394" t="s">
        <v>113</v>
      </c>
      <c r="BU353" s="394" t="s">
        <v>113</v>
      </c>
    </row>
    <row r="354" spans="45:73">
      <c r="AS354" s="379" t="s">
        <v>640</v>
      </c>
      <c r="AT354" s="382">
        <v>0.47</v>
      </c>
      <c r="AU354" s="383">
        <v>45716</v>
      </c>
      <c r="AV354" s="382">
        <v>91.9695</v>
      </c>
      <c r="AW354" s="33"/>
      <c r="AX354" s="394">
        <v>0.015865</v>
      </c>
      <c r="AY354" s="394">
        <v>0.028429</v>
      </c>
      <c r="AZ354" s="394">
        <v>0.040162</v>
      </c>
      <c r="BA354" s="394">
        <v>0.096068</v>
      </c>
      <c r="BB354" s="394" t="s">
        <v>113</v>
      </c>
      <c r="BC354" s="394" t="s">
        <v>113</v>
      </c>
      <c r="BD354" s="394" t="s">
        <v>113</v>
      </c>
      <c r="BE354" s="34"/>
      <c r="BF354" s="394">
        <v>0.028429</v>
      </c>
      <c r="BG354" s="394">
        <v>0.0913616456668563</v>
      </c>
      <c r="BH354" s="394">
        <v>0.00238999999999994</v>
      </c>
      <c r="BI354" s="394" t="s">
        <v>113</v>
      </c>
      <c r="BJ354" s="394" t="s">
        <v>113</v>
      </c>
      <c r="BK354" s="394" t="s">
        <v>113</v>
      </c>
      <c r="BL354" s="394" t="s">
        <v>113</v>
      </c>
      <c r="BM354" s="394" t="s">
        <v>113</v>
      </c>
      <c r="BN354" s="394" t="s">
        <v>113</v>
      </c>
      <c r="BO354" s="394" t="s">
        <v>113</v>
      </c>
      <c r="BP354" s="394" t="s">
        <v>113</v>
      </c>
      <c r="BQ354" s="394" t="s">
        <v>113</v>
      </c>
      <c r="BR354" s="394" t="s">
        <v>113</v>
      </c>
      <c r="BS354" s="394" t="s">
        <v>113</v>
      </c>
      <c r="BT354" s="394" t="s">
        <v>113</v>
      </c>
      <c r="BU354" s="394" t="s">
        <v>113</v>
      </c>
    </row>
    <row r="355" spans="45:73">
      <c r="AS355" s="379" t="s">
        <v>641</v>
      </c>
      <c r="AT355" s="382">
        <v>0.56</v>
      </c>
      <c r="AU355" s="383">
        <v>45716</v>
      </c>
      <c r="AV355" s="382">
        <v>113.4838</v>
      </c>
      <c r="AW355" s="33"/>
      <c r="AX355" s="394">
        <v>0.007554</v>
      </c>
      <c r="AY355" s="394">
        <v>0.021657</v>
      </c>
      <c r="AZ355" s="394">
        <v>0.035859</v>
      </c>
      <c r="BA355" s="394" t="s">
        <v>113</v>
      </c>
      <c r="BB355" s="394" t="s">
        <v>113</v>
      </c>
      <c r="BC355" s="394" t="s">
        <v>113</v>
      </c>
      <c r="BD355" s="394" t="s">
        <v>113</v>
      </c>
      <c r="BE355" s="34"/>
      <c r="BF355" s="394">
        <v>0.021657</v>
      </c>
      <c r="BG355" s="394">
        <v>0.0444699999999999</v>
      </c>
      <c r="BH355" s="394" t="s">
        <v>113</v>
      </c>
      <c r="BI355" s="394" t="s">
        <v>113</v>
      </c>
      <c r="BJ355" s="394" t="s">
        <v>113</v>
      </c>
      <c r="BK355" s="394" t="s">
        <v>113</v>
      </c>
      <c r="BL355" s="394" t="s">
        <v>113</v>
      </c>
      <c r="BM355" s="394" t="s">
        <v>113</v>
      </c>
      <c r="BN355" s="394" t="s">
        <v>113</v>
      </c>
      <c r="BO355" s="394" t="s">
        <v>113</v>
      </c>
      <c r="BP355" s="394" t="s">
        <v>113</v>
      </c>
      <c r="BQ355" s="394" t="s">
        <v>113</v>
      </c>
      <c r="BR355" s="394" t="s">
        <v>113</v>
      </c>
      <c r="BS355" s="394" t="s">
        <v>113</v>
      </c>
      <c r="BT355" s="394" t="s">
        <v>113</v>
      </c>
      <c r="BU355" s="394" t="s">
        <v>113</v>
      </c>
    </row>
    <row r="356" spans="45:73">
      <c r="AS356" s="379" t="s">
        <v>642</v>
      </c>
      <c r="AT356" s="382">
        <v>0.57</v>
      </c>
      <c r="AU356" s="383">
        <v>45716</v>
      </c>
      <c r="AV356" s="382">
        <v>160.7189</v>
      </c>
      <c r="AW356" s="33"/>
      <c r="AX356" s="394">
        <v>0.014673</v>
      </c>
      <c r="AY356" s="394">
        <v>0.026155</v>
      </c>
      <c r="AZ356" s="394">
        <v>0.040491</v>
      </c>
      <c r="BA356" s="394">
        <v>0.092089</v>
      </c>
      <c r="BB356" s="394" t="s">
        <v>113</v>
      </c>
      <c r="BC356" s="394" t="s">
        <v>113</v>
      </c>
      <c r="BD356" s="394" t="s">
        <v>113</v>
      </c>
      <c r="BE356" s="34"/>
      <c r="BF356" s="394">
        <v>0.026155</v>
      </c>
      <c r="BG356" s="394">
        <v>0.0962962962962964</v>
      </c>
      <c r="BH356" s="394">
        <v>0.0664999999999999</v>
      </c>
      <c r="BI356" s="394" t="s">
        <v>113</v>
      </c>
      <c r="BJ356" s="394" t="s">
        <v>113</v>
      </c>
      <c r="BK356" s="394" t="s">
        <v>113</v>
      </c>
      <c r="BL356" s="394" t="s">
        <v>113</v>
      </c>
      <c r="BM356" s="394" t="s">
        <v>113</v>
      </c>
      <c r="BN356" s="394" t="s">
        <v>113</v>
      </c>
      <c r="BO356" s="394" t="s">
        <v>113</v>
      </c>
      <c r="BP356" s="394" t="s">
        <v>113</v>
      </c>
      <c r="BQ356" s="394" t="s">
        <v>113</v>
      </c>
      <c r="BR356" s="394" t="s">
        <v>113</v>
      </c>
      <c r="BS356" s="394" t="s">
        <v>113</v>
      </c>
      <c r="BT356" s="394" t="s">
        <v>113</v>
      </c>
      <c r="BU356" s="394" t="s">
        <v>113</v>
      </c>
    </row>
    <row r="357" spans="45:73">
      <c r="AS357" s="379" t="s">
        <v>643</v>
      </c>
      <c r="AT357" s="382">
        <v>1.14</v>
      </c>
      <c r="AU357" s="383">
        <v>45716</v>
      </c>
      <c r="AV357" s="382">
        <v>1992.3655</v>
      </c>
      <c r="AW357" s="33"/>
      <c r="AX357" s="394">
        <v>0.029244</v>
      </c>
      <c r="AY357" s="394">
        <v>0.028741</v>
      </c>
      <c r="AZ357" s="394">
        <v>0.033029</v>
      </c>
      <c r="BA357" s="394">
        <v>0.08731</v>
      </c>
      <c r="BB357" s="394">
        <v>0.066895</v>
      </c>
      <c r="BC357" s="394">
        <v>0.065424</v>
      </c>
      <c r="BD357" s="394">
        <v>0.07741</v>
      </c>
      <c r="BE357" s="34"/>
      <c r="BF357" s="394">
        <v>0.028741</v>
      </c>
      <c r="BG357" s="394">
        <v>0.0905354548136932</v>
      </c>
      <c r="BH357" s="394">
        <v>0.0707157110093452</v>
      </c>
      <c r="BI357" s="394">
        <v>0.017407112035636</v>
      </c>
      <c r="BJ357" s="394">
        <v>0.0355266669806729</v>
      </c>
      <c r="BK357" s="394">
        <v>0.120523132461446</v>
      </c>
      <c r="BL357" s="394">
        <v>0.109863225000244</v>
      </c>
      <c r="BM357" s="394">
        <v>0.068864549897946</v>
      </c>
      <c r="BN357" s="394">
        <v>0.0444997645745774</v>
      </c>
      <c r="BO357" s="394">
        <v>0.166628520276078</v>
      </c>
      <c r="BP357" s="394">
        <v>0.0568267943818233</v>
      </c>
      <c r="BQ357" s="394">
        <v>0.199381094366992</v>
      </c>
      <c r="BR357" s="394">
        <v>0.034952693595954</v>
      </c>
      <c r="BS357" s="394">
        <v>0.113514196239844</v>
      </c>
      <c r="BT357" s="394">
        <v>0.0981471207349509</v>
      </c>
      <c r="BU357" s="394">
        <v>0.025129326748159</v>
      </c>
    </row>
    <row r="358" spans="45:73">
      <c r="AS358" s="379" t="s">
        <v>644</v>
      </c>
      <c r="AT358" s="382">
        <v>0.5</v>
      </c>
      <c r="AU358" s="383">
        <v>45716</v>
      </c>
      <c r="AV358" s="382">
        <v>4165.4209</v>
      </c>
      <c r="AW358" s="33"/>
      <c r="AX358" s="394">
        <v>0.00676</v>
      </c>
      <c r="AY358" s="394">
        <v>0.02003</v>
      </c>
      <c r="AZ358" s="394">
        <v>0.03522</v>
      </c>
      <c r="BA358" s="394">
        <v>0.079498</v>
      </c>
      <c r="BB358" s="394">
        <v>0.059359</v>
      </c>
      <c r="BC358" s="394" t="s">
        <v>113</v>
      </c>
      <c r="BD358" s="394" t="s">
        <v>113</v>
      </c>
      <c r="BE358" s="34"/>
      <c r="BF358" s="394">
        <v>0.02003</v>
      </c>
      <c r="BG358" s="394">
        <v>0.0784722412674034</v>
      </c>
      <c r="BH358" s="394">
        <v>0.0676055513263454</v>
      </c>
      <c r="BI358" s="394">
        <v>0.02462</v>
      </c>
      <c r="BJ358" s="394" t="s">
        <v>113</v>
      </c>
      <c r="BK358" s="394" t="s">
        <v>113</v>
      </c>
      <c r="BL358" s="394" t="s">
        <v>113</v>
      </c>
      <c r="BM358" s="394" t="s">
        <v>113</v>
      </c>
      <c r="BN358" s="394" t="s">
        <v>113</v>
      </c>
      <c r="BO358" s="394" t="s">
        <v>113</v>
      </c>
      <c r="BP358" s="394" t="s">
        <v>113</v>
      </c>
      <c r="BQ358" s="394" t="s">
        <v>113</v>
      </c>
      <c r="BR358" s="394" t="s">
        <v>113</v>
      </c>
      <c r="BS358" s="394" t="s">
        <v>113</v>
      </c>
      <c r="BT358" s="394" t="s">
        <v>113</v>
      </c>
      <c r="BU358" s="394" t="s">
        <v>113</v>
      </c>
    </row>
    <row r="359" spans="45:73">
      <c r="AS359" s="379" t="s">
        <v>645</v>
      </c>
      <c r="AT359" s="382">
        <v>0.34</v>
      </c>
      <c r="AU359" s="383">
        <v>45716</v>
      </c>
      <c r="AV359" s="382">
        <v>61.0279</v>
      </c>
      <c r="AW359" s="33"/>
      <c r="AX359" s="394">
        <v>0.005254</v>
      </c>
      <c r="AY359" s="394">
        <v>0.016451</v>
      </c>
      <c r="AZ359" s="394">
        <v>0.031947</v>
      </c>
      <c r="BA359" s="394">
        <v>0.071705</v>
      </c>
      <c r="BB359" s="394" t="s">
        <v>113</v>
      </c>
      <c r="BC359" s="394" t="s">
        <v>113</v>
      </c>
      <c r="BD359" s="394" t="s">
        <v>113</v>
      </c>
      <c r="BE359" s="34"/>
      <c r="BF359" s="394">
        <v>0.016451</v>
      </c>
      <c r="BG359" s="394">
        <v>0.073984716858241</v>
      </c>
      <c r="BH359" s="394">
        <v>0.068768076866513</v>
      </c>
      <c r="BI359" s="394">
        <v>0.01995</v>
      </c>
      <c r="BJ359" s="394" t="s">
        <v>113</v>
      </c>
      <c r="BK359" s="394" t="s">
        <v>113</v>
      </c>
      <c r="BL359" s="394" t="s">
        <v>113</v>
      </c>
      <c r="BM359" s="394" t="s">
        <v>113</v>
      </c>
      <c r="BN359" s="394" t="s">
        <v>113</v>
      </c>
      <c r="BO359" s="394" t="s">
        <v>113</v>
      </c>
      <c r="BP359" s="394" t="s">
        <v>113</v>
      </c>
      <c r="BQ359" s="394" t="s">
        <v>113</v>
      </c>
      <c r="BR359" s="394" t="s">
        <v>113</v>
      </c>
      <c r="BS359" s="394" t="s">
        <v>113</v>
      </c>
      <c r="BT359" s="394" t="s">
        <v>113</v>
      </c>
      <c r="BU359" s="394" t="s">
        <v>113</v>
      </c>
    </row>
    <row r="360" spans="45:73">
      <c r="AS360" s="379" t="s">
        <v>646</v>
      </c>
      <c r="AT360" s="382">
        <v>0.5</v>
      </c>
      <c r="AU360" s="383">
        <v>45716</v>
      </c>
      <c r="AV360" s="382">
        <v>41.1007</v>
      </c>
      <c r="AW360" s="33"/>
      <c r="AX360" s="394">
        <v>0.006859</v>
      </c>
      <c r="AY360" s="394">
        <v>0.020446</v>
      </c>
      <c r="AZ360" s="394">
        <v>0.035007</v>
      </c>
      <c r="BA360" s="394">
        <v>0.082364</v>
      </c>
      <c r="BB360" s="394" t="s">
        <v>113</v>
      </c>
      <c r="BC360" s="394" t="s">
        <v>113</v>
      </c>
      <c r="BD360" s="394" t="s">
        <v>113</v>
      </c>
      <c r="BE360" s="34"/>
      <c r="BF360" s="394">
        <v>0.020446</v>
      </c>
      <c r="BG360" s="394">
        <v>0.0807029420890807</v>
      </c>
      <c r="BH360" s="394">
        <v>0.0635300000000001</v>
      </c>
      <c r="BI360" s="394" t="s">
        <v>113</v>
      </c>
      <c r="BJ360" s="394" t="s">
        <v>113</v>
      </c>
      <c r="BK360" s="394" t="s">
        <v>113</v>
      </c>
      <c r="BL360" s="394" t="s">
        <v>113</v>
      </c>
      <c r="BM360" s="394" t="s">
        <v>113</v>
      </c>
      <c r="BN360" s="394" t="s">
        <v>113</v>
      </c>
      <c r="BO360" s="394" t="s">
        <v>113</v>
      </c>
      <c r="BP360" s="394" t="s">
        <v>113</v>
      </c>
      <c r="BQ360" s="394" t="s">
        <v>113</v>
      </c>
      <c r="BR360" s="394" t="s">
        <v>113</v>
      </c>
      <c r="BS360" s="394" t="s">
        <v>113</v>
      </c>
      <c r="BT360" s="394" t="s">
        <v>113</v>
      </c>
      <c r="BU360" s="394" t="s">
        <v>113</v>
      </c>
    </row>
    <row r="361" spans="45:73">
      <c r="AS361" s="379" t="s">
        <v>647</v>
      </c>
      <c r="AT361" s="382">
        <v>0.37</v>
      </c>
      <c r="AU361" s="383">
        <v>45716</v>
      </c>
      <c r="AV361" s="382">
        <v>75.1042</v>
      </c>
      <c r="AW361" s="33"/>
      <c r="AX361" s="394">
        <v>0.007472</v>
      </c>
      <c r="AY361" s="394">
        <v>0.022257</v>
      </c>
      <c r="AZ361" s="394">
        <v>0.036515</v>
      </c>
      <c r="BA361" s="394">
        <v>0.084111</v>
      </c>
      <c r="BB361" s="394" t="s">
        <v>113</v>
      </c>
      <c r="BC361" s="394" t="s">
        <v>113</v>
      </c>
      <c r="BD361" s="394" t="s">
        <v>113</v>
      </c>
      <c r="BE361" s="34"/>
      <c r="BF361" s="394">
        <v>0.022257</v>
      </c>
      <c r="BG361" s="394">
        <v>0.0809747763477804</v>
      </c>
      <c r="BH361" s="394">
        <v>0.0652699999999999</v>
      </c>
      <c r="BI361" s="394" t="s">
        <v>113</v>
      </c>
      <c r="BJ361" s="394" t="s">
        <v>113</v>
      </c>
      <c r="BK361" s="394" t="s">
        <v>113</v>
      </c>
      <c r="BL361" s="394" t="s">
        <v>113</v>
      </c>
      <c r="BM361" s="394" t="s">
        <v>113</v>
      </c>
      <c r="BN361" s="394" t="s">
        <v>113</v>
      </c>
      <c r="BO361" s="394" t="s">
        <v>113</v>
      </c>
      <c r="BP361" s="394" t="s">
        <v>113</v>
      </c>
      <c r="BQ361" s="394" t="s">
        <v>113</v>
      </c>
      <c r="BR361" s="394" t="s">
        <v>113</v>
      </c>
      <c r="BS361" s="394" t="s">
        <v>113</v>
      </c>
      <c r="BT361" s="394" t="s">
        <v>113</v>
      </c>
      <c r="BU361" s="394" t="s">
        <v>113</v>
      </c>
    </row>
    <row r="362" spans="45:73">
      <c r="AS362" s="379" t="s">
        <v>648</v>
      </c>
      <c r="AT362" s="382">
        <v>0.4</v>
      </c>
      <c r="AU362" s="383">
        <v>45716</v>
      </c>
      <c r="AV362" s="382">
        <v>32.6013</v>
      </c>
      <c r="AW362" s="33"/>
      <c r="AX362" s="394">
        <v>0.007171</v>
      </c>
      <c r="AY362" s="394">
        <v>0.021133</v>
      </c>
      <c r="AZ362" s="394">
        <v>0.03546</v>
      </c>
      <c r="BA362" s="394">
        <v>0.081467</v>
      </c>
      <c r="BB362" s="394" t="s">
        <v>113</v>
      </c>
      <c r="BC362" s="394" t="s">
        <v>113</v>
      </c>
      <c r="BD362" s="394" t="s">
        <v>113</v>
      </c>
      <c r="BE362" s="34"/>
      <c r="BF362" s="394">
        <v>0.021133</v>
      </c>
      <c r="BG362" s="394">
        <v>0.0785862356836665</v>
      </c>
      <c r="BH362" s="394">
        <v>0.06609</v>
      </c>
      <c r="BI362" s="394" t="s">
        <v>113</v>
      </c>
      <c r="BJ362" s="394" t="s">
        <v>113</v>
      </c>
      <c r="BK362" s="394" t="s">
        <v>113</v>
      </c>
      <c r="BL362" s="394" t="s">
        <v>113</v>
      </c>
      <c r="BM362" s="394" t="s">
        <v>113</v>
      </c>
      <c r="BN362" s="394" t="s">
        <v>113</v>
      </c>
      <c r="BO362" s="394" t="s">
        <v>113</v>
      </c>
      <c r="BP362" s="394" t="s">
        <v>113</v>
      </c>
      <c r="BQ362" s="394" t="s">
        <v>113</v>
      </c>
      <c r="BR362" s="394" t="s">
        <v>113</v>
      </c>
      <c r="BS362" s="394" t="s">
        <v>113</v>
      </c>
      <c r="BT362" s="394" t="s">
        <v>113</v>
      </c>
      <c r="BU362" s="394" t="s">
        <v>113</v>
      </c>
    </row>
    <row r="363" spans="45:73">
      <c r="AS363" s="379" t="s">
        <v>649</v>
      </c>
      <c r="AT363" s="382">
        <v>0.45</v>
      </c>
      <c r="AU363" s="383">
        <v>45716</v>
      </c>
      <c r="AV363" s="382">
        <v>15.4173</v>
      </c>
      <c r="AW363" s="33"/>
      <c r="AX363" s="394">
        <v>0.018354</v>
      </c>
      <c r="AY363" s="394">
        <v>0.026389</v>
      </c>
      <c r="AZ363" s="394">
        <v>0.040736</v>
      </c>
      <c r="BA363" s="394">
        <v>0.096069</v>
      </c>
      <c r="BB363" s="394" t="s">
        <v>113</v>
      </c>
      <c r="BC363" s="394" t="s">
        <v>113</v>
      </c>
      <c r="BD363" s="394" t="s">
        <v>113</v>
      </c>
      <c r="BE363" s="34"/>
      <c r="BF363" s="394">
        <v>0.026389</v>
      </c>
      <c r="BG363" s="394">
        <v>0.07357</v>
      </c>
      <c r="BH363" s="394" t="s">
        <v>113</v>
      </c>
      <c r="BI363" s="394" t="s">
        <v>113</v>
      </c>
      <c r="BJ363" s="394" t="s">
        <v>113</v>
      </c>
      <c r="BK363" s="394" t="s">
        <v>113</v>
      </c>
      <c r="BL363" s="394" t="s">
        <v>113</v>
      </c>
      <c r="BM363" s="394" t="s">
        <v>113</v>
      </c>
      <c r="BN363" s="394" t="s">
        <v>113</v>
      </c>
      <c r="BO363" s="394" t="s">
        <v>113</v>
      </c>
      <c r="BP363" s="394" t="s">
        <v>113</v>
      </c>
      <c r="BQ363" s="394" t="s">
        <v>113</v>
      </c>
      <c r="BR363" s="394" t="s">
        <v>113</v>
      </c>
      <c r="BS363" s="394" t="s">
        <v>113</v>
      </c>
      <c r="BT363" s="394" t="s">
        <v>113</v>
      </c>
      <c r="BU363" s="394" t="s">
        <v>113</v>
      </c>
    </row>
    <row r="364" spans="45:73">
      <c r="AS364" s="379" t="s">
        <v>650</v>
      </c>
      <c r="AT364" s="382">
        <v>0.29</v>
      </c>
      <c r="AU364" s="383">
        <v>45716</v>
      </c>
      <c r="AV364" s="382">
        <v>2245.7537</v>
      </c>
      <c r="AW364" s="33"/>
      <c r="AX364" s="394">
        <v>0.006752</v>
      </c>
      <c r="AY364" s="394">
        <v>0.020636</v>
      </c>
      <c r="AZ364" s="394">
        <v>0.036396</v>
      </c>
      <c r="BA364" s="394">
        <v>0.083601</v>
      </c>
      <c r="BB364" s="394">
        <v>0.061564</v>
      </c>
      <c r="BC364" s="394" t="s">
        <v>113</v>
      </c>
      <c r="BD364" s="394" t="s">
        <v>113</v>
      </c>
      <c r="BE364" s="34"/>
      <c r="BF364" s="394">
        <v>0.020636</v>
      </c>
      <c r="BG364" s="394">
        <v>0.0822494049925279</v>
      </c>
      <c r="BH364" s="394">
        <v>0.0697706548770377</v>
      </c>
      <c r="BI364" s="394">
        <v>0.01332</v>
      </c>
      <c r="BJ364" s="394" t="s">
        <v>113</v>
      </c>
      <c r="BK364" s="394" t="s">
        <v>113</v>
      </c>
      <c r="BL364" s="394" t="s">
        <v>113</v>
      </c>
      <c r="BM364" s="394" t="s">
        <v>113</v>
      </c>
      <c r="BN364" s="394" t="s">
        <v>113</v>
      </c>
      <c r="BO364" s="394" t="s">
        <v>113</v>
      </c>
      <c r="BP364" s="394" t="s">
        <v>113</v>
      </c>
      <c r="BQ364" s="394" t="s">
        <v>113</v>
      </c>
      <c r="BR364" s="394" t="s">
        <v>113</v>
      </c>
      <c r="BS364" s="394" t="s">
        <v>113</v>
      </c>
      <c r="BT364" s="394" t="s">
        <v>113</v>
      </c>
      <c r="BU364" s="394" t="s">
        <v>113</v>
      </c>
    </row>
    <row r="365" spans="45:73">
      <c r="AS365" s="379" t="s">
        <v>651</v>
      </c>
      <c r="AT365" s="382">
        <v>0.8</v>
      </c>
      <c r="AU365" s="383">
        <v>45716</v>
      </c>
      <c r="AV365" s="382">
        <v>912.0902</v>
      </c>
      <c r="AW365" s="33"/>
      <c r="AX365" s="394">
        <v>0.026546</v>
      </c>
      <c r="AY365" s="394">
        <v>0.029205</v>
      </c>
      <c r="AZ365" s="394">
        <v>0.037003</v>
      </c>
      <c r="BA365" s="394">
        <v>0.097299</v>
      </c>
      <c r="BB365" s="394">
        <v>0.073248</v>
      </c>
      <c r="BC365" s="394">
        <v>0.067127</v>
      </c>
      <c r="BD365" s="394">
        <v>0.072983</v>
      </c>
      <c r="BE365" s="34"/>
      <c r="BF365" s="394">
        <v>0.029205</v>
      </c>
      <c r="BG365" s="394">
        <v>0.0998544004659185</v>
      </c>
      <c r="BH365" s="394">
        <v>0.0706114833591536</v>
      </c>
      <c r="BI365" s="394">
        <v>0.0237407811134352</v>
      </c>
      <c r="BJ365" s="394">
        <v>0.0237156931738213</v>
      </c>
      <c r="BK365" s="394">
        <v>0.131170005287967</v>
      </c>
      <c r="BL365" s="394">
        <v>0.119897861718521</v>
      </c>
      <c r="BM365" s="394">
        <v>0.0527226046910717</v>
      </c>
      <c r="BN365" s="394">
        <v>0.0142506510018289</v>
      </c>
      <c r="BO365" s="394">
        <v>0.137429433145155</v>
      </c>
      <c r="BP365" s="394">
        <v>0.0633346490362475</v>
      </c>
      <c r="BQ365" s="394">
        <v>0.149707392245658</v>
      </c>
      <c r="BR365" s="394">
        <v>-0.00599562075349358</v>
      </c>
      <c r="BS365" s="394">
        <v>0.06411</v>
      </c>
      <c r="BT365" s="394" t="s">
        <v>113</v>
      </c>
      <c r="BU365" s="394" t="s">
        <v>113</v>
      </c>
    </row>
    <row r="366" spans="45:73">
      <c r="AS366" s="379" t="s">
        <v>652</v>
      </c>
      <c r="AT366" s="382">
        <v>0.32</v>
      </c>
      <c r="AU366" s="383">
        <v>45716</v>
      </c>
      <c r="AV366" s="382">
        <v>75.7392</v>
      </c>
      <c r="AW366" s="33"/>
      <c r="AX366" s="394">
        <v>0.007288</v>
      </c>
      <c r="AY366" s="394">
        <v>0.020498</v>
      </c>
      <c r="AZ366" s="394">
        <v>0.036164</v>
      </c>
      <c r="BA366" s="394">
        <v>0.08029</v>
      </c>
      <c r="BB366" s="394" t="s">
        <v>113</v>
      </c>
      <c r="BC366" s="394" t="s">
        <v>113</v>
      </c>
      <c r="BD366" s="394" t="s">
        <v>113</v>
      </c>
      <c r="BE366" s="34"/>
      <c r="BF366" s="394">
        <v>0.020498</v>
      </c>
      <c r="BG366" s="394">
        <v>0.0795778638648124</v>
      </c>
      <c r="BH366" s="394">
        <v>0.0683320431132021</v>
      </c>
      <c r="BI366" s="394">
        <v>0.00757999999999992</v>
      </c>
      <c r="BJ366" s="394" t="s">
        <v>113</v>
      </c>
      <c r="BK366" s="394" t="s">
        <v>113</v>
      </c>
      <c r="BL366" s="394" t="s">
        <v>113</v>
      </c>
      <c r="BM366" s="394" t="s">
        <v>113</v>
      </c>
      <c r="BN366" s="394" t="s">
        <v>113</v>
      </c>
      <c r="BO366" s="394" t="s">
        <v>113</v>
      </c>
      <c r="BP366" s="394" t="s">
        <v>113</v>
      </c>
      <c r="BQ366" s="394" t="s">
        <v>113</v>
      </c>
      <c r="BR366" s="394" t="s">
        <v>113</v>
      </c>
      <c r="BS366" s="394" t="s">
        <v>113</v>
      </c>
      <c r="BT366" s="394" t="s">
        <v>113</v>
      </c>
      <c r="BU366" s="394" t="s">
        <v>113</v>
      </c>
    </row>
    <row r="367" spans="45:73">
      <c r="AS367" s="379" t="s">
        <v>653</v>
      </c>
      <c r="AT367" s="382">
        <v>1.04</v>
      </c>
      <c r="AU367" s="383">
        <v>45716</v>
      </c>
      <c r="AV367" s="382">
        <v>46.3915</v>
      </c>
      <c r="AW367" s="33"/>
      <c r="AX367" s="394">
        <v>0.028162</v>
      </c>
      <c r="AY367" s="394" t="s">
        <v>113</v>
      </c>
      <c r="AZ367" s="394" t="s">
        <v>113</v>
      </c>
      <c r="BA367" s="394" t="s">
        <v>113</v>
      </c>
      <c r="BB367" s="394" t="s">
        <v>113</v>
      </c>
      <c r="BC367" s="394" t="s">
        <v>113</v>
      </c>
      <c r="BD367" s="394" t="s">
        <v>113</v>
      </c>
      <c r="BE367" s="34"/>
      <c r="BF367" s="394" t="s">
        <v>113</v>
      </c>
      <c r="BG367" s="394" t="s">
        <v>113</v>
      </c>
      <c r="BH367" s="394" t="s">
        <v>113</v>
      </c>
      <c r="BI367" s="394" t="s">
        <v>113</v>
      </c>
      <c r="BJ367" s="394" t="s">
        <v>113</v>
      </c>
      <c r="BK367" s="394" t="s">
        <v>113</v>
      </c>
      <c r="BL367" s="394" t="s">
        <v>113</v>
      </c>
      <c r="BM367" s="394" t="s">
        <v>113</v>
      </c>
      <c r="BN367" s="394" t="s">
        <v>113</v>
      </c>
      <c r="BO367" s="394" t="s">
        <v>113</v>
      </c>
      <c r="BP367" s="394" t="s">
        <v>113</v>
      </c>
      <c r="BQ367" s="394" t="s">
        <v>113</v>
      </c>
      <c r="BR367" s="394" t="s">
        <v>113</v>
      </c>
      <c r="BS367" s="394" t="s">
        <v>113</v>
      </c>
      <c r="BT367" s="394" t="s">
        <v>113</v>
      </c>
      <c r="BU367" s="394" t="s">
        <v>113</v>
      </c>
    </row>
    <row r="368" spans="45:73">
      <c r="AS368" s="379" t="s">
        <v>654</v>
      </c>
      <c r="AT368" s="382">
        <v>0.26</v>
      </c>
      <c r="AU368" s="383">
        <v>45716</v>
      </c>
      <c r="AV368" s="382">
        <v>553.1989</v>
      </c>
      <c r="AW368" s="33"/>
      <c r="AX368" s="394">
        <v>0.014243</v>
      </c>
      <c r="AY368" s="394">
        <v>0.0264</v>
      </c>
      <c r="AZ368" s="394">
        <v>0.04158</v>
      </c>
      <c r="BA368" s="394">
        <v>0.09478</v>
      </c>
      <c r="BB368" s="394" t="s">
        <v>113</v>
      </c>
      <c r="BC368" s="394" t="s">
        <v>113</v>
      </c>
      <c r="BD368" s="394" t="s">
        <v>113</v>
      </c>
      <c r="BE368" s="34"/>
      <c r="BF368" s="394">
        <v>0.0264</v>
      </c>
      <c r="BG368" s="394">
        <v>0.0990309969799714</v>
      </c>
      <c r="BH368" s="394">
        <v>0.0734059902151864</v>
      </c>
      <c r="BI368" s="394">
        <v>0.00564</v>
      </c>
      <c r="BJ368" s="394" t="s">
        <v>113</v>
      </c>
      <c r="BK368" s="394" t="s">
        <v>113</v>
      </c>
      <c r="BL368" s="394" t="s">
        <v>113</v>
      </c>
      <c r="BM368" s="394" t="s">
        <v>113</v>
      </c>
      <c r="BN368" s="394" t="s">
        <v>113</v>
      </c>
      <c r="BO368" s="394" t="s">
        <v>113</v>
      </c>
      <c r="BP368" s="394" t="s">
        <v>113</v>
      </c>
      <c r="BQ368" s="394" t="s">
        <v>113</v>
      </c>
      <c r="BR368" s="394" t="s">
        <v>113</v>
      </c>
      <c r="BS368" s="394" t="s">
        <v>113</v>
      </c>
      <c r="BT368" s="394" t="s">
        <v>113</v>
      </c>
      <c r="BU368" s="394" t="s">
        <v>113</v>
      </c>
    </row>
    <row r="369" spans="45:73">
      <c r="AS369" s="379" t="s">
        <v>655</v>
      </c>
      <c r="AT369" s="382">
        <v>0.33</v>
      </c>
      <c r="AU369" s="383">
        <v>45716</v>
      </c>
      <c r="AV369" s="382">
        <v>114.9507</v>
      </c>
      <c r="AW369" s="33"/>
      <c r="AX369" s="394">
        <v>0.007081</v>
      </c>
      <c r="AY369" s="394">
        <v>0.020413</v>
      </c>
      <c r="AZ369" s="394">
        <v>0.035839</v>
      </c>
      <c r="BA369" s="394">
        <v>0.079422</v>
      </c>
      <c r="BB369" s="394" t="s">
        <v>113</v>
      </c>
      <c r="BC369" s="394" t="s">
        <v>113</v>
      </c>
      <c r="BD369" s="394" t="s">
        <v>113</v>
      </c>
      <c r="BE369" s="34"/>
      <c r="BF369" s="394">
        <v>0.020413</v>
      </c>
      <c r="BG369" s="394">
        <v>0.0781424114107421</v>
      </c>
      <c r="BH369" s="394">
        <v>0.0684817335741076</v>
      </c>
      <c r="BI369" s="394">
        <v>0.00785999999999998</v>
      </c>
      <c r="BJ369" s="394" t="s">
        <v>113</v>
      </c>
      <c r="BK369" s="394" t="s">
        <v>113</v>
      </c>
      <c r="BL369" s="394" t="s">
        <v>113</v>
      </c>
      <c r="BM369" s="394" t="s">
        <v>113</v>
      </c>
      <c r="BN369" s="394" t="s">
        <v>113</v>
      </c>
      <c r="BO369" s="394" t="s">
        <v>113</v>
      </c>
      <c r="BP369" s="394" t="s">
        <v>113</v>
      </c>
      <c r="BQ369" s="394" t="s">
        <v>113</v>
      </c>
      <c r="BR369" s="394" t="s">
        <v>113</v>
      </c>
      <c r="BS369" s="394" t="s">
        <v>113</v>
      </c>
      <c r="BT369" s="394" t="s">
        <v>113</v>
      </c>
      <c r="BU369" s="394" t="s">
        <v>113</v>
      </c>
    </row>
    <row r="370" spans="45:73">
      <c r="AS370" s="379" t="s">
        <v>656</v>
      </c>
      <c r="AT370" s="382">
        <v>0.33</v>
      </c>
      <c r="AU370" s="383">
        <v>45716</v>
      </c>
      <c r="AV370" s="382">
        <v>152.2143</v>
      </c>
      <c r="AW370" s="33"/>
      <c r="AX370" s="394">
        <v>0.006489</v>
      </c>
      <c r="AY370" s="394">
        <v>0.021039</v>
      </c>
      <c r="AZ370" s="394">
        <v>0.035256</v>
      </c>
      <c r="BA370" s="394">
        <v>0.082821</v>
      </c>
      <c r="BB370" s="394" t="s">
        <v>113</v>
      </c>
      <c r="BC370" s="394" t="s">
        <v>113</v>
      </c>
      <c r="BD370" s="394" t="s">
        <v>113</v>
      </c>
      <c r="BE370" s="34"/>
      <c r="BF370" s="394">
        <v>0.021039</v>
      </c>
      <c r="BG370" s="394">
        <v>0.0805412131793024</v>
      </c>
      <c r="BH370" s="394">
        <v>0.0713866419922593</v>
      </c>
      <c r="BI370" s="394">
        <v>0.00509000000000004</v>
      </c>
      <c r="BJ370" s="394" t="s">
        <v>113</v>
      </c>
      <c r="BK370" s="394" t="s">
        <v>113</v>
      </c>
      <c r="BL370" s="394" t="s">
        <v>113</v>
      </c>
      <c r="BM370" s="394" t="s">
        <v>113</v>
      </c>
      <c r="BN370" s="394" t="s">
        <v>113</v>
      </c>
      <c r="BO370" s="394" t="s">
        <v>113</v>
      </c>
      <c r="BP370" s="394" t="s">
        <v>113</v>
      </c>
      <c r="BQ370" s="394" t="s">
        <v>113</v>
      </c>
      <c r="BR370" s="394" t="s">
        <v>113</v>
      </c>
      <c r="BS370" s="394" t="s">
        <v>113</v>
      </c>
      <c r="BT370" s="394" t="s">
        <v>113</v>
      </c>
      <c r="BU370" s="394" t="s">
        <v>113</v>
      </c>
    </row>
    <row r="371" spans="45:73">
      <c r="AS371" s="379" t="s">
        <v>657</v>
      </c>
      <c r="AT371" s="382">
        <v>0.41</v>
      </c>
      <c r="AU371" s="383">
        <v>45716</v>
      </c>
      <c r="AV371" s="382">
        <v>443.0663</v>
      </c>
      <c r="AW371" s="33"/>
      <c r="AX371" s="394">
        <v>0.006594</v>
      </c>
      <c r="AY371" s="394">
        <v>0.017976</v>
      </c>
      <c r="AZ371" s="394">
        <v>0.03316</v>
      </c>
      <c r="BA371" s="394">
        <v>0.072643</v>
      </c>
      <c r="BB371" s="394" t="s">
        <v>113</v>
      </c>
      <c r="BC371" s="394" t="s">
        <v>113</v>
      </c>
      <c r="BD371" s="394" t="s">
        <v>113</v>
      </c>
      <c r="BE371" s="34"/>
      <c r="BF371" s="394">
        <v>0.017976</v>
      </c>
      <c r="BG371" s="394">
        <v>0.071631687091803</v>
      </c>
      <c r="BH371" s="394">
        <v>0.0701062096315056</v>
      </c>
      <c r="BI371" s="394">
        <v>0.01874</v>
      </c>
      <c r="BJ371" s="394" t="s">
        <v>113</v>
      </c>
      <c r="BK371" s="394" t="s">
        <v>113</v>
      </c>
      <c r="BL371" s="394" t="s">
        <v>113</v>
      </c>
      <c r="BM371" s="394" t="s">
        <v>113</v>
      </c>
      <c r="BN371" s="394" t="s">
        <v>113</v>
      </c>
      <c r="BO371" s="394" t="s">
        <v>113</v>
      </c>
      <c r="BP371" s="394" t="s">
        <v>113</v>
      </c>
      <c r="BQ371" s="394" t="s">
        <v>113</v>
      </c>
      <c r="BR371" s="394" t="s">
        <v>113</v>
      </c>
      <c r="BS371" s="394" t="s">
        <v>113</v>
      </c>
      <c r="BT371" s="394" t="s">
        <v>113</v>
      </c>
      <c r="BU371" s="394" t="s">
        <v>113</v>
      </c>
    </row>
    <row r="372" spans="45:73">
      <c r="AS372" s="379" t="s">
        <v>658</v>
      </c>
      <c r="AT372" s="382">
        <v>0.44</v>
      </c>
      <c r="AU372" s="383">
        <v>45716</v>
      </c>
      <c r="AV372" s="382">
        <v>4701.8956</v>
      </c>
      <c r="AW372" s="33"/>
      <c r="AX372" s="394">
        <v>0.00802</v>
      </c>
      <c r="AY372" s="394">
        <v>0.022298</v>
      </c>
      <c r="AZ372" s="394">
        <v>0.03634</v>
      </c>
      <c r="BA372" s="394">
        <v>0.081964</v>
      </c>
      <c r="BB372" s="394">
        <v>0.063634</v>
      </c>
      <c r="BC372" s="394" t="s">
        <v>113</v>
      </c>
      <c r="BD372" s="394" t="s">
        <v>113</v>
      </c>
      <c r="BE372" s="34"/>
      <c r="BF372" s="394">
        <v>0.022298</v>
      </c>
      <c r="BG372" s="394">
        <v>0.077561047853851</v>
      </c>
      <c r="BH372" s="394">
        <v>0.0749154859673931</v>
      </c>
      <c r="BI372" s="394">
        <v>0.0199428838861879</v>
      </c>
      <c r="BJ372" s="394">
        <v>0.0469900000000001</v>
      </c>
      <c r="BK372" s="394" t="s">
        <v>113</v>
      </c>
      <c r="BL372" s="394" t="s">
        <v>113</v>
      </c>
      <c r="BM372" s="394" t="s">
        <v>113</v>
      </c>
      <c r="BN372" s="394" t="s">
        <v>113</v>
      </c>
      <c r="BO372" s="394" t="s">
        <v>113</v>
      </c>
      <c r="BP372" s="394" t="s">
        <v>113</v>
      </c>
      <c r="BQ372" s="394" t="s">
        <v>113</v>
      </c>
      <c r="BR372" s="394" t="s">
        <v>113</v>
      </c>
      <c r="BS372" s="394" t="s">
        <v>113</v>
      </c>
      <c r="BT372" s="394" t="s">
        <v>113</v>
      </c>
      <c r="BU372" s="394" t="s">
        <v>113</v>
      </c>
    </row>
    <row r="373" spans="45:73">
      <c r="AS373" s="379" t="s">
        <v>659</v>
      </c>
      <c r="AT373" s="382">
        <v>0.46</v>
      </c>
      <c r="AU373" s="383">
        <v>45716</v>
      </c>
      <c r="AV373" s="382">
        <v>440.6211</v>
      </c>
      <c r="AW373" s="33"/>
      <c r="AX373" s="394">
        <v>0.016342</v>
      </c>
      <c r="AY373" s="394">
        <v>0.030148</v>
      </c>
      <c r="AZ373" s="394">
        <v>0.041452</v>
      </c>
      <c r="BA373" s="394">
        <v>0.097618</v>
      </c>
      <c r="BB373" s="394" t="s">
        <v>113</v>
      </c>
      <c r="BC373" s="394" t="s">
        <v>113</v>
      </c>
      <c r="BD373" s="394" t="s">
        <v>113</v>
      </c>
      <c r="BE373" s="34"/>
      <c r="BF373" s="394">
        <v>0.030148</v>
      </c>
      <c r="BG373" s="394">
        <v>0.090998234948029</v>
      </c>
      <c r="BH373" s="394">
        <v>0.0707900000000001</v>
      </c>
      <c r="BI373" s="394" t="s">
        <v>113</v>
      </c>
      <c r="BJ373" s="394" t="s">
        <v>113</v>
      </c>
      <c r="BK373" s="394" t="s">
        <v>113</v>
      </c>
      <c r="BL373" s="394" t="s">
        <v>113</v>
      </c>
      <c r="BM373" s="394" t="s">
        <v>113</v>
      </c>
      <c r="BN373" s="394" t="s">
        <v>113</v>
      </c>
      <c r="BO373" s="394" t="s">
        <v>113</v>
      </c>
      <c r="BP373" s="394" t="s">
        <v>113</v>
      </c>
      <c r="BQ373" s="394" t="s">
        <v>113</v>
      </c>
      <c r="BR373" s="394" t="s">
        <v>113</v>
      </c>
      <c r="BS373" s="394" t="s">
        <v>113</v>
      </c>
      <c r="BT373" s="394" t="s">
        <v>113</v>
      </c>
      <c r="BU373" s="394" t="s">
        <v>113</v>
      </c>
    </row>
    <row r="374" spans="45:73">
      <c r="AS374" s="379" t="s">
        <v>660</v>
      </c>
      <c r="AT374" s="382">
        <v>0.44</v>
      </c>
      <c r="AU374" s="383">
        <v>45716</v>
      </c>
      <c r="AV374" s="382">
        <v>6967.4044</v>
      </c>
      <c r="AW374" s="33"/>
      <c r="AX374" s="394">
        <v>0.007733</v>
      </c>
      <c r="AY374" s="394">
        <v>0.021196</v>
      </c>
      <c r="AZ374" s="394">
        <v>0.035738</v>
      </c>
      <c r="BA374" s="394">
        <v>0.079594</v>
      </c>
      <c r="BB374" s="394">
        <v>0.060638</v>
      </c>
      <c r="BC374" s="394" t="s">
        <v>113</v>
      </c>
      <c r="BD374" s="394" t="s">
        <v>113</v>
      </c>
      <c r="BE374" s="34"/>
      <c r="BF374" s="394">
        <v>0.021196</v>
      </c>
      <c r="BG374" s="394">
        <v>0.0758350151582663</v>
      </c>
      <c r="BH374" s="394">
        <v>0.073321455363841</v>
      </c>
      <c r="BI374" s="394">
        <v>0.0179652150671071</v>
      </c>
      <c r="BJ374" s="394">
        <v>0.04758</v>
      </c>
      <c r="BK374" s="394" t="s">
        <v>113</v>
      </c>
      <c r="BL374" s="394" t="s">
        <v>113</v>
      </c>
      <c r="BM374" s="394" t="s">
        <v>113</v>
      </c>
      <c r="BN374" s="394" t="s">
        <v>113</v>
      </c>
      <c r="BO374" s="394" t="s">
        <v>113</v>
      </c>
      <c r="BP374" s="394" t="s">
        <v>113</v>
      </c>
      <c r="BQ374" s="394" t="s">
        <v>113</v>
      </c>
      <c r="BR374" s="394" t="s">
        <v>113</v>
      </c>
      <c r="BS374" s="394" t="s">
        <v>113</v>
      </c>
      <c r="BT374" s="394" t="s">
        <v>113</v>
      </c>
      <c r="BU374" s="394" t="s">
        <v>113</v>
      </c>
    </row>
    <row r="375" spans="45:73">
      <c r="AS375" s="379" t="s">
        <v>661</v>
      </c>
      <c r="AT375" s="382">
        <v>1.14</v>
      </c>
      <c r="AU375" s="383">
        <v>45716</v>
      </c>
      <c r="AV375" s="382">
        <v>3549.7412</v>
      </c>
      <c r="AW375" s="33"/>
      <c r="AX375" s="394">
        <v>0.030708</v>
      </c>
      <c r="AY375" s="394">
        <v>0.027706</v>
      </c>
      <c r="AZ375" s="394">
        <v>0.026972</v>
      </c>
      <c r="BA375" s="394">
        <v>0.087417</v>
      </c>
      <c r="BB375" s="394">
        <v>0.067821</v>
      </c>
      <c r="BC375" s="394">
        <v>0.064924</v>
      </c>
      <c r="BD375" s="394">
        <v>0.077058</v>
      </c>
      <c r="BE375" s="34"/>
      <c r="BF375" s="394">
        <v>0.027706</v>
      </c>
      <c r="BG375" s="394">
        <v>0.106016514142016</v>
      </c>
      <c r="BH375" s="394">
        <v>0.0675135262291225</v>
      </c>
      <c r="BI375" s="394">
        <v>0.0135020002314028</v>
      </c>
      <c r="BJ375" s="394">
        <v>0.0205347111400539</v>
      </c>
      <c r="BK375" s="394">
        <v>0.136833456042369</v>
      </c>
      <c r="BL375" s="394">
        <v>0.132559371616797</v>
      </c>
      <c r="BM375" s="394">
        <v>0.0779357504307968</v>
      </c>
      <c r="BN375" s="394">
        <v>0.0312069521756275</v>
      </c>
      <c r="BO375" s="394">
        <v>0.138847255188985</v>
      </c>
      <c r="BP375" s="394">
        <v>0.0599096286864015</v>
      </c>
      <c r="BQ375" s="394">
        <v>0.164608994248116</v>
      </c>
      <c r="BR375" s="394">
        <v>0.0634986257531562</v>
      </c>
      <c r="BS375" s="394">
        <v>0.129719163805257</v>
      </c>
      <c r="BT375" s="394">
        <v>0.0988936833501245</v>
      </c>
      <c r="BU375" s="394">
        <v>0.0397154009585453</v>
      </c>
    </row>
    <row r="376" spans="45:73">
      <c r="AS376" s="379" t="s">
        <v>662</v>
      </c>
      <c r="AT376" s="382">
        <v>0.45</v>
      </c>
      <c r="AU376" s="383">
        <v>45716</v>
      </c>
      <c r="AV376" s="382">
        <v>1762.0722</v>
      </c>
      <c r="AW376" s="33"/>
      <c r="AX376" s="394">
        <v>0.018633</v>
      </c>
      <c r="AY376" s="394">
        <v>0.028672</v>
      </c>
      <c r="AZ376" s="394">
        <v>0.041501</v>
      </c>
      <c r="BA376" s="394">
        <v>0.096083</v>
      </c>
      <c r="BB376" s="394">
        <v>0.071367</v>
      </c>
      <c r="BC376" s="394">
        <v>0.059239</v>
      </c>
      <c r="BD376" s="394">
        <v>0.066082</v>
      </c>
      <c r="BE376" s="34"/>
      <c r="BF376" s="394">
        <v>0.028672</v>
      </c>
      <c r="BG376" s="394">
        <v>0.0955713337079225</v>
      </c>
      <c r="BH376" s="394">
        <v>0.0730372571362635</v>
      </c>
      <c r="BI376" s="394">
        <v>0.0154197216599634</v>
      </c>
      <c r="BJ376" s="394">
        <v>0.0179629469490723</v>
      </c>
      <c r="BK376" s="394">
        <v>0.0996140692576817</v>
      </c>
      <c r="BL376" s="394">
        <v>0.0893241751765373</v>
      </c>
      <c r="BM376" s="394">
        <v>0.0604083024013332</v>
      </c>
      <c r="BN376" s="394">
        <v>0.0171750872623883</v>
      </c>
      <c r="BO376" s="394">
        <v>0.134057733562275</v>
      </c>
      <c r="BP376" s="394">
        <v>0.0648754274548118</v>
      </c>
      <c r="BQ376" s="394">
        <v>0.150818934822533</v>
      </c>
      <c r="BR376" s="394">
        <v>0.0413200562010749</v>
      </c>
      <c r="BS376" s="394">
        <v>0.109210436804641</v>
      </c>
      <c r="BT376" s="394">
        <v>0.120739965483064</v>
      </c>
      <c r="BU376" s="394">
        <v>0.18122349396604</v>
      </c>
    </row>
    <row r="377" spans="45:73">
      <c r="AS377" s="379" t="s">
        <v>663</v>
      </c>
      <c r="AT377" s="382">
        <v>0.49</v>
      </c>
      <c r="AU377" s="383">
        <v>45716</v>
      </c>
      <c r="AV377" s="382">
        <v>115.198</v>
      </c>
      <c r="AW377" s="33"/>
      <c r="AX377" s="394">
        <v>0.006994</v>
      </c>
      <c r="AY377" s="394">
        <v>0.02078</v>
      </c>
      <c r="AZ377" s="394">
        <v>0.035738</v>
      </c>
      <c r="BA377" s="394">
        <v>0.080488</v>
      </c>
      <c r="BB377" s="394" t="s">
        <v>113</v>
      </c>
      <c r="BC377" s="394" t="s">
        <v>113</v>
      </c>
      <c r="BD377" s="394" t="s">
        <v>113</v>
      </c>
      <c r="BE377" s="34"/>
      <c r="BF377" s="394">
        <v>0.02078</v>
      </c>
      <c r="BG377" s="394">
        <v>0.0791169653456949</v>
      </c>
      <c r="BH377" s="394">
        <v>0.06134</v>
      </c>
      <c r="BI377" s="394" t="s">
        <v>113</v>
      </c>
      <c r="BJ377" s="394" t="s">
        <v>113</v>
      </c>
      <c r="BK377" s="394" t="s">
        <v>113</v>
      </c>
      <c r="BL377" s="394" t="s">
        <v>113</v>
      </c>
      <c r="BM377" s="394" t="s">
        <v>113</v>
      </c>
      <c r="BN377" s="394" t="s">
        <v>113</v>
      </c>
      <c r="BO377" s="394" t="s">
        <v>113</v>
      </c>
      <c r="BP377" s="394" t="s">
        <v>113</v>
      </c>
      <c r="BQ377" s="394" t="s">
        <v>113</v>
      </c>
      <c r="BR377" s="394" t="s">
        <v>113</v>
      </c>
      <c r="BS377" s="394" t="s">
        <v>113</v>
      </c>
      <c r="BT377" s="394" t="s">
        <v>113</v>
      </c>
      <c r="BU377" s="394" t="s">
        <v>113</v>
      </c>
    </row>
    <row r="378" spans="45:73">
      <c r="AS378" s="379" t="s">
        <v>664</v>
      </c>
      <c r="AT378" s="382">
        <v>0.49</v>
      </c>
      <c r="AU378" s="383">
        <v>45716</v>
      </c>
      <c r="AV378" s="382">
        <v>33.3789</v>
      </c>
      <c r="AW378" s="33"/>
      <c r="AX378" s="394">
        <v>0.005965</v>
      </c>
      <c r="AY378" s="394">
        <v>0.022333</v>
      </c>
      <c r="AZ378" s="394">
        <v>0.035647</v>
      </c>
      <c r="BA378" s="394">
        <v>0.085902</v>
      </c>
      <c r="BB378" s="394" t="s">
        <v>113</v>
      </c>
      <c r="BC378" s="394" t="s">
        <v>113</v>
      </c>
      <c r="BD378" s="394" t="s">
        <v>113</v>
      </c>
      <c r="BE378" s="34"/>
      <c r="BF378" s="394">
        <v>0.022333</v>
      </c>
      <c r="BG378" s="394">
        <v>0.0826135334942668</v>
      </c>
      <c r="BH378" s="394">
        <v>0.0604799999999999</v>
      </c>
      <c r="BI378" s="394" t="s">
        <v>113</v>
      </c>
      <c r="BJ378" s="394" t="s">
        <v>113</v>
      </c>
      <c r="BK378" s="394" t="s">
        <v>113</v>
      </c>
      <c r="BL378" s="394" t="s">
        <v>113</v>
      </c>
      <c r="BM378" s="394" t="s">
        <v>113</v>
      </c>
      <c r="BN378" s="394" t="s">
        <v>113</v>
      </c>
      <c r="BO378" s="394" t="s">
        <v>113</v>
      </c>
      <c r="BP378" s="394" t="s">
        <v>113</v>
      </c>
      <c r="BQ378" s="394" t="s">
        <v>113</v>
      </c>
      <c r="BR378" s="394" t="s">
        <v>113</v>
      </c>
      <c r="BS378" s="394" t="s">
        <v>113</v>
      </c>
      <c r="BT378" s="394" t="s">
        <v>113</v>
      </c>
      <c r="BU378" s="394" t="s">
        <v>113</v>
      </c>
    </row>
    <row r="379" spans="45:73">
      <c r="AS379" s="379" t="s">
        <v>665</v>
      </c>
      <c r="AT379" s="382">
        <v>1.25</v>
      </c>
      <c r="AU379" s="383">
        <v>45716</v>
      </c>
      <c r="AV379" s="382">
        <v>135.3495</v>
      </c>
      <c r="AW379" s="33"/>
      <c r="AX379" s="394">
        <v>0.027591</v>
      </c>
      <c r="AY379" s="394">
        <v>0.02798</v>
      </c>
      <c r="AZ379" s="394">
        <v>0.03179</v>
      </c>
      <c r="BA379" s="394">
        <v>0.085079</v>
      </c>
      <c r="BB379" s="394">
        <v>0.066455</v>
      </c>
      <c r="BC379" s="394">
        <v>0.05781</v>
      </c>
      <c r="BD379" s="394">
        <v>0.070347</v>
      </c>
      <c r="BE379" s="34"/>
      <c r="BF379" s="394">
        <v>0.02798</v>
      </c>
      <c r="BG379" s="394">
        <v>0.0875824118389319</v>
      </c>
      <c r="BH379" s="394">
        <v>0.0647545271405836</v>
      </c>
      <c r="BI379" s="394">
        <v>0.0230796384168292</v>
      </c>
      <c r="BJ379" s="394">
        <v>0.0183125002070613</v>
      </c>
      <c r="BK379" s="394">
        <v>0.103310006780479</v>
      </c>
      <c r="BL379" s="394">
        <v>0.0994789542110666</v>
      </c>
      <c r="BM379" s="394">
        <v>0.0490178099026347</v>
      </c>
      <c r="BN379" s="394">
        <v>0.0293218481833863</v>
      </c>
      <c r="BO379" s="394">
        <v>0.180167722937072</v>
      </c>
      <c r="BP379" s="394">
        <v>0.0634169852628829</v>
      </c>
      <c r="BQ379" s="394">
        <v>0.166913986660608</v>
      </c>
      <c r="BR379" s="394">
        <v>0.0388186712527274</v>
      </c>
      <c r="BS379" s="394">
        <v>0.108117005439136</v>
      </c>
      <c r="BT379" s="394">
        <v>0.0618326866535388</v>
      </c>
      <c r="BU379" s="394">
        <v>0.0331407246900205</v>
      </c>
    </row>
    <row r="380" spans="45:73">
      <c r="AS380" s="379" t="s">
        <v>666</v>
      </c>
      <c r="AT380" s="382">
        <v>0.42</v>
      </c>
      <c r="AU380" s="383">
        <v>45716</v>
      </c>
      <c r="AV380" s="382">
        <v>383.4022</v>
      </c>
      <c r="AW380" s="33"/>
      <c r="AX380" s="394">
        <v>0.018098</v>
      </c>
      <c r="AY380" s="394">
        <v>0.029173</v>
      </c>
      <c r="AZ380" s="394">
        <v>0.041773</v>
      </c>
      <c r="BA380" s="394">
        <v>0.098091</v>
      </c>
      <c r="BB380" s="394" t="s">
        <v>113</v>
      </c>
      <c r="BC380" s="394" t="s">
        <v>113</v>
      </c>
      <c r="BD380" s="394" t="s">
        <v>113</v>
      </c>
      <c r="BE380" s="34"/>
      <c r="BF380" s="394">
        <v>0.029173</v>
      </c>
      <c r="BG380" s="394">
        <v>0.0968039852233293</v>
      </c>
      <c r="BH380" s="394">
        <v>0.07196</v>
      </c>
      <c r="BI380" s="394" t="s">
        <v>113</v>
      </c>
      <c r="BJ380" s="394" t="s">
        <v>113</v>
      </c>
      <c r="BK380" s="394" t="s">
        <v>113</v>
      </c>
      <c r="BL380" s="394" t="s">
        <v>113</v>
      </c>
      <c r="BM380" s="394" t="s">
        <v>113</v>
      </c>
      <c r="BN380" s="394" t="s">
        <v>113</v>
      </c>
      <c r="BO380" s="394" t="s">
        <v>113</v>
      </c>
      <c r="BP380" s="394" t="s">
        <v>113</v>
      </c>
      <c r="BQ380" s="394" t="s">
        <v>113</v>
      </c>
      <c r="BR380" s="394" t="s">
        <v>113</v>
      </c>
      <c r="BS380" s="394" t="s">
        <v>113</v>
      </c>
      <c r="BT380" s="394" t="s">
        <v>113</v>
      </c>
      <c r="BU380" s="394" t="s">
        <v>113</v>
      </c>
    </row>
    <row r="381" spans="45:73">
      <c r="AS381" s="379" t="s">
        <v>667</v>
      </c>
      <c r="AT381" s="382">
        <v>1.16</v>
      </c>
      <c r="AU381" s="383">
        <v>45716</v>
      </c>
      <c r="AV381" s="382">
        <v>1698.532</v>
      </c>
      <c r="AW381" s="33"/>
      <c r="AX381" s="394">
        <v>0.028804</v>
      </c>
      <c r="AY381" s="394">
        <v>0.028963</v>
      </c>
      <c r="AZ381" s="394">
        <v>0.031981</v>
      </c>
      <c r="BA381" s="394">
        <v>0.090637</v>
      </c>
      <c r="BB381" s="394">
        <v>0.075643</v>
      </c>
      <c r="BC381" s="394">
        <v>0.068024</v>
      </c>
      <c r="BD381" s="394">
        <v>0.07794</v>
      </c>
      <c r="BE381" s="34"/>
      <c r="BF381" s="394">
        <v>0.028963</v>
      </c>
      <c r="BG381" s="394">
        <v>0.101006727021775</v>
      </c>
      <c r="BH381" s="394">
        <v>0.070729146442403</v>
      </c>
      <c r="BI381" s="394">
        <v>0.0269309522966274</v>
      </c>
      <c r="BJ381" s="394">
        <v>0.0312434055677298</v>
      </c>
      <c r="BK381" s="394">
        <v>0.130749075758016</v>
      </c>
      <c r="BL381" s="394">
        <v>0.125480083113986</v>
      </c>
      <c r="BM381" s="394">
        <v>0.0736903003765104</v>
      </c>
      <c r="BN381" s="394">
        <v>0.0143351300679635</v>
      </c>
      <c r="BO381" s="394">
        <v>0.153465207358821</v>
      </c>
      <c r="BP381" s="394">
        <v>0.0616592623204877</v>
      </c>
      <c r="BQ381" s="394">
        <v>0.150086476638105</v>
      </c>
      <c r="BR381" s="394">
        <v>0.0131107984184648</v>
      </c>
      <c r="BS381" s="394">
        <v>0.0895317928509804</v>
      </c>
      <c r="BT381" s="394">
        <v>0.0359460251033392</v>
      </c>
      <c r="BU381" s="394">
        <v>0.0501564813728507</v>
      </c>
    </row>
    <row r="382" spans="45:73">
      <c r="AS382" s="379" t="s">
        <v>668</v>
      </c>
      <c r="AT382" s="382">
        <v>0.29</v>
      </c>
      <c r="AU382" s="383">
        <v>45716</v>
      </c>
      <c r="AV382" s="382">
        <v>2197.4442</v>
      </c>
      <c r="AW382" s="33"/>
      <c r="AX382" s="394">
        <v>0.007607</v>
      </c>
      <c r="AY382" s="394">
        <v>0.022362</v>
      </c>
      <c r="AZ382" s="394">
        <v>0.036714</v>
      </c>
      <c r="BA382" s="394">
        <v>0.083956</v>
      </c>
      <c r="BB382" s="394">
        <v>0.065535</v>
      </c>
      <c r="BC382" s="394" t="s">
        <v>113</v>
      </c>
      <c r="BD382" s="394" t="s">
        <v>113</v>
      </c>
      <c r="BE382" s="34"/>
      <c r="BF382" s="394">
        <v>0.022362</v>
      </c>
      <c r="BG382" s="394">
        <v>0.079908281089344</v>
      </c>
      <c r="BH382" s="394">
        <v>0.0757627666134826</v>
      </c>
      <c r="BI382" s="394">
        <v>0.0216100000000001</v>
      </c>
      <c r="BJ382" s="394" t="s">
        <v>113</v>
      </c>
      <c r="BK382" s="394" t="s">
        <v>113</v>
      </c>
      <c r="BL382" s="394" t="s">
        <v>113</v>
      </c>
      <c r="BM382" s="394" t="s">
        <v>113</v>
      </c>
      <c r="BN382" s="394" t="s">
        <v>113</v>
      </c>
      <c r="BO382" s="394" t="s">
        <v>113</v>
      </c>
      <c r="BP382" s="394" t="s">
        <v>113</v>
      </c>
      <c r="BQ382" s="394" t="s">
        <v>113</v>
      </c>
      <c r="BR382" s="394" t="s">
        <v>113</v>
      </c>
      <c r="BS382" s="394" t="s">
        <v>113</v>
      </c>
      <c r="BT382" s="394" t="s">
        <v>113</v>
      </c>
      <c r="BU382" s="394" t="s">
        <v>113</v>
      </c>
    </row>
    <row r="383" spans="45:73">
      <c r="AS383" s="379" t="s">
        <v>669</v>
      </c>
      <c r="AT383" s="382">
        <v>0.32</v>
      </c>
      <c r="AU383" s="383">
        <v>45716</v>
      </c>
      <c r="AV383" s="382">
        <v>97.5891</v>
      </c>
      <c r="AW383" s="33"/>
      <c r="AX383" s="394">
        <v>0.007006</v>
      </c>
      <c r="AY383" s="394">
        <v>0.021007</v>
      </c>
      <c r="AZ383" s="394">
        <v>0.035203</v>
      </c>
      <c r="BA383" s="394">
        <v>0.081839</v>
      </c>
      <c r="BB383" s="394" t="s">
        <v>113</v>
      </c>
      <c r="BC383" s="394" t="s">
        <v>113</v>
      </c>
      <c r="BD383" s="394" t="s">
        <v>113</v>
      </c>
      <c r="BE383" s="34"/>
      <c r="BF383" s="394">
        <v>0.021007</v>
      </c>
      <c r="BG383" s="394">
        <v>0.0791579696172675</v>
      </c>
      <c r="BH383" s="394">
        <v>0.06837</v>
      </c>
      <c r="BI383" s="394" t="s">
        <v>113</v>
      </c>
      <c r="BJ383" s="394" t="s">
        <v>113</v>
      </c>
      <c r="BK383" s="394" t="s">
        <v>113</v>
      </c>
      <c r="BL383" s="394" t="s">
        <v>113</v>
      </c>
      <c r="BM383" s="394" t="s">
        <v>113</v>
      </c>
      <c r="BN383" s="394" t="s">
        <v>113</v>
      </c>
      <c r="BO383" s="394" t="s">
        <v>113</v>
      </c>
      <c r="BP383" s="394" t="s">
        <v>113</v>
      </c>
      <c r="BQ383" s="394" t="s">
        <v>113</v>
      </c>
      <c r="BR383" s="394" t="s">
        <v>113</v>
      </c>
      <c r="BS383" s="394" t="s">
        <v>113</v>
      </c>
      <c r="BT383" s="394" t="s">
        <v>113</v>
      </c>
      <c r="BU383" s="394" t="s">
        <v>113</v>
      </c>
    </row>
    <row r="384" spans="45:73">
      <c r="AS384" s="379" t="s">
        <v>670</v>
      </c>
      <c r="AT384" s="382">
        <v>0.45</v>
      </c>
      <c r="AU384" s="383">
        <v>45716</v>
      </c>
      <c r="AV384" s="382">
        <v>91.6231</v>
      </c>
      <c r="AW384" s="33"/>
      <c r="AX384" s="394">
        <v>0.007243</v>
      </c>
      <c r="AY384" s="394">
        <v>0.020858</v>
      </c>
      <c r="AZ384" s="394">
        <v>0.035731</v>
      </c>
      <c r="BA384" s="394">
        <v>0.080697</v>
      </c>
      <c r="BB384" s="394" t="s">
        <v>113</v>
      </c>
      <c r="BC384" s="394" t="s">
        <v>113</v>
      </c>
      <c r="BD384" s="394" t="s">
        <v>113</v>
      </c>
      <c r="BE384" s="34"/>
      <c r="BF384" s="394">
        <v>0.020858</v>
      </c>
      <c r="BG384" s="394">
        <v>0.0777651459586329</v>
      </c>
      <c r="BH384" s="394">
        <v>0.0703827281648675</v>
      </c>
      <c r="BI384" s="394">
        <v>0.019</v>
      </c>
      <c r="BJ384" s="394" t="s">
        <v>113</v>
      </c>
      <c r="BK384" s="394" t="s">
        <v>113</v>
      </c>
      <c r="BL384" s="394" t="s">
        <v>113</v>
      </c>
      <c r="BM384" s="394" t="s">
        <v>113</v>
      </c>
      <c r="BN384" s="394" t="s">
        <v>113</v>
      </c>
      <c r="BO384" s="394" t="s">
        <v>113</v>
      </c>
      <c r="BP384" s="394" t="s">
        <v>113</v>
      </c>
      <c r="BQ384" s="394" t="s">
        <v>113</v>
      </c>
      <c r="BR384" s="394" t="s">
        <v>113</v>
      </c>
      <c r="BS384" s="394" t="s">
        <v>113</v>
      </c>
      <c r="BT384" s="394" t="s">
        <v>113</v>
      </c>
      <c r="BU384" s="394" t="s">
        <v>113</v>
      </c>
    </row>
    <row r="385" spans="45:73">
      <c r="AS385" s="379" t="s">
        <v>671</v>
      </c>
      <c r="AT385" s="382">
        <v>0.45</v>
      </c>
      <c r="AU385" s="383">
        <v>45716</v>
      </c>
      <c r="AV385" s="382">
        <v>153.9648</v>
      </c>
      <c r="AW385" s="33"/>
      <c r="AX385" s="394">
        <v>0.0077</v>
      </c>
      <c r="AY385" s="394">
        <v>0.022489</v>
      </c>
      <c r="AZ385" s="394">
        <v>0.036568</v>
      </c>
      <c r="BA385" s="394">
        <v>0.084938</v>
      </c>
      <c r="BB385" s="394" t="s">
        <v>113</v>
      </c>
      <c r="BC385" s="394" t="s">
        <v>113</v>
      </c>
      <c r="BD385" s="394" t="s">
        <v>113</v>
      </c>
      <c r="BE385" s="34"/>
      <c r="BF385" s="394">
        <v>0.022489</v>
      </c>
      <c r="BG385" s="394">
        <v>0.0808545754630479</v>
      </c>
      <c r="BH385" s="394">
        <v>0.0747792494481237</v>
      </c>
      <c r="BI385" s="394">
        <v>0.01472</v>
      </c>
      <c r="BJ385" s="394" t="s">
        <v>113</v>
      </c>
      <c r="BK385" s="394" t="s">
        <v>113</v>
      </c>
      <c r="BL385" s="394" t="s">
        <v>113</v>
      </c>
      <c r="BM385" s="394" t="s">
        <v>113</v>
      </c>
      <c r="BN385" s="394" t="s">
        <v>113</v>
      </c>
      <c r="BO385" s="394" t="s">
        <v>113</v>
      </c>
      <c r="BP385" s="394" t="s">
        <v>113</v>
      </c>
      <c r="BQ385" s="394" t="s">
        <v>113</v>
      </c>
      <c r="BR385" s="394" t="s">
        <v>113</v>
      </c>
      <c r="BS385" s="394" t="s">
        <v>113</v>
      </c>
      <c r="BT385" s="394" t="s">
        <v>113</v>
      </c>
      <c r="BU385" s="394" t="s">
        <v>113</v>
      </c>
    </row>
    <row r="386" spans="45:73">
      <c r="AS386" s="379" t="s">
        <v>672</v>
      </c>
      <c r="AT386" s="382">
        <v>0.63</v>
      </c>
      <c r="AU386" s="383">
        <v>45716</v>
      </c>
      <c r="AV386" s="382">
        <v>152.5936</v>
      </c>
      <c r="AW386" s="33"/>
      <c r="AX386" s="394">
        <v>0.007794</v>
      </c>
      <c r="AY386" s="394">
        <v>0.021118</v>
      </c>
      <c r="AZ386" s="394">
        <v>0.035412</v>
      </c>
      <c r="BA386" s="394">
        <v>0.081069</v>
      </c>
      <c r="BB386" s="394" t="s">
        <v>113</v>
      </c>
      <c r="BC386" s="394" t="s">
        <v>113</v>
      </c>
      <c r="BD386" s="394" t="s">
        <v>113</v>
      </c>
      <c r="BE386" s="34"/>
      <c r="BF386" s="394">
        <v>0.021118</v>
      </c>
      <c r="BG386" s="394">
        <v>0.0771414337948473</v>
      </c>
      <c r="BH386" s="394">
        <v>0.06389</v>
      </c>
      <c r="BI386" s="394" t="s">
        <v>113</v>
      </c>
      <c r="BJ386" s="394" t="s">
        <v>113</v>
      </c>
      <c r="BK386" s="394" t="s">
        <v>113</v>
      </c>
      <c r="BL386" s="394" t="s">
        <v>113</v>
      </c>
      <c r="BM386" s="394" t="s">
        <v>113</v>
      </c>
      <c r="BN386" s="394" t="s">
        <v>113</v>
      </c>
      <c r="BO386" s="394" t="s">
        <v>113</v>
      </c>
      <c r="BP386" s="394" t="s">
        <v>113</v>
      </c>
      <c r="BQ386" s="394" t="s">
        <v>113</v>
      </c>
      <c r="BR386" s="394" t="s">
        <v>113</v>
      </c>
      <c r="BS386" s="394" t="s">
        <v>113</v>
      </c>
      <c r="BT386" s="394" t="s">
        <v>113</v>
      </c>
      <c r="BU386" s="394" t="s">
        <v>113</v>
      </c>
    </row>
    <row r="387" spans="45:73">
      <c r="AS387" s="379" t="s">
        <v>673</v>
      </c>
      <c r="AT387" s="382">
        <v>1.15</v>
      </c>
      <c r="AU387" s="383">
        <v>45716</v>
      </c>
      <c r="AV387" s="382">
        <v>171.2928</v>
      </c>
      <c r="AW387" s="33"/>
      <c r="AX387" s="394">
        <v>0.023795</v>
      </c>
      <c r="AY387" s="394">
        <v>0.027348</v>
      </c>
      <c r="AZ387" s="394">
        <v>0.032509</v>
      </c>
      <c r="BA387" s="394">
        <v>0.086441</v>
      </c>
      <c r="BB387" s="394">
        <v>0.069872</v>
      </c>
      <c r="BC387" s="394">
        <v>0.06887</v>
      </c>
      <c r="BD387" s="394">
        <v>0.075377</v>
      </c>
      <c r="BE387" s="34"/>
      <c r="BF387" s="394">
        <v>0.027348</v>
      </c>
      <c r="BG387" s="394">
        <v>0.0976136416292109</v>
      </c>
      <c r="BH387" s="394">
        <v>0.0623237131366631</v>
      </c>
      <c r="BI387" s="394">
        <v>0.025212840582782</v>
      </c>
      <c r="BJ387" s="394">
        <v>0.0413485035604488</v>
      </c>
      <c r="BK387" s="394">
        <v>0.136226570570427</v>
      </c>
      <c r="BL387" s="394">
        <v>0.107429327161514</v>
      </c>
      <c r="BM387" s="394">
        <v>0.0676715617057329</v>
      </c>
      <c r="BN387" s="394">
        <v>0.0423596597097524</v>
      </c>
      <c r="BO387" s="394">
        <v>0.124644110441634</v>
      </c>
      <c r="BP387" s="394">
        <v>0.05760527997339</v>
      </c>
      <c r="BQ387" s="394">
        <v>0.14243</v>
      </c>
      <c r="BR387" s="394" t="s">
        <v>113</v>
      </c>
      <c r="BS387" s="394" t="s">
        <v>113</v>
      </c>
      <c r="BT387" s="394" t="s">
        <v>113</v>
      </c>
      <c r="BU387" s="394" t="s">
        <v>113</v>
      </c>
    </row>
    <row r="388" spans="45:73">
      <c r="AS388" s="379" t="s">
        <v>674</v>
      </c>
      <c r="AT388" s="382">
        <v>1.15</v>
      </c>
      <c r="AU388" s="383">
        <v>45716</v>
      </c>
      <c r="AV388" s="382">
        <v>151.234497591</v>
      </c>
      <c r="AW388" s="33"/>
      <c r="AX388" s="394">
        <v>0.014942</v>
      </c>
      <c r="AY388" s="394">
        <v>0.02606</v>
      </c>
      <c r="AZ388" s="394">
        <v>0.038928</v>
      </c>
      <c r="BA388" s="394">
        <v>0.085616</v>
      </c>
      <c r="BB388" s="394">
        <v>0.057848</v>
      </c>
      <c r="BC388" s="394">
        <v>0.049063</v>
      </c>
      <c r="BD388" s="394">
        <v>0.058308</v>
      </c>
      <c r="BE388" s="34"/>
      <c r="BF388" s="394">
        <v>0.02606</v>
      </c>
      <c r="BG388" s="394">
        <v>0.0734717249618573</v>
      </c>
      <c r="BH388" s="394">
        <v>0.0553008158807658</v>
      </c>
      <c r="BI388" s="394">
        <v>0.0248543305790565</v>
      </c>
      <c r="BJ388" s="394">
        <v>0.0214082316720781</v>
      </c>
      <c r="BK388" s="394">
        <v>0.0854326721290535</v>
      </c>
      <c r="BL388" s="394">
        <v>0.0799880765563911</v>
      </c>
      <c r="BM388" s="394">
        <v>0.042614015801424</v>
      </c>
      <c r="BN388" s="394">
        <v>0.000850897555533211</v>
      </c>
      <c r="BO388" s="394">
        <v>0.156704856661146</v>
      </c>
      <c r="BP388" s="394">
        <v>0.0542945996952806</v>
      </c>
      <c r="BQ388" s="394">
        <v>0.203478588945482</v>
      </c>
      <c r="BR388" s="394">
        <v>-0.00881798599892304</v>
      </c>
      <c r="BS388" s="394">
        <v>0.103496087946915</v>
      </c>
      <c r="BT388" s="394">
        <v>0.0433794181345343</v>
      </c>
      <c r="BU388" s="394">
        <v>0.0200762466949518</v>
      </c>
    </row>
    <row r="389" spans="45:73">
      <c r="AS389" s="379" t="s">
        <v>675</v>
      </c>
      <c r="AT389" s="382">
        <v>0.89</v>
      </c>
      <c r="AU389" s="383">
        <v>45716</v>
      </c>
      <c r="AV389" s="382">
        <v>2939.2566</v>
      </c>
      <c r="AW389" s="33"/>
      <c r="AX389" s="394">
        <v>0.021484</v>
      </c>
      <c r="AY389" s="394">
        <v>0.028095</v>
      </c>
      <c r="AZ389" s="394">
        <v>0.036562</v>
      </c>
      <c r="BA389" s="394">
        <v>0.092837</v>
      </c>
      <c r="BB389" s="394">
        <v>0.067744</v>
      </c>
      <c r="BC389" s="394">
        <v>0.059977</v>
      </c>
      <c r="BD389" s="394">
        <v>0.067426</v>
      </c>
      <c r="BE389" s="34"/>
      <c r="BF389" s="394">
        <v>0.028095</v>
      </c>
      <c r="BG389" s="394">
        <v>0.0874435884112287</v>
      </c>
      <c r="BH389" s="394">
        <v>0.0711447986308784</v>
      </c>
      <c r="BI389" s="394">
        <v>0.0172577901914585</v>
      </c>
      <c r="BJ389" s="394">
        <v>0.021974517214435</v>
      </c>
      <c r="BK389" s="394">
        <v>0.107454884439073</v>
      </c>
      <c r="BL389" s="394">
        <v>0.0855613069317777</v>
      </c>
      <c r="BM389" s="394">
        <v>0.0536293987793793</v>
      </c>
      <c r="BN389" s="394">
        <v>0.0178967960241091</v>
      </c>
      <c r="BO389" s="394">
        <v>0.165668033937535</v>
      </c>
      <c r="BP389" s="394">
        <v>0.0590658394282337</v>
      </c>
      <c r="BQ389" s="394">
        <v>0.190294706674493</v>
      </c>
      <c r="BR389" s="394">
        <v>0.014235934791364</v>
      </c>
      <c r="BS389" s="394">
        <v>0.110179087794328</v>
      </c>
      <c r="BT389" s="394">
        <v>0.0506415722477239</v>
      </c>
      <c r="BU389" s="394">
        <v>0.0588957254236189</v>
      </c>
    </row>
    <row r="390" spans="45:73">
      <c r="AS390" s="379" t="s">
        <v>676</v>
      </c>
      <c r="AT390" s="382">
        <v>0.37</v>
      </c>
      <c r="AU390" s="383">
        <v>45716</v>
      </c>
      <c r="AV390" s="382">
        <v>164.7746</v>
      </c>
      <c r="AW390" s="33"/>
      <c r="AX390" s="394">
        <v>0.010844</v>
      </c>
      <c r="AY390" s="394">
        <v>0.025143</v>
      </c>
      <c r="AZ390" s="394">
        <v>0.039052</v>
      </c>
      <c r="BA390" s="394">
        <v>0.089045</v>
      </c>
      <c r="BB390" s="394" t="s">
        <v>113</v>
      </c>
      <c r="BC390" s="394" t="s">
        <v>113</v>
      </c>
      <c r="BD390" s="394" t="s">
        <v>113</v>
      </c>
      <c r="BE390" s="34"/>
      <c r="BF390" s="394">
        <v>0.025143</v>
      </c>
      <c r="BG390" s="394">
        <v>0.0837344949103111</v>
      </c>
      <c r="BH390" s="394">
        <v>0.06981</v>
      </c>
      <c r="BI390" s="394" t="s">
        <v>113</v>
      </c>
      <c r="BJ390" s="394" t="s">
        <v>113</v>
      </c>
      <c r="BK390" s="394" t="s">
        <v>113</v>
      </c>
      <c r="BL390" s="394" t="s">
        <v>113</v>
      </c>
      <c r="BM390" s="394" t="s">
        <v>113</v>
      </c>
      <c r="BN390" s="394" t="s">
        <v>113</v>
      </c>
      <c r="BO390" s="394" t="s">
        <v>113</v>
      </c>
      <c r="BP390" s="394" t="s">
        <v>113</v>
      </c>
      <c r="BQ390" s="394" t="s">
        <v>113</v>
      </c>
      <c r="BR390" s="394" t="s">
        <v>113</v>
      </c>
      <c r="BS390" s="394" t="s">
        <v>113</v>
      </c>
      <c r="BT390" s="394" t="s">
        <v>113</v>
      </c>
      <c r="BU390" s="394" t="s">
        <v>113</v>
      </c>
    </row>
    <row r="391" spans="45:73">
      <c r="AS391" s="379" t="s">
        <v>677</v>
      </c>
      <c r="AT391" s="382">
        <v>0.36</v>
      </c>
      <c r="AU391" s="383">
        <v>45716</v>
      </c>
      <c r="AV391" s="382">
        <v>1343.3454</v>
      </c>
      <c r="AW391" s="33"/>
      <c r="AX391" s="394">
        <v>0.007211</v>
      </c>
      <c r="AY391" s="394">
        <v>0.019505</v>
      </c>
      <c r="AZ391" s="394">
        <v>0.034618</v>
      </c>
      <c r="BA391" s="394">
        <v>0.076758</v>
      </c>
      <c r="BB391" s="394" t="s">
        <v>113</v>
      </c>
      <c r="BC391" s="394" t="s">
        <v>113</v>
      </c>
      <c r="BD391" s="394" t="s">
        <v>113</v>
      </c>
      <c r="BE391" s="34"/>
      <c r="BF391" s="394">
        <v>0.019505</v>
      </c>
      <c r="BG391" s="394">
        <v>0.0747340474566272</v>
      </c>
      <c r="BH391" s="394">
        <v>0.0729772502472799</v>
      </c>
      <c r="BI391" s="394">
        <v>0.0109999999999999</v>
      </c>
      <c r="BJ391" s="394" t="s">
        <v>113</v>
      </c>
      <c r="BK391" s="394" t="s">
        <v>113</v>
      </c>
      <c r="BL391" s="394" t="s">
        <v>113</v>
      </c>
      <c r="BM391" s="394" t="s">
        <v>113</v>
      </c>
      <c r="BN391" s="394" t="s">
        <v>113</v>
      </c>
      <c r="BO391" s="394" t="s">
        <v>113</v>
      </c>
      <c r="BP391" s="394" t="s">
        <v>113</v>
      </c>
      <c r="BQ391" s="394" t="s">
        <v>113</v>
      </c>
      <c r="BR391" s="394" t="s">
        <v>113</v>
      </c>
      <c r="BS391" s="394" t="s">
        <v>113</v>
      </c>
      <c r="BT391" s="394" t="s">
        <v>113</v>
      </c>
      <c r="BU391" s="394" t="s">
        <v>113</v>
      </c>
    </row>
    <row r="392" spans="45:73">
      <c r="AS392" s="379" t="s">
        <v>678</v>
      </c>
      <c r="AT392" s="382">
        <v>0.37</v>
      </c>
      <c r="AU392" s="383">
        <v>45716</v>
      </c>
      <c r="AV392" s="382">
        <v>686.961</v>
      </c>
      <c r="AW392" s="33"/>
      <c r="AX392" s="394">
        <v>0.0158</v>
      </c>
      <c r="AY392" s="394">
        <v>0.030363</v>
      </c>
      <c r="AZ392" s="394">
        <v>0.041544</v>
      </c>
      <c r="BA392" s="394">
        <v>0.098542</v>
      </c>
      <c r="BB392" s="394" t="s">
        <v>113</v>
      </c>
      <c r="BC392" s="394" t="s">
        <v>113</v>
      </c>
      <c r="BD392" s="394" t="s">
        <v>113</v>
      </c>
      <c r="BE392" s="34"/>
      <c r="BF392" s="394">
        <v>0.030363</v>
      </c>
      <c r="BG392" s="394">
        <v>0.0894467663880335</v>
      </c>
      <c r="BH392" s="394">
        <v>0.08013068013068</v>
      </c>
      <c r="BI392" s="394">
        <v>0.0101000000000001</v>
      </c>
      <c r="BJ392" s="394" t="s">
        <v>113</v>
      </c>
      <c r="BK392" s="394" t="s">
        <v>113</v>
      </c>
      <c r="BL392" s="394" t="s">
        <v>113</v>
      </c>
      <c r="BM392" s="394" t="s">
        <v>113</v>
      </c>
      <c r="BN392" s="394" t="s">
        <v>113</v>
      </c>
      <c r="BO392" s="394" t="s">
        <v>113</v>
      </c>
      <c r="BP392" s="394" t="s">
        <v>113</v>
      </c>
      <c r="BQ392" s="394" t="s">
        <v>113</v>
      </c>
      <c r="BR392" s="394" t="s">
        <v>113</v>
      </c>
      <c r="BS392" s="394" t="s">
        <v>113</v>
      </c>
      <c r="BT392" s="394" t="s">
        <v>113</v>
      </c>
      <c r="BU392" s="394" t="s">
        <v>113</v>
      </c>
    </row>
    <row r="393" spans="45:73">
      <c r="AS393" s="379" t="s">
        <v>679</v>
      </c>
      <c r="AT393" s="382">
        <v>0.36</v>
      </c>
      <c r="AU393" s="383">
        <v>45716</v>
      </c>
      <c r="AV393" s="382">
        <v>742.5967</v>
      </c>
      <c r="AW393" s="33"/>
      <c r="AX393" s="394">
        <v>0.007932</v>
      </c>
      <c r="AY393" s="394">
        <v>0.021705</v>
      </c>
      <c r="AZ393" s="394">
        <v>0.036413</v>
      </c>
      <c r="BA393" s="394">
        <v>0.080958</v>
      </c>
      <c r="BB393" s="394" t="s">
        <v>113</v>
      </c>
      <c r="BC393" s="394" t="s">
        <v>113</v>
      </c>
      <c r="BD393" s="394" t="s">
        <v>113</v>
      </c>
      <c r="BE393" s="34"/>
      <c r="BF393" s="394">
        <v>0.021705</v>
      </c>
      <c r="BG393" s="394">
        <v>0.0769152158159757</v>
      </c>
      <c r="BH393" s="394">
        <v>0.073910006983937</v>
      </c>
      <c r="BI393" s="394">
        <v>0.00229999999999997</v>
      </c>
      <c r="BJ393" s="394" t="s">
        <v>113</v>
      </c>
      <c r="BK393" s="394" t="s">
        <v>113</v>
      </c>
      <c r="BL393" s="394" t="s">
        <v>113</v>
      </c>
      <c r="BM393" s="394" t="s">
        <v>113</v>
      </c>
      <c r="BN393" s="394" t="s">
        <v>113</v>
      </c>
      <c r="BO393" s="394" t="s">
        <v>113</v>
      </c>
      <c r="BP393" s="394" t="s">
        <v>113</v>
      </c>
      <c r="BQ393" s="394" t="s">
        <v>113</v>
      </c>
      <c r="BR393" s="394" t="s">
        <v>113</v>
      </c>
      <c r="BS393" s="394" t="s">
        <v>113</v>
      </c>
      <c r="BT393" s="394" t="s">
        <v>113</v>
      </c>
      <c r="BU393" s="394" t="s">
        <v>113</v>
      </c>
    </row>
    <row r="394" spans="45:73">
      <c r="AS394" s="379" t="s">
        <v>680</v>
      </c>
      <c r="AT394" s="382">
        <v>0.38</v>
      </c>
      <c r="AU394" s="383">
        <v>45716</v>
      </c>
      <c r="AV394" s="382">
        <v>813.1404</v>
      </c>
      <c r="AW394" s="33"/>
      <c r="AX394" s="394">
        <v>0.022261</v>
      </c>
      <c r="AY394" s="394">
        <v>0.031565</v>
      </c>
      <c r="AZ394" s="394">
        <v>0.043042</v>
      </c>
      <c r="BA394" s="394">
        <v>0.10224</v>
      </c>
      <c r="BB394" s="394" t="s">
        <v>113</v>
      </c>
      <c r="BC394" s="394" t="s">
        <v>113</v>
      </c>
      <c r="BD394" s="394" t="s">
        <v>113</v>
      </c>
      <c r="BE394" s="34"/>
      <c r="BF394" s="394">
        <v>0.031565</v>
      </c>
      <c r="BG394" s="394">
        <v>0.10401388344623</v>
      </c>
      <c r="BH394" s="394">
        <v>0.07178</v>
      </c>
      <c r="BI394" s="394" t="s">
        <v>113</v>
      </c>
      <c r="BJ394" s="394" t="s">
        <v>113</v>
      </c>
      <c r="BK394" s="394" t="s">
        <v>113</v>
      </c>
      <c r="BL394" s="394" t="s">
        <v>113</v>
      </c>
      <c r="BM394" s="394" t="s">
        <v>113</v>
      </c>
      <c r="BN394" s="394" t="s">
        <v>113</v>
      </c>
      <c r="BO394" s="394" t="s">
        <v>113</v>
      </c>
      <c r="BP394" s="394" t="s">
        <v>113</v>
      </c>
      <c r="BQ394" s="394" t="s">
        <v>113</v>
      </c>
      <c r="BR394" s="394" t="s">
        <v>113</v>
      </c>
      <c r="BS394" s="394" t="s">
        <v>113</v>
      </c>
      <c r="BT394" s="394" t="s">
        <v>113</v>
      </c>
      <c r="BU394" s="394" t="s">
        <v>113</v>
      </c>
    </row>
    <row r="395" spans="45:73">
      <c r="AS395" s="379" t="s">
        <v>681</v>
      </c>
      <c r="AT395" s="382">
        <v>0.38</v>
      </c>
      <c r="AU395" s="383">
        <v>45716</v>
      </c>
      <c r="AV395" s="382">
        <v>607.2905</v>
      </c>
      <c r="AW395" s="33"/>
      <c r="AX395" s="394">
        <v>0.016699</v>
      </c>
      <c r="AY395" s="394">
        <v>0.030003</v>
      </c>
      <c r="AZ395" s="394">
        <v>0.041526</v>
      </c>
      <c r="BA395" s="394">
        <v>0.098472</v>
      </c>
      <c r="BB395" s="394" t="s">
        <v>113</v>
      </c>
      <c r="BC395" s="394" t="s">
        <v>113</v>
      </c>
      <c r="BD395" s="394" t="s">
        <v>113</v>
      </c>
      <c r="BE395" s="34"/>
      <c r="BF395" s="394">
        <v>0.030003</v>
      </c>
      <c r="BG395" s="394">
        <v>0.0928663209369829</v>
      </c>
      <c r="BH395" s="394">
        <v>0.0799341120095838</v>
      </c>
      <c r="BI395" s="394">
        <v>0.00169999999999995</v>
      </c>
      <c r="BJ395" s="394" t="s">
        <v>113</v>
      </c>
      <c r="BK395" s="394" t="s">
        <v>113</v>
      </c>
      <c r="BL395" s="394" t="s">
        <v>113</v>
      </c>
      <c r="BM395" s="394" t="s">
        <v>113</v>
      </c>
      <c r="BN395" s="394" t="s">
        <v>113</v>
      </c>
      <c r="BO395" s="394" t="s">
        <v>113</v>
      </c>
      <c r="BP395" s="394" t="s">
        <v>113</v>
      </c>
      <c r="BQ395" s="394" t="s">
        <v>113</v>
      </c>
      <c r="BR395" s="394" t="s">
        <v>113</v>
      </c>
      <c r="BS395" s="394" t="s">
        <v>113</v>
      </c>
      <c r="BT395" s="394" t="s">
        <v>113</v>
      </c>
      <c r="BU395" s="394" t="s">
        <v>113</v>
      </c>
    </row>
    <row r="396" spans="45:73">
      <c r="AS396" s="379" t="s">
        <v>682</v>
      </c>
      <c r="AT396" s="382">
        <v>0.36</v>
      </c>
      <c r="AU396" s="383">
        <v>45716</v>
      </c>
      <c r="AV396" s="382">
        <v>196.4105</v>
      </c>
      <c r="AW396" s="33"/>
      <c r="AX396" s="394">
        <v>0.006969</v>
      </c>
      <c r="AY396" s="394">
        <v>0.020197</v>
      </c>
      <c r="AZ396" s="394">
        <v>0.035806</v>
      </c>
      <c r="BA396" s="394">
        <v>0.079537</v>
      </c>
      <c r="BB396" s="394" t="s">
        <v>113</v>
      </c>
      <c r="BC396" s="394" t="s">
        <v>113</v>
      </c>
      <c r="BD396" s="394" t="s">
        <v>113</v>
      </c>
      <c r="BE396" s="34"/>
      <c r="BF396" s="394">
        <v>0.020197</v>
      </c>
      <c r="BG396" s="394">
        <v>0.0790294399458922</v>
      </c>
      <c r="BH396" s="394">
        <v>0.06454</v>
      </c>
      <c r="BI396" s="394" t="s">
        <v>113</v>
      </c>
      <c r="BJ396" s="394" t="s">
        <v>113</v>
      </c>
      <c r="BK396" s="394" t="s">
        <v>113</v>
      </c>
      <c r="BL396" s="394" t="s">
        <v>113</v>
      </c>
      <c r="BM396" s="394" t="s">
        <v>113</v>
      </c>
      <c r="BN396" s="394" t="s">
        <v>113</v>
      </c>
      <c r="BO396" s="394" t="s">
        <v>113</v>
      </c>
      <c r="BP396" s="394" t="s">
        <v>113</v>
      </c>
      <c r="BQ396" s="394" t="s">
        <v>113</v>
      </c>
      <c r="BR396" s="394" t="s">
        <v>113</v>
      </c>
      <c r="BS396" s="394" t="s">
        <v>113</v>
      </c>
      <c r="BT396" s="394" t="s">
        <v>113</v>
      </c>
      <c r="BU396" s="394" t="s">
        <v>113</v>
      </c>
    </row>
    <row r="397" spans="45:73">
      <c r="AS397" s="379" t="s">
        <v>683</v>
      </c>
      <c r="AT397" s="382">
        <v>0.35</v>
      </c>
      <c r="AU397" s="383">
        <v>45716</v>
      </c>
      <c r="AV397" s="382">
        <v>48.8178</v>
      </c>
      <c r="AW397" s="33"/>
      <c r="AX397" s="394">
        <v>0.007424</v>
      </c>
      <c r="AY397" s="394">
        <v>0.021225</v>
      </c>
      <c r="AZ397" s="394">
        <v>0.036396</v>
      </c>
      <c r="BA397" s="394">
        <v>0.081835</v>
      </c>
      <c r="BB397" s="394" t="s">
        <v>113</v>
      </c>
      <c r="BC397" s="394" t="s">
        <v>113</v>
      </c>
      <c r="BD397" s="394" t="s">
        <v>113</v>
      </c>
      <c r="BE397" s="34"/>
      <c r="BF397" s="394">
        <v>0.021225</v>
      </c>
      <c r="BG397" s="394">
        <v>0.0787484369671479</v>
      </c>
      <c r="BH397" s="394">
        <v>0.05564</v>
      </c>
      <c r="BI397" s="394" t="s">
        <v>113</v>
      </c>
      <c r="BJ397" s="394" t="s">
        <v>113</v>
      </c>
      <c r="BK397" s="394" t="s">
        <v>113</v>
      </c>
      <c r="BL397" s="394" t="s">
        <v>113</v>
      </c>
      <c r="BM397" s="394" t="s">
        <v>113</v>
      </c>
      <c r="BN397" s="394" t="s">
        <v>113</v>
      </c>
      <c r="BO397" s="394" t="s">
        <v>113</v>
      </c>
      <c r="BP397" s="394" t="s">
        <v>113</v>
      </c>
      <c r="BQ397" s="394" t="s">
        <v>113</v>
      </c>
      <c r="BR397" s="394" t="s">
        <v>113</v>
      </c>
      <c r="BS397" s="394" t="s">
        <v>113</v>
      </c>
      <c r="BT397" s="394" t="s">
        <v>113</v>
      </c>
      <c r="BU397" s="394" t="s">
        <v>113</v>
      </c>
    </row>
    <row r="398" spans="45:73">
      <c r="AS398" s="379" t="s">
        <v>684</v>
      </c>
      <c r="AT398" s="382">
        <v>0.43</v>
      </c>
      <c r="AU398" s="383">
        <v>45716</v>
      </c>
      <c r="AV398" s="382">
        <v>1883.1827</v>
      </c>
      <c r="AW398" s="33"/>
      <c r="AX398" s="394">
        <v>0.007277</v>
      </c>
      <c r="AY398" s="394">
        <v>0.021919</v>
      </c>
      <c r="AZ398" s="394">
        <v>0.03624</v>
      </c>
      <c r="BA398" s="394">
        <v>0.083564</v>
      </c>
      <c r="BB398" s="394">
        <v>0.065901</v>
      </c>
      <c r="BC398" s="394" t="s">
        <v>113</v>
      </c>
      <c r="BD398" s="394" t="s">
        <v>113</v>
      </c>
      <c r="BE398" s="34"/>
      <c r="BF398" s="394">
        <v>0.021919</v>
      </c>
      <c r="BG398" s="394">
        <v>0.0799741225352625</v>
      </c>
      <c r="BH398" s="394">
        <v>0.0733930597394469</v>
      </c>
      <c r="BI398" s="394">
        <v>0.0224399999999999</v>
      </c>
      <c r="BJ398" s="394" t="s">
        <v>113</v>
      </c>
      <c r="BK398" s="394" t="s">
        <v>113</v>
      </c>
      <c r="BL398" s="394" t="s">
        <v>113</v>
      </c>
      <c r="BM398" s="394" t="s">
        <v>113</v>
      </c>
      <c r="BN398" s="394" t="s">
        <v>113</v>
      </c>
      <c r="BO398" s="394" t="s">
        <v>113</v>
      </c>
      <c r="BP398" s="394" t="s">
        <v>113</v>
      </c>
      <c r="BQ398" s="394" t="s">
        <v>113</v>
      </c>
      <c r="BR398" s="394" t="s">
        <v>113</v>
      </c>
      <c r="BS398" s="394" t="s">
        <v>113</v>
      </c>
      <c r="BT398" s="394" t="s">
        <v>113</v>
      </c>
      <c r="BU398" s="394" t="s">
        <v>113</v>
      </c>
    </row>
    <row r="399" spans="45:73">
      <c r="AS399" s="379" t="s">
        <v>685</v>
      </c>
      <c r="AT399" s="382">
        <v>0.44</v>
      </c>
      <c r="AU399" s="383">
        <v>45716</v>
      </c>
      <c r="AV399" s="382">
        <v>197.8809</v>
      </c>
      <c r="AW399" s="33"/>
      <c r="AX399" s="394">
        <v>0.007797</v>
      </c>
      <c r="AY399" s="394">
        <v>0.021311</v>
      </c>
      <c r="AZ399" s="394">
        <v>0.035775</v>
      </c>
      <c r="BA399" s="394">
        <v>0.079458</v>
      </c>
      <c r="BB399" s="394" t="s">
        <v>113</v>
      </c>
      <c r="BC399" s="394" t="s">
        <v>113</v>
      </c>
      <c r="BD399" s="394" t="s">
        <v>113</v>
      </c>
      <c r="BE399" s="34"/>
      <c r="BF399" s="394">
        <v>0.021311</v>
      </c>
      <c r="BG399" s="394">
        <v>0.0754570574207956</v>
      </c>
      <c r="BH399" s="394">
        <v>0.0567600000000001</v>
      </c>
      <c r="BI399" s="394" t="s">
        <v>113</v>
      </c>
      <c r="BJ399" s="394" t="s">
        <v>113</v>
      </c>
      <c r="BK399" s="394" t="s">
        <v>113</v>
      </c>
      <c r="BL399" s="394" t="s">
        <v>113</v>
      </c>
      <c r="BM399" s="394" t="s">
        <v>113</v>
      </c>
      <c r="BN399" s="394" t="s">
        <v>113</v>
      </c>
      <c r="BO399" s="394" t="s">
        <v>113</v>
      </c>
      <c r="BP399" s="394" t="s">
        <v>113</v>
      </c>
      <c r="BQ399" s="394" t="s">
        <v>113</v>
      </c>
      <c r="BR399" s="394" t="s">
        <v>113</v>
      </c>
      <c r="BS399" s="394" t="s">
        <v>113</v>
      </c>
      <c r="BT399" s="394" t="s">
        <v>113</v>
      </c>
      <c r="BU399" s="394" t="s">
        <v>113</v>
      </c>
    </row>
    <row r="400" spans="45:73">
      <c r="AS400" s="379" t="s">
        <v>686</v>
      </c>
      <c r="AT400" s="382">
        <v>1.69</v>
      </c>
      <c r="AU400" s="383">
        <v>45716</v>
      </c>
      <c r="AV400" s="382">
        <v>256.9555</v>
      </c>
      <c r="AW400" s="33"/>
      <c r="AX400" s="394">
        <v>0.026647</v>
      </c>
      <c r="AY400" s="394">
        <v>0.026904</v>
      </c>
      <c r="AZ400" s="394">
        <v>0.028999</v>
      </c>
      <c r="BA400" s="394">
        <v>0.081377</v>
      </c>
      <c r="BB400" s="394">
        <v>0.063395</v>
      </c>
      <c r="BC400" s="394">
        <v>0.053055</v>
      </c>
      <c r="BD400" s="394">
        <v>0.064949</v>
      </c>
      <c r="BE400" s="34"/>
      <c r="BF400" s="394">
        <v>0.026904</v>
      </c>
      <c r="BG400" s="394">
        <v>0.0819437803302372</v>
      </c>
      <c r="BH400" s="394">
        <v>0.0561852485292405</v>
      </c>
      <c r="BI400" s="394">
        <v>0.0190269709960052</v>
      </c>
      <c r="BJ400" s="394">
        <v>0.00544227173560037</v>
      </c>
      <c r="BK400" s="394">
        <v>0.115639003240512</v>
      </c>
      <c r="BL400" s="394">
        <v>0.0840445598384483</v>
      </c>
      <c r="BM400" s="394">
        <v>0.0625935838334298</v>
      </c>
      <c r="BN400" s="394">
        <v>0.00462651492897947</v>
      </c>
      <c r="BO400" s="394">
        <v>0.167884908009406</v>
      </c>
      <c r="BP400" s="394">
        <v>0.0748419481268698</v>
      </c>
      <c r="BQ400" s="394">
        <v>0.163400230409167</v>
      </c>
      <c r="BR400" s="394">
        <v>0.0918750873534823</v>
      </c>
      <c r="BS400" s="394">
        <v>0.139187723767557</v>
      </c>
      <c r="BT400" s="394">
        <v>0.0448122220873403</v>
      </c>
      <c r="BU400" s="394">
        <v>0.0259559942801791</v>
      </c>
    </row>
    <row r="401" spans="45:73">
      <c r="AS401" s="379" t="s">
        <v>687</v>
      </c>
      <c r="AT401" s="382">
        <v>1.09</v>
      </c>
      <c r="AU401" s="383">
        <v>45716</v>
      </c>
      <c r="AV401" s="382">
        <v>6355.8141315882</v>
      </c>
      <c r="AW401" s="33"/>
      <c r="AX401" s="394">
        <v>0.01804</v>
      </c>
      <c r="AY401" s="394">
        <v>0.027226</v>
      </c>
      <c r="AZ401" s="394">
        <v>0.041967</v>
      </c>
      <c r="BA401" s="394">
        <v>0.086524</v>
      </c>
      <c r="BB401" s="394">
        <v>0.076953</v>
      </c>
      <c r="BC401" s="394">
        <v>0.070693</v>
      </c>
      <c r="BD401" s="394">
        <v>0.078587</v>
      </c>
      <c r="BE401" s="34"/>
      <c r="BF401" s="394">
        <v>0.027226</v>
      </c>
      <c r="BG401" s="394">
        <v>0.0818233732559575</v>
      </c>
      <c r="BH401" s="394">
        <v>0.0825588875190802</v>
      </c>
      <c r="BI401" s="394">
        <v>0.0366388055860724</v>
      </c>
      <c r="BJ401" s="394">
        <v>0.0376298327434616</v>
      </c>
      <c r="BK401" s="394">
        <v>0.126290418659526</v>
      </c>
      <c r="BL401" s="394">
        <v>0.108215203036698</v>
      </c>
      <c r="BM401" s="394">
        <v>0.0677284088751111</v>
      </c>
      <c r="BN401" s="394">
        <v>0.0205770298537171</v>
      </c>
      <c r="BO401" s="394">
        <v>0.181718954720368</v>
      </c>
      <c r="BP401" s="394">
        <v>0.0553230498554158</v>
      </c>
      <c r="BQ401" s="394">
        <v>0.179767256659902</v>
      </c>
      <c r="BR401" s="394">
        <v>0.00311290463894952</v>
      </c>
      <c r="BS401" s="394">
        <v>0.110061615739761</v>
      </c>
      <c r="BT401" s="394">
        <v>0.0590466380890348</v>
      </c>
      <c r="BU401" s="394">
        <v>0.0528775154138373</v>
      </c>
    </row>
    <row r="402" spans="45:73">
      <c r="AS402" s="379" t="s">
        <v>688</v>
      </c>
      <c r="AT402" s="382">
        <v>0.39</v>
      </c>
      <c r="AU402" s="383">
        <v>45716</v>
      </c>
      <c r="AV402" s="382">
        <v>986.555703265</v>
      </c>
      <c r="AW402" s="33"/>
      <c r="AX402" s="394">
        <v>0.013318</v>
      </c>
      <c r="AY402" s="394">
        <v>0.026275</v>
      </c>
      <c r="AZ402" s="394">
        <v>0.041664</v>
      </c>
      <c r="BA402" s="394">
        <v>0.09331</v>
      </c>
      <c r="BB402" s="394" t="s">
        <v>113</v>
      </c>
      <c r="BC402" s="394" t="s">
        <v>113</v>
      </c>
      <c r="BD402" s="394" t="s">
        <v>113</v>
      </c>
      <c r="BE402" s="34"/>
      <c r="BF402" s="394">
        <v>0.026275</v>
      </c>
      <c r="BG402" s="394">
        <v>0.0877677201456288</v>
      </c>
      <c r="BH402" s="394">
        <v>0.0779838512356253</v>
      </c>
      <c r="BI402" s="394">
        <v>0.0217499999999999</v>
      </c>
      <c r="BJ402" s="394" t="s">
        <v>113</v>
      </c>
      <c r="BK402" s="394" t="s">
        <v>113</v>
      </c>
      <c r="BL402" s="394" t="s">
        <v>113</v>
      </c>
      <c r="BM402" s="394" t="s">
        <v>113</v>
      </c>
      <c r="BN402" s="394" t="s">
        <v>113</v>
      </c>
      <c r="BO402" s="394" t="s">
        <v>113</v>
      </c>
      <c r="BP402" s="394" t="s">
        <v>113</v>
      </c>
      <c r="BQ402" s="394" t="s">
        <v>113</v>
      </c>
      <c r="BR402" s="394" t="s">
        <v>113</v>
      </c>
      <c r="BS402" s="394" t="s">
        <v>113</v>
      </c>
      <c r="BT402" s="394" t="s">
        <v>113</v>
      </c>
      <c r="BU402" s="394" t="s">
        <v>113</v>
      </c>
    </row>
    <row r="403" spans="45:73">
      <c r="AS403" s="379" t="s">
        <v>689</v>
      </c>
      <c r="AT403" s="382">
        <v>0.37</v>
      </c>
      <c r="AU403" s="383">
        <v>45716</v>
      </c>
      <c r="AV403" s="382">
        <v>985.4150505158</v>
      </c>
      <c r="AW403" s="33"/>
      <c r="AX403" s="394">
        <v>0.006247</v>
      </c>
      <c r="AY403" s="394">
        <v>0.022626</v>
      </c>
      <c r="AZ403" s="394">
        <v>0.036446</v>
      </c>
      <c r="BA403" s="394">
        <v>0.08767</v>
      </c>
      <c r="BB403" s="394" t="s">
        <v>113</v>
      </c>
      <c r="BC403" s="394" t="s">
        <v>113</v>
      </c>
      <c r="BD403" s="394" t="s">
        <v>113</v>
      </c>
      <c r="BE403" s="34"/>
      <c r="BF403" s="394">
        <v>0.022626</v>
      </c>
      <c r="BG403" s="394">
        <v>0.0849141578185988</v>
      </c>
      <c r="BH403" s="394">
        <v>0.0741153361282946</v>
      </c>
      <c r="BI403" s="394">
        <v>0.0232699999999999</v>
      </c>
      <c r="BJ403" s="394" t="s">
        <v>113</v>
      </c>
      <c r="BK403" s="394" t="s">
        <v>113</v>
      </c>
      <c r="BL403" s="394" t="s">
        <v>113</v>
      </c>
      <c r="BM403" s="394" t="s">
        <v>113</v>
      </c>
      <c r="BN403" s="394" t="s">
        <v>113</v>
      </c>
      <c r="BO403" s="394" t="s">
        <v>113</v>
      </c>
      <c r="BP403" s="394" t="s">
        <v>113</v>
      </c>
      <c r="BQ403" s="394" t="s">
        <v>113</v>
      </c>
      <c r="BR403" s="394" t="s">
        <v>113</v>
      </c>
      <c r="BS403" s="394" t="s">
        <v>113</v>
      </c>
      <c r="BT403" s="394" t="s">
        <v>113</v>
      </c>
      <c r="BU403" s="394" t="s">
        <v>113</v>
      </c>
    </row>
    <row r="404" spans="45:73">
      <c r="AS404" s="379" t="s">
        <v>690</v>
      </c>
      <c r="AT404" s="382">
        <v>0.39</v>
      </c>
      <c r="AU404" s="383">
        <v>45716</v>
      </c>
      <c r="AV404" s="382">
        <v>245.2491011859</v>
      </c>
      <c r="AW404" s="33"/>
      <c r="AX404" s="394">
        <v>0.006939</v>
      </c>
      <c r="AY404" s="394">
        <v>0.019948</v>
      </c>
      <c r="AZ404" s="394">
        <v>0.03551</v>
      </c>
      <c r="BA404" s="394">
        <v>0.078264</v>
      </c>
      <c r="BB404" s="394" t="s">
        <v>113</v>
      </c>
      <c r="BC404" s="394" t="s">
        <v>113</v>
      </c>
      <c r="BD404" s="394" t="s">
        <v>113</v>
      </c>
      <c r="BE404" s="34"/>
      <c r="BF404" s="394">
        <v>0.019948</v>
      </c>
      <c r="BG404" s="394">
        <v>0.0778187191381117</v>
      </c>
      <c r="BH404" s="394">
        <v>0.068179774831923</v>
      </c>
      <c r="BI404" s="394">
        <v>0.00103000000000009</v>
      </c>
      <c r="BJ404" s="394" t="s">
        <v>113</v>
      </c>
      <c r="BK404" s="394" t="s">
        <v>113</v>
      </c>
      <c r="BL404" s="394" t="s">
        <v>113</v>
      </c>
      <c r="BM404" s="394" t="s">
        <v>113</v>
      </c>
      <c r="BN404" s="394" t="s">
        <v>113</v>
      </c>
      <c r="BO404" s="394" t="s">
        <v>113</v>
      </c>
      <c r="BP404" s="394" t="s">
        <v>113</v>
      </c>
      <c r="BQ404" s="394" t="s">
        <v>113</v>
      </c>
      <c r="BR404" s="394" t="s">
        <v>113</v>
      </c>
      <c r="BS404" s="394" t="s">
        <v>113</v>
      </c>
      <c r="BT404" s="394" t="s">
        <v>113</v>
      </c>
      <c r="BU404" s="394" t="s">
        <v>113</v>
      </c>
    </row>
    <row r="405" spans="45:73">
      <c r="AS405" s="379" t="s">
        <v>691</v>
      </c>
      <c r="AT405" s="382">
        <v>0.35</v>
      </c>
      <c r="AU405" s="383">
        <v>45716</v>
      </c>
      <c r="AV405" s="382">
        <v>1763.3141018</v>
      </c>
      <c r="AW405" s="33"/>
      <c r="AX405" s="394">
        <v>0.006464</v>
      </c>
      <c r="AY405" s="394">
        <v>0.021067</v>
      </c>
      <c r="AZ405" s="394">
        <v>0.035716</v>
      </c>
      <c r="BA405" s="394">
        <v>0.083968</v>
      </c>
      <c r="BB405" s="394">
        <v>0.061353</v>
      </c>
      <c r="BC405" s="394" t="s">
        <v>113</v>
      </c>
      <c r="BD405" s="394" t="s">
        <v>113</v>
      </c>
      <c r="BE405" s="34"/>
      <c r="BF405" s="394">
        <v>0.021067</v>
      </c>
      <c r="BG405" s="394">
        <v>0.0820219755949422</v>
      </c>
      <c r="BH405" s="394">
        <v>0.0704849720719923</v>
      </c>
      <c r="BI405" s="394">
        <v>0.01511</v>
      </c>
      <c r="BJ405" s="394" t="s">
        <v>113</v>
      </c>
      <c r="BK405" s="394" t="s">
        <v>113</v>
      </c>
      <c r="BL405" s="394" t="s">
        <v>113</v>
      </c>
      <c r="BM405" s="394" t="s">
        <v>113</v>
      </c>
      <c r="BN405" s="394" t="s">
        <v>113</v>
      </c>
      <c r="BO405" s="394" t="s">
        <v>113</v>
      </c>
      <c r="BP405" s="394" t="s">
        <v>113</v>
      </c>
      <c r="BQ405" s="394" t="s">
        <v>113</v>
      </c>
      <c r="BR405" s="394" t="s">
        <v>113</v>
      </c>
      <c r="BS405" s="394" t="s">
        <v>113</v>
      </c>
      <c r="BT405" s="394" t="s">
        <v>113</v>
      </c>
      <c r="BU405" s="394" t="s">
        <v>113</v>
      </c>
    </row>
    <row r="406" spans="45:73">
      <c r="AS406" s="379" t="s">
        <v>692</v>
      </c>
      <c r="AT406" s="382">
        <v>1.25</v>
      </c>
      <c r="AU406" s="383">
        <v>45716</v>
      </c>
      <c r="AV406" s="382">
        <v>1219.8868</v>
      </c>
      <c r="AW406" s="33"/>
      <c r="AX406" s="394">
        <v>0.028368</v>
      </c>
      <c r="AY406" s="394">
        <v>0.027602</v>
      </c>
      <c r="AZ406" s="394">
        <v>0.029275</v>
      </c>
      <c r="BA406" s="394">
        <v>0.087203</v>
      </c>
      <c r="BB406" s="394">
        <v>0.074038</v>
      </c>
      <c r="BC406" s="394">
        <v>0.054922</v>
      </c>
      <c r="BD406" s="394">
        <v>0.064676</v>
      </c>
      <c r="BE406" s="34"/>
      <c r="BF406" s="394">
        <v>0.027602</v>
      </c>
      <c r="BG406" s="394">
        <v>0.099682438947349</v>
      </c>
      <c r="BH406" s="394">
        <v>0.0658093238251114</v>
      </c>
      <c r="BI406" s="394">
        <v>0.0234888129769512</v>
      </c>
      <c r="BJ406" s="394">
        <v>0.00669004491370828</v>
      </c>
      <c r="BK406" s="394">
        <v>0.0824330938747022</v>
      </c>
      <c r="BL406" s="394">
        <v>0.0964410169756312</v>
      </c>
      <c r="BM406" s="394">
        <v>0.0620176746185907</v>
      </c>
      <c r="BN406" s="394">
        <v>0.0118603777629852</v>
      </c>
      <c r="BO406" s="394">
        <v>0.166083089172177</v>
      </c>
      <c r="BP406" s="394">
        <v>0.0424778050048734</v>
      </c>
      <c r="BQ406" s="394">
        <v>0.169950027579191</v>
      </c>
      <c r="BR406" s="394">
        <v>0.00851002495134892</v>
      </c>
      <c r="BS406" s="394">
        <v>0.0713074620668178</v>
      </c>
      <c r="BT406" s="394">
        <v>0.0509100165457554</v>
      </c>
      <c r="BU406" s="394">
        <v>0.123643941406011</v>
      </c>
    </row>
    <row r="407" spans="45:73">
      <c r="AS407" s="379" t="s">
        <v>693</v>
      </c>
      <c r="AT407" s="382">
        <v>0.29</v>
      </c>
      <c r="AU407" s="383">
        <v>45716</v>
      </c>
      <c r="AV407" s="382">
        <v>69.9278</v>
      </c>
      <c r="AW407" s="33"/>
      <c r="AX407" s="394">
        <v>0.007888</v>
      </c>
      <c r="AY407" s="394">
        <v>0.021649</v>
      </c>
      <c r="AZ407" s="394">
        <v>0.036506</v>
      </c>
      <c r="BA407" s="394">
        <v>0.081119</v>
      </c>
      <c r="BB407" s="394" t="s">
        <v>113</v>
      </c>
      <c r="BC407" s="394" t="s">
        <v>113</v>
      </c>
      <c r="BD407" s="394" t="s">
        <v>113</v>
      </c>
      <c r="BE407" s="34"/>
      <c r="BF407" s="394">
        <v>0.021649</v>
      </c>
      <c r="BG407" s="394">
        <v>0.0771758036583918</v>
      </c>
      <c r="BH407" s="394">
        <v>0.0569945</v>
      </c>
      <c r="BI407" s="394" t="s">
        <v>113</v>
      </c>
      <c r="BJ407" s="394" t="s">
        <v>113</v>
      </c>
      <c r="BK407" s="394" t="s">
        <v>113</v>
      </c>
      <c r="BL407" s="394" t="s">
        <v>113</v>
      </c>
      <c r="BM407" s="394" t="s">
        <v>113</v>
      </c>
      <c r="BN407" s="394" t="s">
        <v>113</v>
      </c>
      <c r="BO407" s="394" t="s">
        <v>113</v>
      </c>
      <c r="BP407" s="394" t="s">
        <v>113</v>
      </c>
      <c r="BQ407" s="394" t="s">
        <v>113</v>
      </c>
      <c r="BR407" s="394" t="s">
        <v>113</v>
      </c>
      <c r="BS407" s="394" t="s">
        <v>113</v>
      </c>
      <c r="BT407" s="394" t="s">
        <v>113</v>
      </c>
      <c r="BU407" s="394" t="s">
        <v>113</v>
      </c>
    </row>
    <row r="408" spans="45:73">
      <c r="AS408" s="379" t="s">
        <v>694</v>
      </c>
      <c r="AT408" s="382">
        <v>0.29</v>
      </c>
      <c r="AU408" s="383">
        <v>45716</v>
      </c>
      <c r="AV408" s="382">
        <v>49.4896</v>
      </c>
      <c r="AW408" s="33"/>
      <c r="AX408" s="394">
        <v>0.016635</v>
      </c>
      <c r="AY408" s="394">
        <v>0.030373</v>
      </c>
      <c r="AZ408" s="394">
        <v>0.042223</v>
      </c>
      <c r="BA408" s="394">
        <v>0.099109</v>
      </c>
      <c r="BB408" s="394" t="s">
        <v>113</v>
      </c>
      <c r="BC408" s="394" t="s">
        <v>113</v>
      </c>
      <c r="BD408" s="394" t="s">
        <v>113</v>
      </c>
      <c r="BE408" s="34"/>
      <c r="BF408" s="394">
        <v>0.030373</v>
      </c>
      <c r="BG408" s="394">
        <v>0.0932965227880711</v>
      </c>
      <c r="BH408" s="394">
        <v>0.058339100871748</v>
      </c>
      <c r="BI408" s="394" t="s">
        <v>113</v>
      </c>
      <c r="BJ408" s="394" t="s">
        <v>113</v>
      </c>
      <c r="BK408" s="394" t="s">
        <v>113</v>
      </c>
      <c r="BL408" s="394" t="s">
        <v>113</v>
      </c>
      <c r="BM408" s="394" t="s">
        <v>113</v>
      </c>
      <c r="BN408" s="394" t="s">
        <v>113</v>
      </c>
      <c r="BO408" s="394" t="s">
        <v>113</v>
      </c>
      <c r="BP408" s="394" t="s">
        <v>113</v>
      </c>
      <c r="BQ408" s="394" t="s">
        <v>113</v>
      </c>
      <c r="BR408" s="394" t="s">
        <v>113</v>
      </c>
      <c r="BS408" s="394" t="s">
        <v>113</v>
      </c>
      <c r="BT408" s="394" t="s">
        <v>113</v>
      </c>
      <c r="BU408" s="394" t="s">
        <v>113</v>
      </c>
    </row>
    <row r="409" spans="45:73">
      <c r="AS409" s="379" t="s">
        <v>695</v>
      </c>
      <c r="AT409" s="382">
        <v>1.48</v>
      </c>
      <c r="AU409" s="383">
        <v>45716</v>
      </c>
      <c r="AV409" s="382">
        <v>4054.8322</v>
      </c>
      <c r="AW409" s="33"/>
      <c r="AX409" s="394">
        <v>0.029106</v>
      </c>
      <c r="AY409" s="394">
        <v>0.026571</v>
      </c>
      <c r="AZ409" s="394">
        <v>0.028631</v>
      </c>
      <c r="BA409" s="394">
        <v>0.085246</v>
      </c>
      <c r="BB409" s="394">
        <v>0.068222</v>
      </c>
      <c r="BC409" s="394">
        <v>0.062425</v>
      </c>
      <c r="BD409" s="394">
        <v>0.071765</v>
      </c>
      <c r="BE409" s="34"/>
      <c r="BF409" s="394">
        <v>0.026571</v>
      </c>
      <c r="BG409" s="394">
        <v>0.0829846979971814</v>
      </c>
      <c r="BH409" s="394">
        <v>0.0727619660101002</v>
      </c>
      <c r="BI409" s="394">
        <v>0.0243069208339931</v>
      </c>
      <c r="BJ409" s="394">
        <v>0.021854694265181</v>
      </c>
      <c r="BK409" s="394">
        <v>0.132554916642535</v>
      </c>
      <c r="BL409" s="394">
        <v>0.0979902309879809</v>
      </c>
      <c r="BM409" s="394">
        <v>0.0738756724363799</v>
      </c>
      <c r="BN409" s="394">
        <v>0.00695532279539065</v>
      </c>
      <c r="BO409" s="394">
        <v>0.164954521024958</v>
      </c>
      <c r="BP409" s="394">
        <v>0.0526715455339435</v>
      </c>
      <c r="BQ409" s="394">
        <v>0.170919331193987</v>
      </c>
      <c r="BR409" s="394">
        <v>0.000635154276957463</v>
      </c>
      <c r="BS409" s="394">
        <v>0.14629030394083</v>
      </c>
      <c r="BT409" s="394">
        <v>0.0703859475507176</v>
      </c>
      <c r="BU409" s="394">
        <v>0.0505864388056792</v>
      </c>
    </row>
    <row r="410" spans="45:73">
      <c r="AS410" s="379" t="s">
        <v>696</v>
      </c>
      <c r="AT410" s="382">
        <v>0.39</v>
      </c>
      <c r="AU410" s="383">
        <v>45716</v>
      </c>
      <c r="AV410" s="382">
        <v>19.6605</v>
      </c>
      <c r="AW410" s="33"/>
      <c r="AX410" s="394">
        <v>0.015864</v>
      </c>
      <c r="AY410" s="394">
        <v>0.028962</v>
      </c>
      <c r="AZ410" s="394">
        <v>0.040706</v>
      </c>
      <c r="BA410" s="394">
        <v>0.095786</v>
      </c>
      <c r="BB410" s="394" t="s">
        <v>113</v>
      </c>
      <c r="BC410" s="394" t="s">
        <v>113</v>
      </c>
      <c r="BD410" s="394" t="s">
        <v>113</v>
      </c>
      <c r="BE410" s="34"/>
      <c r="BF410" s="394">
        <v>0.028962</v>
      </c>
      <c r="BG410" s="394">
        <v>0.0893726865380869</v>
      </c>
      <c r="BH410" s="394">
        <v>0.0266</v>
      </c>
      <c r="BI410" s="394" t="s">
        <v>113</v>
      </c>
      <c r="BJ410" s="394" t="s">
        <v>113</v>
      </c>
      <c r="BK410" s="394" t="s">
        <v>113</v>
      </c>
      <c r="BL410" s="394" t="s">
        <v>113</v>
      </c>
      <c r="BM410" s="394" t="s">
        <v>113</v>
      </c>
      <c r="BN410" s="394" t="s">
        <v>113</v>
      </c>
      <c r="BO410" s="394" t="s">
        <v>113</v>
      </c>
      <c r="BP410" s="394" t="s">
        <v>113</v>
      </c>
      <c r="BQ410" s="394" t="s">
        <v>113</v>
      </c>
      <c r="BR410" s="394" t="s">
        <v>113</v>
      </c>
      <c r="BS410" s="394" t="s">
        <v>113</v>
      </c>
      <c r="BT410" s="394" t="s">
        <v>113</v>
      </c>
      <c r="BU410" s="394" t="s">
        <v>113</v>
      </c>
    </row>
    <row r="411" spans="45:73">
      <c r="AS411" s="379" t="s">
        <v>697</v>
      </c>
      <c r="AT411" s="382">
        <v>0.41</v>
      </c>
      <c r="AU411" s="383">
        <v>45716</v>
      </c>
      <c r="AV411" s="382">
        <v>105.3659</v>
      </c>
      <c r="AW411" s="33"/>
      <c r="AX411" s="394">
        <v>0.006654</v>
      </c>
      <c r="AY411" s="394">
        <v>0.019488</v>
      </c>
      <c r="AZ411" s="394">
        <v>0.034884</v>
      </c>
      <c r="BA411" s="394">
        <v>0.077535</v>
      </c>
      <c r="BB411" s="394" t="s">
        <v>113</v>
      </c>
      <c r="BC411" s="394" t="s">
        <v>113</v>
      </c>
      <c r="BD411" s="394" t="s">
        <v>113</v>
      </c>
      <c r="BE411" s="34"/>
      <c r="BF411" s="394">
        <v>0.019488</v>
      </c>
      <c r="BG411" s="394">
        <v>0.077408911428411</v>
      </c>
      <c r="BH411" s="394">
        <v>0.0671179806693826</v>
      </c>
      <c r="BI411" s="394">
        <v>0.00152000000000001</v>
      </c>
      <c r="BJ411" s="394" t="s">
        <v>113</v>
      </c>
      <c r="BK411" s="394" t="s">
        <v>113</v>
      </c>
      <c r="BL411" s="394" t="s">
        <v>113</v>
      </c>
      <c r="BM411" s="394" t="s">
        <v>113</v>
      </c>
      <c r="BN411" s="394" t="s">
        <v>113</v>
      </c>
      <c r="BO411" s="394" t="s">
        <v>113</v>
      </c>
      <c r="BP411" s="394" t="s">
        <v>113</v>
      </c>
      <c r="BQ411" s="394" t="s">
        <v>113</v>
      </c>
      <c r="BR411" s="394" t="s">
        <v>113</v>
      </c>
      <c r="BS411" s="394" t="s">
        <v>113</v>
      </c>
      <c r="BT411" s="394" t="s">
        <v>113</v>
      </c>
      <c r="BU411" s="394" t="s">
        <v>113</v>
      </c>
    </row>
    <row r="412" spans="45:73">
      <c r="AS412" s="379" t="s">
        <v>698</v>
      </c>
      <c r="AT412" s="382">
        <v>0.43</v>
      </c>
      <c r="AU412" s="383">
        <v>45716</v>
      </c>
      <c r="AV412" s="382">
        <v>213.7436</v>
      </c>
      <c r="AW412" s="33"/>
      <c r="AX412" s="394">
        <v>0.019519</v>
      </c>
      <c r="AY412" s="394">
        <v>0.028979</v>
      </c>
      <c r="AZ412" s="394">
        <v>0.042436</v>
      </c>
      <c r="BA412" s="394">
        <v>0.098386</v>
      </c>
      <c r="BB412" s="394" t="s">
        <v>113</v>
      </c>
      <c r="BC412" s="394" t="s">
        <v>113</v>
      </c>
      <c r="BD412" s="394" t="s">
        <v>113</v>
      </c>
      <c r="BE412" s="34"/>
      <c r="BF412" s="394">
        <v>0.028979</v>
      </c>
      <c r="BG412" s="394">
        <v>0.101402079657645</v>
      </c>
      <c r="BH412" s="394">
        <v>0.06556</v>
      </c>
      <c r="BI412" s="394" t="s">
        <v>113</v>
      </c>
      <c r="BJ412" s="394" t="s">
        <v>113</v>
      </c>
      <c r="BK412" s="394" t="s">
        <v>113</v>
      </c>
      <c r="BL412" s="394" t="s">
        <v>113</v>
      </c>
      <c r="BM412" s="394" t="s">
        <v>113</v>
      </c>
      <c r="BN412" s="394" t="s">
        <v>113</v>
      </c>
      <c r="BO412" s="394" t="s">
        <v>113</v>
      </c>
      <c r="BP412" s="394" t="s">
        <v>113</v>
      </c>
      <c r="BQ412" s="394" t="s">
        <v>113</v>
      </c>
      <c r="BR412" s="394" t="s">
        <v>113</v>
      </c>
      <c r="BS412" s="394" t="s">
        <v>113</v>
      </c>
      <c r="BT412" s="394" t="s">
        <v>113</v>
      </c>
      <c r="BU412" s="394" t="s">
        <v>113</v>
      </c>
    </row>
    <row r="413" spans="45:73">
      <c r="AS413" s="379" t="s">
        <v>699</v>
      </c>
      <c r="AT413" s="382">
        <v>1.48</v>
      </c>
      <c r="AU413" s="383">
        <v>45716</v>
      </c>
      <c r="AV413" s="382">
        <v>102.7678</v>
      </c>
      <c r="AW413" s="33"/>
      <c r="AX413" s="394">
        <v>0.027659</v>
      </c>
      <c r="AY413" s="394">
        <v>0.027986</v>
      </c>
      <c r="AZ413" s="394">
        <v>0.032365</v>
      </c>
      <c r="BA413" s="394">
        <v>0.083639</v>
      </c>
      <c r="BB413" s="394">
        <v>0.063324</v>
      </c>
      <c r="BC413" s="394">
        <v>0.055678</v>
      </c>
      <c r="BD413" s="394">
        <v>0.067213</v>
      </c>
      <c r="BE413" s="34"/>
      <c r="BF413" s="394">
        <v>0.027986</v>
      </c>
      <c r="BG413" s="394">
        <v>0.0851607264617575</v>
      </c>
      <c r="BH413" s="394">
        <v>0.0623989434083087</v>
      </c>
      <c r="BI413" s="394">
        <v>0.0182179759117648</v>
      </c>
      <c r="BJ413" s="394">
        <v>0.0175339296154851</v>
      </c>
      <c r="BK413" s="394">
        <v>0.109702029951155</v>
      </c>
      <c r="BL413" s="394">
        <v>0.112555641732515</v>
      </c>
      <c r="BM413" s="394">
        <v>0.077110347090303</v>
      </c>
      <c r="BN413" s="394">
        <v>0.00512676977478245</v>
      </c>
      <c r="BO413" s="394">
        <v>0.14410226980891</v>
      </c>
      <c r="BP413" s="394">
        <v>0.0537849603913091</v>
      </c>
      <c r="BQ413" s="394">
        <v>0.154611455729408</v>
      </c>
      <c r="BR413" s="394">
        <v>-0.00646961427607779</v>
      </c>
      <c r="BS413" s="394">
        <v>0.0880854080653906</v>
      </c>
      <c r="BT413" s="394">
        <v>0.0716967302501027</v>
      </c>
      <c r="BU413" s="394">
        <v>0.0254920114031148</v>
      </c>
    </row>
    <row r="414" spans="45:73">
      <c r="AS414" s="379" t="s">
        <v>700</v>
      </c>
      <c r="AT414" s="382">
        <v>0.36</v>
      </c>
      <c r="AU414" s="383">
        <v>45716</v>
      </c>
      <c r="AV414" s="382">
        <v>240.516873684</v>
      </c>
      <c r="AW414" s="33"/>
      <c r="AX414" s="394">
        <v>0.015996</v>
      </c>
      <c r="AY414" s="394">
        <v>0.029093</v>
      </c>
      <c r="AZ414" s="394">
        <v>0.041087</v>
      </c>
      <c r="BA414" s="394">
        <v>0.097634</v>
      </c>
      <c r="BB414" s="394" t="s">
        <v>113</v>
      </c>
      <c r="BC414" s="394" t="s">
        <v>113</v>
      </c>
      <c r="BD414" s="394" t="s">
        <v>113</v>
      </c>
      <c r="BE414" s="34"/>
      <c r="BF414" s="394">
        <v>0.029093</v>
      </c>
      <c r="BG414" s="394">
        <v>0.0922376747475112</v>
      </c>
      <c r="BH414" s="394">
        <v>0.0769786560956083</v>
      </c>
      <c r="BI414" s="394">
        <v>0.02418</v>
      </c>
      <c r="BJ414" s="394" t="s">
        <v>113</v>
      </c>
      <c r="BK414" s="394" t="s">
        <v>113</v>
      </c>
      <c r="BL414" s="394" t="s">
        <v>113</v>
      </c>
      <c r="BM414" s="394" t="s">
        <v>113</v>
      </c>
      <c r="BN414" s="394" t="s">
        <v>113</v>
      </c>
      <c r="BO414" s="394" t="s">
        <v>113</v>
      </c>
      <c r="BP414" s="394" t="s">
        <v>113</v>
      </c>
      <c r="BQ414" s="394" t="s">
        <v>113</v>
      </c>
      <c r="BR414" s="394" t="s">
        <v>113</v>
      </c>
      <c r="BS414" s="394" t="s">
        <v>113</v>
      </c>
      <c r="BT414" s="394" t="s">
        <v>113</v>
      </c>
      <c r="BU414" s="394" t="s">
        <v>113</v>
      </c>
    </row>
    <row r="415" spans="45:73">
      <c r="AS415" s="379" t="s">
        <v>701</v>
      </c>
      <c r="AT415" s="382">
        <v>0.33</v>
      </c>
      <c r="AU415" s="383">
        <v>45716</v>
      </c>
      <c r="AV415" s="382">
        <v>764.805504632</v>
      </c>
      <c r="AW415" s="33"/>
      <c r="AX415" s="394">
        <v>0.006725</v>
      </c>
      <c r="AY415" s="394">
        <v>0.020537</v>
      </c>
      <c r="AZ415" s="394">
        <v>0.036272</v>
      </c>
      <c r="BA415" s="394">
        <v>0.083543</v>
      </c>
      <c r="BB415" s="394">
        <v>0.062074</v>
      </c>
      <c r="BC415" s="394" t="s">
        <v>113</v>
      </c>
      <c r="BD415" s="394" t="s">
        <v>113</v>
      </c>
      <c r="BE415" s="34"/>
      <c r="BF415" s="394">
        <v>0.020537</v>
      </c>
      <c r="BG415" s="394">
        <v>0.0822855353211559</v>
      </c>
      <c r="BH415" s="394">
        <v>0.0702413344374779</v>
      </c>
      <c r="BI415" s="394">
        <v>0.0143599999999999</v>
      </c>
      <c r="BJ415" s="394" t="s">
        <v>113</v>
      </c>
      <c r="BK415" s="394" t="s">
        <v>113</v>
      </c>
      <c r="BL415" s="394" t="s">
        <v>113</v>
      </c>
      <c r="BM415" s="394" t="s">
        <v>113</v>
      </c>
      <c r="BN415" s="394" t="s">
        <v>113</v>
      </c>
      <c r="BO415" s="394" t="s">
        <v>113</v>
      </c>
      <c r="BP415" s="394" t="s">
        <v>113</v>
      </c>
      <c r="BQ415" s="394" t="s">
        <v>113</v>
      </c>
      <c r="BR415" s="394" t="s">
        <v>113</v>
      </c>
      <c r="BS415" s="394" t="s">
        <v>113</v>
      </c>
      <c r="BT415" s="394" t="s">
        <v>113</v>
      </c>
      <c r="BU415" s="394" t="s">
        <v>113</v>
      </c>
    </row>
    <row r="416" spans="45:73">
      <c r="AS416" s="379" t="s">
        <v>702</v>
      </c>
      <c r="AT416" s="382">
        <v>0.48</v>
      </c>
      <c r="AU416" s="383">
        <v>45716</v>
      </c>
      <c r="AV416" s="382">
        <v>71.25703181</v>
      </c>
      <c r="AW416" s="33"/>
      <c r="AX416" s="394">
        <v>0.006388</v>
      </c>
      <c r="AY416" s="394">
        <v>0.0215</v>
      </c>
      <c r="AZ416" s="394">
        <v>0.035576</v>
      </c>
      <c r="BA416" s="394">
        <v>0.083979</v>
      </c>
      <c r="BB416" s="394" t="s">
        <v>113</v>
      </c>
      <c r="BC416" s="394" t="s">
        <v>113</v>
      </c>
      <c r="BD416" s="394" t="s">
        <v>113</v>
      </c>
      <c r="BE416" s="34"/>
      <c r="BF416" s="394">
        <v>0.0215</v>
      </c>
      <c r="BG416" s="394">
        <v>0.0817903581476694</v>
      </c>
      <c r="BH416" s="394">
        <v>0.0520799999999999</v>
      </c>
      <c r="BI416" s="394" t="s">
        <v>113</v>
      </c>
      <c r="BJ416" s="394" t="s">
        <v>113</v>
      </c>
      <c r="BK416" s="394" t="s">
        <v>113</v>
      </c>
      <c r="BL416" s="394" t="s">
        <v>113</v>
      </c>
      <c r="BM416" s="394" t="s">
        <v>113</v>
      </c>
      <c r="BN416" s="394" t="s">
        <v>113</v>
      </c>
      <c r="BO416" s="394" t="s">
        <v>113</v>
      </c>
      <c r="BP416" s="394" t="s">
        <v>113</v>
      </c>
      <c r="BQ416" s="394" t="s">
        <v>113</v>
      </c>
      <c r="BR416" s="394" t="s">
        <v>113</v>
      </c>
      <c r="BS416" s="394" t="s">
        <v>113</v>
      </c>
      <c r="BT416" s="394" t="s">
        <v>113</v>
      </c>
      <c r="BU416" s="394" t="s">
        <v>113</v>
      </c>
    </row>
    <row r="417" spans="45:73">
      <c r="AS417" s="379" t="s">
        <v>703</v>
      </c>
      <c r="AT417" s="382">
        <v>1.28</v>
      </c>
      <c r="AU417" s="383">
        <v>45716</v>
      </c>
      <c r="AV417" s="382">
        <v>2125.7003</v>
      </c>
      <c r="AW417" s="33"/>
      <c r="AX417" s="394">
        <v>0.024483</v>
      </c>
      <c r="AY417" s="394">
        <v>0.02762</v>
      </c>
      <c r="AZ417" s="394">
        <v>0.032859</v>
      </c>
      <c r="BA417" s="394">
        <v>0.087852</v>
      </c>
      <c r="BB417" s="394">
        <v>0.068307</v>
      </c>
      <c r="BC417" s="394">
        <v>0.058987</v>
      </c>
      <c r="BD417" s="394">
        <v>0.076451</v>
      </c>
      <c r="BE417" s="34"/>
      <c r="BF417" s="394">
        <v>0.02762</v>
      </c>
      <c r="BG417" s="394">
        <v>0.0889935091903693</v>
      </c>
      <c r="BH417" s="394">
        <v>0.0673075096411407</v>
      </c>
      <c r="BI417" s="394">
        <v>0.0206697302852268</v>
      </c>
      <c r="BJ417" s="394">
        <v>0.0180589506792258</v>
      </c>
      <c r="BK417" s="394">
        <v>0.112221486308964</v>
      </c>
      <c r="BL417" s="394">
        <v>0.123748391155777</v>
      </c>
      <c r="BM417" s="394">
        <v>0.0801254291640572</v>
      </c>
      <c r="BN417" s="394">
        <v>0.0340651265328619</v>
      </c>
      <c r="BO417" s="394">
        <v>0.169798953397161</v>
      </c>
      <c r="BP417" s="394">
        <v>0.0624175899446889</v>
      </c>
      <c r="BQ417" s="394">
        <v>0.186352185925565</v>
      </c>
      <c r="BR417" s="394">
        <v>0.0326713286713287</v>
      </c>
      <c r="BS417" s="394">
        <v>0.130345427238954</v>
      </c>
      <c r="BT417" s="394">
        <v>0.0466010903645855</v>
      </c>
      <c r="BU417" s="394">
        <v>0.0315321465754126</v>
      </c>
    </row>
    <row r="418" spans="45:73">
      <c r="AS418" s="379" t="s">
        <v>704</v>
      </c>
      <c r="AT418" s="382">
        <v>0.42</v>
      </c>
      <c r="AU418" s="383">
        <v>45716</v>
      </c>
      <c r="AV418" s="382">
        <v>747.7454</v>
      </c>
      <c r="AW418" s="33"/>
      <c r="AX418" s="394">
        <v>0.022064</v>
      </c>
      <c r="AY418" s="394">
        <v>0.031033</v>
      </c>
      <c r="AZ418" s="394">
        <v>0.042986</v>
      </c>
      <c r="BA418" s="394">
        <v>0.101348</v>
      </c>
      <c r="BB418" s="394" t="s">
        <v>113</v>
      </c>
      <c r="BC418" s="394" t="s">
        <v>113</v>
      </c>
      <c r="BD418" s="394" t="s">
        <v>113</v>
      </c>
      <c r="BE418" s="34"/>
      <c r="BF418" s="394">
        <v>0.031033</v>
      </c>
      <c r="BG418" s="394">
        <v>0.104034678226075</v>
      </c>
      <c r="BH418" s="394">
        <v>0.0802233205931203</v>
      </c>
      <c r="BI418" s="394">
        <v>-0.000539999999999985</v>
      </c>
      <c r="BJ418" s="394" t="s">
        <v>113</v>
      </c>
      <c r="BK418" s="394" t="s">
        <v>113</v>
      </c>
      <c r="BL418" s="394" t="s">
        <v>113</v>
      </c>
      <c r="BM418" s="394" t="s">
        <v>113</v>
      </c>
      <c r="BN418" s="394" t="s">
        <v>113</v>
      </c>
      <c r="BO418" s="394" t="s">
        <v>113</v>
      </c>
      <c r="BP418" s="394" t="s">
        <v>113</v>
      </c>
      <c r="BQ418" s="394" t="s">
        <v>113</v>
      </c>
      <c r="BR418" s="394" t="s">
        <v>113</v>
      </c>
      <c r="BS418" s="394" t="s">
        <v>113</v>
      </c>
      <c r="BT418" s="394" t="s">
        <v>113</v>
      </c>
      <c r="BU418" s="394" t="s">
        <v>113</v>
      </c>
    </row>
    <row r="419" spans="45:73">
      <c r="AS419" s="379" t="s">
        <v>705</v>
      </c>
      <c r="AT419" s="382">
        <v>0.36</v>
      </c>
      <c r="AU419" s="383">
        <v>45716</v>
      </c>
      <c r="AV419" s="382">
        <v>119.4842</v>
      </c>
      <c r="AW419" s="33"/>
      <c r="AX419" s="394">
        <v>0.009462</v>
      </c>
      <c r="AY419" s="394">
        <v>0.023908</v>
      </c>
      <c r="AZ419" s="394">
        <v>0.038161</v>
      </c>
      <c r="BA419" s="394">
        <v>0.085207</v>
      </c>
      <c r="BB419" s="394" t="s">
        <v>113</v>
      </c>
      <c r="BC419" s="394" t="s">
        <v>113</v>
      </c>
      <c r="BD419" s="394" t="s">
        <v>113</v>
      </c>
      <c r="BE419" s="34"/>
      <c r="BF419" s="394">
        <v>0.023908</v>
      </c>
      <c r="BG419" s="394">
        <v>0.0791982948809033</v>
      </c>
      <c r="BH419" s="394">
        <v>0.06972</v>
      </c>
      <c r="BI419" s="394" t="s">
        <v>113</v>
      </c>
      <c r="BJ419" s="394" t="s">
        <v>113</v>
      </c>
      <c r="BK419" s="394" t="s">
        <v>113</v>
      </c>
      <c r="BL419" s="394" t="s">
        <v>113</v>
      </c>
      <c r="BM419" s="394" t="s">
        <v>113</v>
      </c>
      <c r="BN419" s="394" t="s">
        <v>113</v>
      </c>
      <c r="BO419" s="394" t="s">
        <v>113</v>
      </c>
      <c r="BP419" s="394" t="s">
        <v>113</v>
      </c>
      <c r="BQ419" s="394" t="s">
        <v>113</v>
      </c>
      <c r="BR419" s="394" t="s">
        <v>113</v>
      </c>
      <c r="BS419" s="394" t="s">
        <v>113</v>
      </c>
      <c r="BT419" s="394" t="s">
        <v>113</v>
      </c>
      <c r="BU419" s="394" t="s">
        <v>113</v>
      </c>
    </row>
    <row r="420" spans="45:73">
      <c r="AS420" s="379" t="s">
        <v>706</v>
      </c>
      <c r="AT420" s="382">
        <v>0.4</v>
      </c>
      <c r="AU420" s="383">
        <v>45716</v>
      </c>
      <c r="AV420" s="382">
        <v>400.3554</v>
      </c>
      <c r="AW420" s="33"/>
      <c r="AX420" s="394">
        <v>0.007842</v>
      </c>
      <c r="AY420" s="394">
        <v>0.021674</v>
      </c>
      <c r="AZ420" s="394">
        <v>0.036146</v>
      </c>
      <c r="BA420" s="394">
        <v>0.080359</v>
      </c>
      <c r="BB420" s="394" t="s">
        <v>113</v>
      </c>
      <c r="BC420" s="394" t="s">
        <v>113</v>
      </c>
      <c r="BD420" s="394" t="s">
        <v>113</v>
      </c>
      <c r="BE420" s="34"/>
      <c r="BF420" s="394">
        <v>0.021674</v>
      </c>
      <c r="BG420" s="394">
        <v>0.0760722705205974</v>
      </c>
      <c r="BH420" s="394">
        <v>0.0735550087029589</v>
      </c>
      <c r="BI420" s="394">
        <v>-0.000339999999999918</v>
      </c>
      <c r="BJ420" s="394" t="s">
        <v>113</v>
      </c>
      <c r="BK420" s="394" t="s">
        <v>113</v>
      </c>
      <c r="BL420" s="394" t="s">
        <v>113</v>
      </c>
      <c r="BM420" s="394" t="s">
        <v>113</v>
      </c>
      <c r="BN420" s="394" t="s">
        <v>113</v>
      </c>
      <c r="BO420" s="394" t="s">
        <v>113</v>
      </c>
      <c r="BP420" s="394" t="s">
        <v>113</v>
      </c>
      <c r="BQ420" s="394" t="s">
        <v>113</v>
      </c>
      <c r="BR420" s="394" t="s">
        <v>113</v>
      </c>
      <c r="BS420" s="394" t="s">
        <v>113</v>
      </c>
      <c r="BT420" s="394" t="s">
        <v>113</v>
      </c>
      <c r="BU420" s="394" t="s">
        <v>113</v>
      </c>
    </row>
    <row r="421" spans="45:73">
      <c r="AS421" s="379" t="s">
        <v>707</v>
      </c>
      <c r="AT421" s="382">
        <v>0.39</v>
      </c>
      <c r="AU421" s="383">
        <v>45716</v>
      </c>
      <c r="AV421" s="382">
        <v>319.4917</v>
      </c>
      <c r="AW421" s="33"/>
      <c r="AX421" s="394">
        <v>0.008387</v>
      </c>
      <c r="AY421" s="394">
        <v>0.022973</v>
      </c>
      <c r="AZ421" s="394">
        <v>0.037896</v>
      </c>
      <c r="BA421" s="394">
        <v>0.088254</v>
      </c>
      <c r="BB421" s="394" t="s">
        <v>113</v>
      </c>
      <c r="BC421" s="394" t="s">
        <v>113</v>
      </c>
      <c r="BD421" s="394" t="s">
        <v>113</v>
      </c>
      <c r="BE421" s="34"/>
      <c r="BF421" s="394">
        <v>0.022973</v>
      </c>
      <c r="BG421" s="394">
        <v>0.0875939177943071</v>
      </c>
      <c r="BH421" s="394">
        <v>0.06343</v>
      </c>
      <c r="BI421" s="394" t="s">
        <v>113</v>
      </c>
      <c r="BJ421" s="394" t="s">
        <v>113</v>
      </c>
      <c r="BK421" s="394" t="s">
        <v>113</v>
      </c>
      <c r="BL421" s="394" t="s">
        <v>113</v>
      </c>
      <c r="BM421" s="394" t="s">
        <v>113</v>
      </c>
      <c r="BN421" s="394" t="s">
        <v>113</v>
      </c>
      <c r="BO421" s="394" t="s">
        <v>113</v>
      </c>
      <c r="BP421" s="394" t="s">
        <v>113</v>
      </c>
      <c r="BQ421" s="394" t="s">
        <v>113</v>
      </c>
      <c r="BR421" s="394" t="s">
        <v>113</v>
      </c>
      <c r="BS421" s="394" t="s">
        <v>113</v>
      </c>
      <c r="BT421" s="394" t="s">
        <v>113</v>
      </c>
      <c r="BU421" s="394" t="s">
        <v>113</v>
      </c>
    </row>
    <row r="422" spans="45:73">
      <c r="AS422" s="379" t="s">
        <v>708</v>
      </c>
      <c r="AT422" s="382">
        <v>0.4</v>
      </c>
      <c r="AU422" s="383">
        <v>45716</v>
      </c>
      <c r="AV422" s="382">
        <v>403.9883</v>
      </c>
      <c r="AW422" s="33"/>
      <c r="AX422" s="394">
        <v>0.007006</v>
      </c>
      <c r="AY422" s="394">
        <v>0.021683</v>
      </c>
      <c r="AZ422" s="394">
        <v>0.03611</v>
      </c>
      <c r="BA422" s="394">
        <v>0.084354</v>
      </c>
      <c r="BB422" s="394" t="s">
        <v>113</v>
      </c>
      <c r="BC422" s="394" t="s">
        <v>113</v>
      </c>
      <c r="BD422" s="394" t="s">
        <v>113</v>
      </c>
      <c r="BE422" s="34"/>
      <c r="BF422" s="394">
        <v>0.021683</v>
      </c>
      <c r="BG422" s="394">
        <v>0.0817716101420141</v>
      </c>
      <c r="BH422" s="394">
        <v>0.0725200699467452</v>
      </c>
      <c r="BI422" s="394">
        <v>0.00648</v>
      </c>
      <c r="BJ422" s="394" t="s">
        <v>113</v>
      </c>
      <c r="BK422" s="394" t="s">
        <v>113</v>
      </c>
      <c r="BL422" s="394" t="s">
        <v>113</v>
      </c>
      <c r="BM422" s="394" t="s">
        <v>113</v>
      </c>
      <c r="BN422" s="394" t="s">
        <v>113</v>
      </c>
      <c r="BO422" s="394" t="s">
        <v>113</v>
      </c>
      <c r="BP422" s="394" t="s">
        <v>113</v>
      </c>
      <c r="BQ422" s="394" t="s">
        <v>113</v>
      </c>
      <c r="BR422" s="394" t="s">
        <v>113</v>
      </c>
      <c r="BS422" s="394" t="s">
        <v>113</v>
      </c>
      <c r="BT422" s="394" t="s">
        <v>113</v>
      </c>
      <c r="BU422" s="394" t="s">
        <v>113</v>
      </c>
    </row>
    <row r="423" spans="45:73">
      <c r="AS423" s="379" t="s">
        <v>709</v>
      </c>
      <c r="AT423" s="382">
        <v>0.41</v>
      </c>
      <c r="AU423" s="383">
        <v>45716</v>
      </c>
      <c r="AV423" s="382">
        <v>26.5438</v>
      </c>
      <c r="AW423" s="33"/>
      <c r="AX423" s="394">
        <v>0.008045</v>
      </c>
      <c r="AY423" s="394">
        <v>0.02233</v>
      </c>
      <c r="AZ423" s="394">
        <v>0.036542</v>
      </c>
      <c r="BA423" s="394">
        <v>0.08177</v>
      </c>
      <c r="BB423" s="394" t="s">
        <v>113</v>
      </c>
      <c r="BC423" s="394" t="s">
        <v>113</v>
      </c>
      <c r="BD423" s="394" t="s">
        <v>113</v>
      </c>
      <c r="BE423" s="34"/>
      <c r="BF423" s="394">
        <v>0.02233</v>
      </c>
      <c r="BG423" s="394">
        <v>0.0770958504127127</v>
      </c>
      <c r="BH423" s="394">
        <v>0.06854</v>
      </c>
      <c r="BI423" s="394" t="s">
        <v>113</v>
      </c>
      <c r="BJ423" s="394" t="s">
        <v>113</v>
      </c>
      <c r="BK423" s="394" t="s">
        <v>113</v>
      </c>
      <c r="BL423" s="394" t="s">
        <v>113</v>
      </c>
      <c r="BM423" s="394" t="s">
        <v>113</v>
      </c>
      <c r="BN423" s="394" t="s">
        <v>113</v>
      </c>
      <c r="BO423" s="394" t="s">
        <v>113</v>
      </c>
      <c r="BP423" s="394" t="s">
        <v>113</v>
      </c>
      <c r="BQ423" s="394" t="s">
        <v>113</v>
      </c>
      <c r="BR423" s="394" t="s">
        <v>113</v>
      </c>
      <c r="BS423" s="394" t="s">
        <v>113</v>
      </c>
      <c r="BT423" s="394" t="s">
        <v>113</v>
      </c>
      <c r="BU423" s="394" t="s">
        <v>113</v>
      </c>
    </row>
    <row r="424" spans="45:73">
      <c r="AS424" s="379" t="s">
        <v>710</v>
      </c>
      <c r="AT424" s="382">
        <v>1.49</v>
      </c>
      <c r="AU424" s="383">
        <v>45716</v>
      </c>
      <c r="AV424" s="382">
        <v>113.5435</v>
      </c>
      <c r="AW424" s="33"/>
      <c r="AX424" s="394">
        <v>0.021737</v>
      </c>
      <c r="AY424" s="394">
        <v>0.026275</v>
      </c>
      <c r="AZ424" s="394">
        <v>0.030814</v>
      </c>
      <c r="BA424" s="394">
        <v>0.085009</v>
      </c>
      <c r="BB424" s="394">
        <v>0.06681</v>
      </c>
      <c r="BC424" s="394">
        <v>0.057207</v>
      </c>
      <c r="BD424" s="394">
        <v>0.069137</v>
      </c>
      <c r="BE424" s="34"/>
      <c r="BF424" s="394">
        <v>0.026275</v>
      </c>
      <c r="BG424" s="394">
        <v>0.0890573152619981</v>
      </c>
      <c r="BH424" s="394">
        <v>0.0662116939424277</v>
      </c>
      <c r="BI424" s="394">
        <v>0.0179338514133516</v>
      </c>
      <c r="BJ424" s="394">
        <v>0.0288528616842184</v>
      </c>
      <c r="BK424" s="394">
        <v>0.0936506341142503</v>
      </c>
      <c r="BL424" s="394">
        <v>0.101295564891449</v>
      </c>
      <c r="BM424" s="394">
        <v>0.0594842107507623</v>
      </c>
      <c r="BN424" s="394">
        <v>0.0398891352549889</v>
      </c>
      <c r="BO424" s="394">
        <v>0.126338463459557</v>
      </c>
      <c r="BP424" s="394">
        <v>0.0709939283708241</v>
      </c>
      <c r="BQ424" s="394">
        <v>0.1449001309131</v>
      </c>
      <c r="BR424" s="394">
        <v>0.0341630643041502</v>
      </c>
      <c r="BS424" s="394">
        <v>0.0886477448048197</v>
      </c>
      <c r="BT424" s="394">
        <v>0.0519153180107892</v>
      </c>
      <c r="BU424" s="394">
        <v>0.0468990261404409</v>
      </c>
    </row>
    <row r="425" spans="45:73">
      <c r="AS425" s="379" t="s">
        <v>711</v>
      </c>
      <c r="AT425" s="382">
        <v>1.42</v>
      </c>
      <c r="AU425" s="383">
        <v>45716</v>
      </c>
      <c r="AV425" s="382">
        <v>121.0753</v>
      </c>
      <c r="AW425" s="33"/>
      <c r="AX425" s="394">
        <v>0.014947</v>
      </c>
      <c r="AY425" s="394">
        <v>0.02233</v>
      </c>
      <c r="AZ425" s="394">
        <v>0.034367</v>
      </c>
      <c r="BA425" s="394">
        <v>0.07737</v>
      </c>
      <c r="BB425" s="394" t="s">
        <v>113</v>
      </c>
      <c r="BC425" s="394" t="s">
        <v>113</v>
      </c>
      <c r="BD425" s="394" t="s">
        <v>113</v>
      </c>
      <c r="BE425" s="34"/>
      <c r="BF425" s="394">
        <v>0.02233</v>
      </c>
      <c r="BG425" s="394">
        <v>0.0752467801071731</v>
      </c>
      <c r="BH425" s="394">
        <v>0.0620644207919804</v>
      </c>
      <c r="BI425" s="394">
        <v>0.00153999999999996</v>
      </c>
      <c r="BJ425" s="394" t="s">
        <v>113</v>
      </c>
      <c r="BK425" s="394" t="s">
        <v>113</v>
      </c>
      <c r="BL425" s="394" t="s">
        <v>113</v>
      </c>
      <c r="BM425" s="394" t="s">
        <v>113</v>
      </c>
      <c r="BN425" s="394" t="s">
        <v>113</v>
      </c>
      <c r="BO425" s="394" t="s">
        <v>113</v>
      </c>
      <c r="BP425" s="394" t="s">
        <v>113</v>
      </c>
      <c r="BQ425" s="394" t="s">
        <v>113</v>
      </c>
      <c r="BR425" s="394" t="s">
        <v>113</v>
      </c>
      <c r="BS425" s="394" t="s">
        <v>113</v>
      </c>
      <c r="BT425" s="394" t="s">
        <v>113</v>
      </c>
      <c r="BU425" s="394" t="s">
        <v>113</v>
      </c>
    </row>
    <row r="426" spans="45:73">
      <c r="AS426" s="379" t="s">
        <v>712</v>
      </c>
      <c r="AT426" s="382">
        <v>0.43</v>
      </c>
      <c r="AU426" s="383">
        <v>45716</v>
      </c>
      <c r="AV426" s="382">
        <v>2269.9253</v>
      </c>
      <c r="AW426" s="33"/>
      <c r="AX426" s="394">
        <v>0.010796</v>
      </c>
      <c r="AY426" s="394">
        <v>0.024843</v>
      </c>
      <c r="AZ426" s="394">
        <v>0.038657</v>
      </c>
      <c r="BA426" s="394">
        <v>0.088322</v>
      </c>
      <c r="BB426" s="394" t="s">
        <v>113</v>
      </c>
      <c r="BC426" s="394" t="s">
        <v>113</v>
      </c>
      <c r="BD426" s="394" t="s">
        <v>113</v>
      </c>
      <c r="BE426" s="34"/>
      <c r="BF426" s="394">
        <v>0.024843</v>
      </c>
      <c r="BG426" s="394">
        <v>0.0829987344422896</v>
      </c>
      <c r="BH426" s="394">
        <v>0.0780412634223906</v>
      </c>
      <c r="BI426" s="394">
        <v>0.01882</v>
      </c>
      <c r="BJ426" s="394" t="s">
        <v>113</v>
      </c>
      <c r="BK426" s="394" t="s">
        <v>113</v>
      </c>
      <c r="BL426" s="394" t="s">
        <v>113</v>
      </c>
      <c r="BM426" s="394" t="s">
        <v>113</v>
      </c>
      <c r="BN426" s="394" t="s">
        <v>113</v>
      </c>
      <c r="BO426" s="394" t="s">
        <v>113</v>
      </c>
      <c r="BP426" s="394" t="s">
        <v>113</v>
      </c>
      <c r="BQ426" s="394" t="s">
        <v>113</v>
      </c>
      <c r="BR426" s="394" t="s">
        <v>113</v>
      </c>
      <c r="BS426" s="394" t="s">
        <v>113</v>
      </c>
      <c r="BT426" s="394" t="s">
        <v>113</v>
      </c>
      <c r="BU426" s="394" t="s">
        <v>113</v>
      </c>
    </row>
    <row r="427" spans="45:73">
      <c r="AS427" s="379" t="s">
        <v>713</v>
      </c>
      <c r="AT427" s="382">
        <v>0.5</v>
      </c>
      <c r="AU427" s="383">
        <v>45716</v>
      </c>
      <c r="AV427" s="382">
        <v>2453.5121</v>
      </c>
      <c r="AW427" s="33"/>
      <c r="AX427" s="394">
        <v>0.02202</v>
      </c>
      <c r="AY427" s="394">
        <v>0.031215</v>
      </c>
      <c r="AZ427" s="394">
        <v>0.042228</v>
      </c>
      <c r="BA427" s="394">
        <v>0.100285</v>
      </c>
      <c r="BB427" s="394" t="s">
        <v>113</v>
      </c>
      <c r="BC427" s="394" t="s">
        <v>113</v>
      </c>
      <c r="BD427" s="394" t="s">
        <v>113</v>
      </c>
      <c r="BE427" s="34"/>
      <c r="BF427" s="394">
        <v>0.031215</v>
      </c>
      <c r="BG427" s="394">
        <v>0.10171179244856</v>
      </c>
      <c r="BH427" s="394">
        <v>0.0804976574497012</v>
      </c>
      <c r="BI427" s="394">
        <v>0.02239</v>
      </c>
      <c r="BJ427" s="394" t="s">
        <v>113</v>
      </c>
      <c r="BK427" s="394" t="s">
        <v>113</v>
      </c>
      <c r="BL427" s="394" t="s">
        <v>113</v>
      </c>
      <c r="BM427" s="394" t="s">
        <v>113</v>
      </c>
      <c r="BN427" s="394" t="s">
        <v>113</v>
      </c>
      <c r="BO427" s="394" t="s">
        <v>113</v>
      </c>
      <c r="BP427" s="394" t="s">
        <v>113</v>
      </c>
      <c r="BQ427" s="394" t="s">
        <v>113</v>
      </c>
      <c r="BR427" s="394" t="s">
        <v>113</v>
      </c>
      <c r="BS427" s="394" t="s">
        <v>113</v>
      </c>
      <c r="BT427" s="394" t="s">
        <v>113</v>
      </c>
      <c r="BU427" s="394" t="s">
        <v>113</v>
      </c>
    </row>
    <row r="428" spans="45:73">
      <c r="AS428" s="379" t="s">
        <v>714</v>
      </c>
      <c r="AT428" s="382">
        <v>0.38</v>
      </c>
      <c r="AU428" s="383">
        <v>45716</v>
      </c>
      <c r="AV428" s="382">
        <v>1116.1505</v>
      </c>
      <c r="AW428" s="33"/>
      <c r="AX428" s="394">
        <v>0.006528</v>
      </c>
      <c r="AY428" s="394">
        <v>0.021075</v>
      </c>
      <c r="AZ428" s="394">
        <v>0.035397</v>
      </c>
      <c r="BA428" s="394">
        <v>0.083569</v>
      </c>
      <c r="BB428" s="394" t="s">
        <v>113</v>
      </c>
      <c r="BC428" s="394" t="s">
        <v>113</v>
      </c>
      <c r="BD428" s="394" t="s">
        <v>113</v>
      </c>
      <c r="BE428" s="34"/>
      <c r="BF428" s="394">
        <v>0.021075</v>
      </c>
      <c r="BG428" s="394">
        <v>0.0814983036510578</v>
      </c>
      <c r="BH428" s="394">
        <v>0.0701859687100266</v>
      </c>
      <c r="BI428" s="394">
        <v>0.0163</v>
      </c>
      <c r="BJ428" s="394" t="s">
        <v>113</v>
      </c>
      <c r="BK428" s="394" t="s">
        <v>113</v>
      </c>
      <c r="BL428" s="394" t="s">
        <v>113</v>
      </c>
      <c r="BM428" s="394" t="s">
        <v>113</v>
      </c>
      <c r="BN428" s="394" t="s">
        <v>113</v>
      </c>
      <c r="BO428" s="394" t="s">
        <v>113</v>
      </c>
      <c r="BP428" s="394" t="s">
        <v>113</v>
      </c>
      <c r="BQ428" s="394" t="s">
        <v>113</v>
      </c>
      <c r="BR428" s="394" t="s">
        <v>113</v>
      </c>
      <c r="BS428" s="394" t="s">
        <v>113</v>
      </c>
      <c r="BT428" s="394" t="s">
        <v>113</v>
      </c>
      <c r="BU428" s="394" t="s">
        <v>113</v>
      </c>
    </row>
    <row r="429" spans="45:73">
      <c r="AS429" s="379" t="s">
        <v>715</v>
      </c>
      <c r="AT429" s="382">
        <v>0.94</v>
      </c>
      <c r="AU429" s="383">
        <v>45716</v>
      </c>
      <c r="AV429" s="382">
        <v>11226.0618</v>
      </c>
      <c r="AW429" s="33"/>
      <c r="AX429" s="394">
        <v>0.025111</v>
      </c>
      <c r="AY429" s="394">
        <v>0.028603</v>
      </c>
      <c r="AZ429" s="394">
        <v>0.033435</v>
      </c>
      <c r="BA429" s="394">
        <v>0.089377</v>
      </c>
      <c r="BB429" s="394">
        <v>0.077792</v>
      </c>
      <c r="BC429" s="394">
        <v>0.068268</v>
      </c>
      <c r="BD429" s="394">
        <v>0.079559</v>
      </c>
      <c r="BE429" s="34"/>
      <c r="BF429" s="394">
        <v>0.028603</v>
      </c>
      <c r="BG429" s="394">
        <v>0.0892336821091878</v>
      </c>
      <c r="BH429" s="394">
        <v>0.0761438089437647</v>
      </c>
      <c r="BI429" s="394">
        <v>0.0423435849786175</v>
      </c>
      <c r="BJ429" s="394">
        <v>0.0298645850875195</v>
      </c>
      <c r="BK429" s="394">
        <v>0.117065656889802</v>
      </c>
      <c r="BL429" s="394">
        <v>0.131483790835925</v>
      </c>
      <c r="BM429" s="394">
        <v>0.051151723175813</v>
      </c>
      <c r="BN429" s="394">
        <v>0.0387406354240719</v>
      </c>
      <c r="BO429" s="394">
        <v>0.162781085970261</v>
      </c>
      <c r="BP429" s="394">
        <v>0.0734789716356836</v>
      </c>
      <c r="BQ429" s="394">
        <v>0.199018717212142</v>
      </c>
      <c r="BR429" s="394">
        <v>0.0642957001188968</v>
      </c>
      <c r="BS429" s="394">
        <v>0.109692915897426</v>
      </c>
      <c r="BT429" s="394">
        <v>0.0577073482428116</v>
      </c>
      <c r="BU429" s="394">
        <v>0.0467555260665536</v>
      </c>
    </row>
    <row r="430" spans="45:73">
      <c r="AS430" s="379" t="s">
        <v>716</v>
      </c>
      <c r="AT430" s="382">
        <v>0.36</v>
      </c>
      <c r="AU430" s="383">
        <v>45716</v>
      </c>
      <c r="AV430" s="382">
        <v>956.345270979</v>
      </c>
      <c r="AW430" s="33"/>
      <c r="AX430" s="394">
        <v>0.006665</v>
      </c>
      <c r="AY430" s="394">
        <v>0.018243</v>
      </c>
      <c r="AZ430" s="394">
        <v>0.033646</v>
      </c>
      <c r="BA430" s="394">
        <v>0.073411</v>
      </c>
      <c r="BB430" s="394" t="s">
        <v>113</v>
      </c>
      <c r="BC430" s="394" t="s">
        <v>113</v>
      </c>
      <c r="BD430" s="394" t="s">
        <v>113</v>
      </c>
      <c r="BE430" s="34"/>
      <c r="BF430" s="394">
        <v>0.018243</v>
      </c>
      <c r="BG430" s="394">
        <v>0.0725551472272882</v>
      </c>
      <c r="BH430" s="394">
        <v>0.0704461622979124</v>
      </c>
      <c r="BI430" s="394">
        <v>0.01936</v>
      </c>
      <c r="BJ430" s="394" t="s">
        <v>113</v>
      </c>
      <c r="BK430" s="394" t="s">
        <v>113</v>
      </c>
      <c r="BL430" s="394" t="s">
        <v>113</v>
      </c>
      <c r="BM430" s="394" t="s">
        <v>113</v>
      </c>
      <c r="BN430" s="394" t="s">
        <v>113</v>
      </c>
      <c r="BO430" s="394" t="s">
        <v>113</v>
      </c>
      <c r="BP430" s="394" t="s">
        <v>113</v>
      </c>
      <c r="BQ430" s="394" t="s">
        <v>113</v>
      </c>
      <c r="BR430" s="394" t="s">
        <v>113</v>
      </c>
      <c r="BS430" s="394" t="s">
        <v>113</v>
      </c>
      <c r="BT430" s="394" t="s">
        <v>113</v>
      </c>
      <c r="BU430" s="394" t="s">
        <v>113</v>
      </c>
    </row>
    <row r="431" spans="45:73">
      <c r="AS431" s="379" t="s">
        <v>717</v>
      </c>
      <c r="AT431" s="382">
        <v>1.39</v>
      </c>
      <c r="AU431" s="383">
        <v>45716</v>
      </c>
      <c r="AV431" s="382">
        <v>1070.8718779078</v>
      </c>
      <c r="AW431" s="33"/>
      <c r="AX431" s="394">
        <v>0.026655</v>
      </c>
      <c r="AY431" s="394">
        <v>0.027952</v>
      </c>
      <c r="AZ431" s="394">
        <v>0.03784</v>
      </c>
      <c r="BA431" s="394">
        <v>0.082442</v>
      </c>
      <c r="BB431" s="394">
        <v>0.07086</v>
      </c>
      <c r="BC431" s="394">
        <v>0.055981</v>
      </c>
      <c r="BD431" s="394">
        <v>0.064115</v>
      </c>
      <c r="BE431" s="34"/>
      <c r="BF431" s="394">
        <v>0.027952</v>
      </c>
      <c r="BG431" s="394">
        <v>0.0826664740719341</v>
      </c>
      <c r="BH431" s="394">
        <v>0.0748814959841385</v>
      </c>
      <c r="BI431" s="394">
        <v>0.0235713298126784</v>
      </c>
      <c r="BJ431" s="394">
        <v>0.00799683458630961</v>
      </c>
      <c r="BK431" s="394">
        <v>0.0985873603331064</v>
      </c>
      <c r="BL431" s="394">
        <v>0.096969673569538</v>
      </c>
      <c r="BM431" s="394">
        <v>0.0492969872037694</v>
      </c>
      <c r="BN431" s="394">
        <v>0.0267342197596957</v>
      </c>
      <c r="BO431" s="394">
        <v>0.133762182224622</v>
      </c>
      <c r="BP431" s="394">
        <v>0.0591221953607321</v>
      </c>
      <c r="BQ431" s="394">
        <v>0.176950571415134</v>
      </c>
      <c r="BR431" s="394">
        <v>0.0519597778629825</v>
      </c>
      <c r="BS431" s="394">
        <v>0.104031679923531</v>
      </c>
      <c r="BT431" s="394">
        <v>0.0456893382024838</v>
      </c>
      <c r="BU431" s="394">
        <v>0.0391348054944525</v>
      </c>
    </row>
    <row r="432" spans="45:73">
      <c r="AS432" s="379" t="s">
        <v>718</v>
      </c>
      <c r="AT432" s="382">
        <v>0.45</v>
      </c>
      <c r="AU432" s="383">
        <v>45716</v>
      </c>
      <c r="AV432" s="382">
        <v>101.5635926441</v>
      </c>
      <c r="AW432" s="33"/>
      <c r="AX432" s="394">
        <v>0.006865</v>
      </c>
      <c r="AY432" s="394">
        <v>0.01931</v>
      </c>
      <c r="AZ432" s="394">
        <v>0.033778</v>
      </c>
      <c r="BA432" s="394">
        <v>0.075661</v>
      </c>
      <c r="BB432" s="394" t="s">
        <v>113</v>
      </c>
      <c r="BC432" s="394" t="s">
        <v>113</v>
      </c>
      <c r="BD432" s="394" t="s">
        <v>113</v>
      </c>
      <c r="BE432" s="34"/>
      <c r="BF432" s="394">
        <v>0.01931</v>
      </c>
      <c r="BG432" s="394">
        <v>0.0734446842450971</v>
      </c>
      <c r="BH432" s="394">
        <v>0.0657</v>
      </c>
      <c r="BI432" s="394" t="s">
        <v>113</v>
      </c>
      <c r="BJ432" s="394" t="s">
        <v>113</v>
      </c>
      <c r="BK432" s="394" t="s">
        <v>113</v>
      </c>
      <c r="BL432" s="394" t="s">
        <v>113</v>
      </c>
      <c r="BM432" s="394" t="s">
        <v>113</v>
      </c>
      <c r="BN432" s="394" t="s">
        <v>113</v>
      </c>
      <c r="BO432" s="394" t="s">
        <v>113</v>
      </c>
      <c r="BP432" s="394" t="s">
        <v>113</v>
      </c>
      <c r="BQ432" s="394" t="s">
        <v>113</v>
      </c>
      <c r="BR432" s="394" t="s">
        <v>113</v>
      </c>
      <c r="BS432" s="394" t="s">
        <v>113</v>
      </c>
      <c r="BT432" s="394" t="s">
        <v>113</v>
      </c>
      <c r="BU432" s="394" t="s">
        <v>113</v>
      </c>
    </row>
    <row r="433" spans="45:73">
      <c r="AS433" s="379" t="s">
        <v>719</v>
      </c>
      <c r="AT433" s="382">
        <v>0.46</v>
      </c>
      <c r="AU433" s="383">
        <v>45716</v>
      </c>
      <c r="AV433" s="382">
        <v>179.8056967128</v>
      </c>
      <c r="AW433" s="33"/>
      <c r="AX433" s="394">
        <v>0.011231</v>
      </c>
      <c r="AY433" s="394">
        <v>0.025308</v>
      </c>
      <c r="AZ433" s="394">
        <v>0.03893</v>
      </c>
      <c r="BA433" s="394">
        <v>0.088412</v>
      </c>
      <c r="BB433" s="394" t="s">
        <v>113</v>
      </c>
      <c r="BC433" s="394" t="s">
        <v>113</v>
      </c>
      <c r="BD433" s="394" t="s">
        <v>113</v>
      </c>
      <c r="BE433" s="34"/>
      <c r="BF433" s="394">
        <v>0.025308</v>
      </c>
      <c r="BG433" s="394">
        <v>0.082687820811946</v>
      </c>
      <c r="BH433" s="394">
        <v>0.0715</v>
      </c>
      <c r="BI433" s="394" t="s">
        <v>113</v>
      </c>
      <c r="BJ433" s="394" t="s">
        <v>113</v>
      </c>
      <c r="BK433" s="394" t="s">
        <v>113</v>
      </c>
      <c r="BL433" s="394" t="s">
        <v>113</v>
      </c>
      <c r="BM433" s="394" t="s">
        <v>113</v>
      </c>
      <c r="BN433" s="394" t="s">
        <v>113</v>
      </c>
      <c r="BO433" s="394" t="s">
        <v>113</v>
      </c>
      <c r="BP433" s="394" t="s">
        <v>113</v>
      </c>
      <c r="BQ433" s="394" t="s">
        <v>113</v>
      </c>
      <c r="BR433" s="394" t="s">
        <v>113</v>
      </c>
      <c r="BS433" s="394" t="s">
        <v>113</v>
      </c>
      <c r="BT433" s="394" t="s">
        <v>113</v>
      </c>
      <c r="BU433" s="394" t="s">
        <v>113</v>
      </c>
    </row>
    <row r="434" spans="45:73">
      <c r="AS434" s="379" t="s">
        <v>720</v>
      </c>
      <c r="AT434" s="382">
        <v>1.14</v>
      </c>
      <c r="AU434" s="383">
        <v>45716</v>
      </c>
      <c r="AV434" s="382">
        <v>111.7444</v>
      </c>
      <c r="AW434" s="33"/>
      <c r="AX434" s="394">
        <v>0.024859</v>
      </c>
      <c r="AY434" s="394">
        <v>0.026015</v>
      </c>
      <c r="AZ434" s="394">
        <v>0.030489</v>
      </c>
      <c r="BA434" s="394">
        <v>0.086653</v>
      </c>
      <c r="BB434" s="394" t="s">
        <v>113</v>
      </c>
      <c r="BC434" s="394" t="s">
        <v>113</v>
      </c>
      <c r="BD434" s="394" t="s">
        <v>113</v>
      </c>
      <c r="BE434" s="34"/>
      <c r="BF434" s="394">
        <v>0.026015</v>
      </c>
      <c r="BG434" s="394">
        <v>0.0881736899895735</v>
      </c>
      <c r="BH434" s="394">
        <v>0.0666817582331057</v>
      </c>
      <c r="BI434" s="394">
        <v>0.01602</v>
      </c>
      <c r="BJ434" s="394" t="s">
        <v>113</v>
      </c>
      <c r="BK434" s="394" t="s">
        <v>113</v>
      </c>
      <c r="BL434" s="394" t="s">
        <v>113</v>
      </c>
      <c r="BM434" s="394" t="s">
        <v>113</v>
      </c>
      <c r="BN434" s="394" t="s">
        <v>113</v>
      </c>
      <c r="BO434" s="394" t="s">
        <v>113</v>
      </c>
      <c r="BP434" s="394" t="s">
        <v>113</v>
      </c>
      <c r="BQ434" s="394" t="s">
        <v>113</v>
      </c>
      <c r="BR434" s="394" t="s">
        <v>113</v>
      </c>
      <c r="BS434" s="394" t="s">
        <v>113</v>
      </c>
      <c r="BT434" s="394" t="s">
        <v>113</v>
      </c>
      <c r="BU434" s="394" t="s">
        <v>113</v>
      </c>
    </row>
    <row r="435" spans="45:73">
      <c r="AS435" s="379" t="s">
        <v>721</v>
      </c>
      <c r="AT435" s="382">
        <v>0.4</v>
      </c>
      <c r="AU435" s="383">
        <v>45716</v>
      </c>
      <c r="AV435" s="382">
        <v>342.8639</v>
      </c>
      <c r="AW435" s="33"/>
      <c r="AX435" s="394">
        <v>0.019643</v>
      </c>
      <c r="AY435" s="394">
        <v>0.028674</v>
      </c>
      <c r="AZ435" s="394">
        <v>0.042817</v>
      </c>
      <c r="BA435" s="394">
        <v>0.099014</v>
      </c>
      <c r="BB435" s="394" t="s">
        <v>113</v>
      </c>
      <c r="BC435" s="394" t="s">
        <v>113</v>
      </c>
      <c r="BD435" s="394" t="s">
        <v>113</v>
      </c>
      <c r="BE435" s="34"/>
      <c r="BF435" s="394">
        <v>0.028674</v>
      </c>
      <c r="BG435" s="394">
        <v>0.103091048488135</v>
      </c>
      <c r="BH435" s="394">
        <v>0.0683221127914177</v>
      </c>
      <c r="BI435" s="394">
        <v>0.00114000000000001</v>
      </c>
      <c r="BJ435" s="394" t="s">
        <v>113</v>
      </c>
      <c r="BK435" s="394" t="s">
        <v>113</v>
      </c>
      <c r="BL435" s="394" t="s">
        <v>113</v>
      </c>
      <c r="BM435" s="394" t="s">
        <v>113</v>
      </c>
      <c r="BN435" s="394" t="s">
        <v>113</v>
      </c>
      <c r="BO435" s="394" t="s">
        <v>113</v>
      </c>
      <c r="BP435" s="394" t="s">
        <v>113</v>
      </c>
      <c r="BQ435" s="394" t="s">
        <v>113</v>
      </c>
      <c r="BR435" s="394" t="s">
        <v>113</v>
      </c>
      <c r="BS435" s="394" t="s">
        <v>113</v>
      </c>
      <c r="BT435" s="394" t="s">
        <v>113</v>
      </c>
      <c r="BU435" s="394" t="s">
        <v>113</v>
      </c>
    </row>
    <row r="436" spans="45:73">
      <c r="AS436" s="379" t="s">
        <v>722</v>
      </c>
      <c r="AT436" s="382">
        <v>0.4</v>
      </c>
      <c r="AU436" s="383">
        <v>45716</v>
      </c>
      <c r="AV436" s="382">
        <v>74.735</v>
      </c>
      <c r="AW436" s="33"/>
      <c r="AX436" s="394">
        <v>0.006599</v>
      </c>
      <c r="AY436" s="394">
        <v>0.020239</v>
      </c>
      <c r="AZ436" s="394">
        <v>0.035776</v>
      </c>
      <c r="BA436" s="394">
        <v>0.082374</v>
      </c>
      <c r="BB436" s="394" t="s">
        <v>113</v>
      </c>
      <c r="BC436" s="394" t="s">
        <v>113</v>
      </c>
      <c r="BD436" s="394" t="s">
        <v>113</v>
      </c>
      <c r="BE436" s="34"/>
      <c r="BF436" s="394">
        <v>0.020239</v>
      </c>
      <c r="BG436" s="394">
        <v>0.0809648554500813</v>
      </c>
      <c r="BH436" s="394">
        <v>0.06503</v>
      </c>
      <c r="BI436" s="394" t="s">
        <v>113</v>
      </c>
      <c r="BJ436" s="394" t="s">
        <v>113</v>
      </c>
      <c r="BK436" s="394" t="s">
        <v>113</v>
      </c>
      <c r="BL436" s="394" t="s">
        <v>113</v>
      </c>
      <c r="BM436" s="394" t="s">
        <v>113</v>
      </c>
      <c r="BN436" s="394" t="s">
        <v>113</v>
      </c>
      <c r="BO436" s="394" t="s">
        <v>113</v>
      </c>
      <c r="BP436" s="394" t="s">
        <v>113</v>
      </c>
      <c r="BQ436" s="394" t="s">
        <v>113</v>
      </c>
      <c r="BR436" s="394" t="s">
        <v>113</v>
      </c>
      <c r="BS436" s="394" t="s">
        <v>113</v>
      </c>
      <c r="BT436" s="394" t="s">
        <v>113</v>
      </c>
      <c r="BU436" s="394" t="s">
        <v>113</v>
      </c>
    </row>
    <row r="437" spans="45:73">
      <c r="AS437" s="379" t="s">
        <v>723</v>
      </c>
      <c r="AT437" s="382">
        <v>0.92</v>
      </c>
      <c r="AU437" s="383">
        <v>45716</v>
      </c>
      <c r="AV437" s="382">
        <v>643.5596</v>
      </c>
      <c r="AW437" s="33"/>
      <c r="AX437" s="394">
        <v>0.023234</v>
      </c>
      <c r="AY437" s="394">
        <v>0.027659</v>
      </c>
      <c r="AZ437" s="394">
        <v>0.034597</v>
      </c>
      <c r="BA437" s="394">
        <v>0.087583</v>
      </c>
      <c r="BB437" s="394">
        <v>0.071962</v>
      </c>
      <c r="BC437" s="394">
        <v>0.061558</v>
      </c>
      <c r="BD437" s="394">
        <v>0.074011</v>
      </c>
      <c r="BE437" s="34"/>
      <c r="BF437" s="394">
        <v>0.027659</v>
      </c>
      <c r="BG437" s="394">
        <v>0.0891643479656442</v>
      </c>
      <c r="BH437" s="394">
        <v>0.0668076126204982</v>
      </c>
      <c r="BI437" s="394">
        <v>0.0294565568267561</v>
      </c>
      <c r="BJ437" s="394">
        <v>0.022652614012419</v>
      </c>
      <c r="BK437" s="394">
        <v>0.102659270375531</v>
      </c>
      <c r="BL437" s="394">
        <v>0.118258302804186</v>
      </c>
      <c r="BM437" s="394">
        <v>0.0630525158885651</v>
      </c>
      <c r="BN437" s="394">
        <v>0.0428997400267447</v>
      </c>
      <c r="BO437" s="394">
        <v>0.154968534956896</v>
      </c>
      <c r="BP437" s="394">
        <v>0.0610012620950779</v>
      </c>
      <c r="BQ437" s="394">
        <v>0.197972679128106</v>
      </c>
      <c r="BR437" s="394">
        <v>0.0398108351400353</v>
      </c>
      <c r="BS437" s="394">
        <v>0.102861803775344</v>
      </c>
      <c r="BT437" s="394">
        <v>0.0778861273970469</v>
      </c>
      <c r="BU437" s="394">
        <v>0.0464866854183644</v>
      </c>
    </row>
    <row r="438" spans="45:73">
      <c r="AS438" s="379" t="s">
        <v>724</v>
      </c>
      <c r="AT438" s="382">
        <v>0.41</v>
      </c>
      <c r="AU438" s="383">
        <v>45716</v>
      </c>
      <c r="AV438" s="382">
        <v>179.1381</v>
      </c>
      <c r="AW438" s="33"/>
      <c r="AX438" s="394">
        <v>0.007369</v>
      </c>
      <c r="AY438" s="394">
        <v>0.019681</v>
      </c>
      <c r="AZ438" s="394">
        <v>0.035869</v>
      </c>
      <c r="BA438" s="394">
        <v>0.076353</v>
      </c>
      <c r="BB438" s="394" t="s">
        <v>113</v>
      </c>
      <c r="BC438" s="394" t="s">
        <v>113</v>
      </c>
      <c r="BD438" s="394" t="s">
        <v>113</v>
      </c>
      <c r="BE438" s="34"/>
      <c r="BF438" s="394">
        <v>0.019681</v>
      </c>
      <c r="BG438" s="394">
        <v>0.075678526359407</v>
      </c>
      <c r="BH438" s="394">
        <v>0.0618600000000001</v>
      </c>
      <c r="BI438" s="394" t="s">
        <v>113</v>
      </c>
      <c r="BJ438" s="394" t="s">
        <v>113</v>
      </c>
      <c r="BK438" s="394" t="s">
        <v>113</v>
      </c>
      <c r="BL438" s="394" t="s">
        <v>113</v>
      </c>
      <c r="BM438" s="394" t="s">
        <v>113</v>
      </c>
      <c r="BN438" s="394" t="s">
        <v>113</v>
      </c>
      <c r="BO438" s="394" t="s">
        <v>113</v>
      </c>
      <c r="BP438" s="394" t="s">
        <v>113</v>
      </c>
      <c r="BQ438" s="394" t="s">
        <v>113</v>
      </c>
      <c r="BR438" s="394" t="s">
        <v>113</v>
      </c>
      <c r="BS438" s="394" t="s">
        <v>113</v>
      </c>
      <c r="BT438" s="394" t="s">
        <v>113</v>
      </c>
      <c r="BU438" s="394" t="s">
        <v>113</v>
      </c>
    </row>
    <row r="439" ht="14.55" spans="45:73">
      <c r="AS439" s="379" t="s">
        <v>725</v>
      </c>
      <c r="AT439" s="382">
        <v>0.4</v>
      </c>
      <c r="AU439" s="383">
        <v>45716</v>
      </c>
      <c r="AV439" s="382">
        <v>41.7407</v>
      </c>
      <c r="AW439" s="33"/>
      <c r="AX439" s="394">
        <v>0.007423</v>
      </c>
      <c r="AY439" s="394">
        <v>0.021468</v>
      </c>
      <c r="AZ439" s="394">
        <v>0.036038</v>
      </c>
      <c r="BA439" s="394">
        <v>0.08323</v>
      </c>
      <c r="BB439" s="394" t="s">
        <v>113</v>
      </c>
      <c r="BC439" s="394" t="s">
        <v>113</v>
      </c>
      <c r="BD439" s="394" t="s">
        <v>113</v>
      </c>
      <c r="BE439" s="34"/>
      <c r="BF439" s="394">
        <v>0.021468</v>
      </c>
      <c r="BG439" s="394">
        <v>0.0818938360994876</v>
      </c>
      <c r="BH439" s="394">
        <v>0.0634499999999999</v>
      </c>
      <c r="BI439" s="394" t="s">
        <v>113</v>
      </c>
      <c r="BJ439" s="394" t="s">
        <v>113</v>
      </c>
      <c r="BK439" s="394" t="s">
        <v>113</v>
      </c>
      <c r="BL439" s="394" t="s">
        <v>113</v>
      </c>
      <c r="BM439" s="394" t="s">
        <v>113</v>
      </c>
      <c r="BN439" s="394" t="s">
        <v>113</v>
      </c>
      <c r="BO439" s="394" t="s">
        <v>113</v>
      </c>
      <c r="BP439" s="394" t="s">
        <v>113</v>
      </c>
      <c r="BQ439" s="394" t="s">
        <v>113</v>
      </c>
      <c r="BR439" s="394" t="s">
        <v>113</v>
      </c>
      <c r="BS439" s="394" t="s">
        <v>113</v>
      </c>
      <c r="BT439" s="394" t="s">
        <v>113</v>
      </c>
      <c r="BU439" s="394" t="s">
        <v>113</v>
      </c>
    </row>
    <row r="440" ht="14.55" spans="45:73">
      <c r="AS440" s="4" t="s">
        <v>146</v>
      </c>
      <c r="AT440"/>
      <c r="AU440"/>
      <c r="AV440"/>
      <c r="AW440" s="395"/>
      <c r="AX440" s="396">
        <f t="shared" ref="AX440:BD440" si="48">AVERAGE(AX350:AX439)</f>
        <v>0.0135495444444444</v>
      </c>
      <c r="AY440" s="396">
        <f t="shared" si="48"/>
        <v>0.0241922696629213</v>
      </c>
      <c r="AZ440" s="396">
        <f t="shared" si="48"/>
        <v>0.0364770112359551</v>
      </c>
      <c r="BA440" s="396">
        <f t="shared" si="48"/>
        <v>0.0860211590909091</v>
      </c>
      <c r="BB440" s="396">
        <f t="shared" si="48"/>
        <v>0.0673560740740741</v>
      </c>
      <c r="BC440" s="396">
        <f t="shared" si="48"/>
        <v>0.0610122105263158</v>
      </c>
      <c r="BD440" s="396">
        <f t="shared" si="48"/>
        <v>0.0712312631578947</v>
      </c>
      <c r="BE440" s="395"/>
      <c r="BF440" s="396">
        <f t="shared" ref="BF440:BU440" si="49">AVERAGE(BF350:BF439)</f>
        <v>0.0241922696629213</v>
      </c>
      <c r="BG440" s="396">
        <f t="shared" si="49"/>
        <v>0.0840079341590877</v>
      </c>
      <c r="BH440" s="396">
        <f t="shared" si="49"/>
        <v>0.0676260957913907</v>
      </c>
      <c r="BI440" s="396">
        <f t="shared" si="49"/>
        <v>0.0166943474681036</v>
      </c>
      <c r="BJ440" s="396">
        <f t="shared" si="49"/>
        <v>0.0249130378946906</v>
      </c>
      <c r="BK440" s="396">
        <f t="shared" si="49"/>
        <v>0.1127430391114</v>
      </c>
      <c r="BL440" s="396">
        <f t="shared" si="49"/>
        <v>0.106346566174473</v>
      </c>
      <c r="BM440" s="396">
        <f t="shared" si="49"/>
        <v>0.0627889919486111</v>
      </c>
      <c r="BN440" s="396">
        <f t="shared" si="49"/>
        <v>0.0233353504562834</v>
      </c>
      <c r="BO440" s="396">
        <f t="shared" si="49"/>
        <v>0.154210833487001</v>
      </c>
      <c r="BP440" s="396">
        <f t="shared" si="49"/>
        <v>0.0603737748715251</v>
      </c>
      <c r="BQ440" s="396">
        <f t="shared" si="49"/>
        <v>0.171661197935142</v>
      </c>
      <c r="BR440" s="396">
        <f t="shared" si="49"/>
        <v>0.0284270797945766</v>
      </c>
      <c r="BS440" s="396">
        <f t="shared" si="49"/>
        <v>0.106577214227863</v>
      </c>
      <c r="BT440" s="396">
        <f t="shared" si="49"/>
        <v>0.0638959557910555</v>
      </c>
      <c r="BU440" s="396">
        <f t="shared" si="49"/>
        <v>0.0528059700504842</v>
      </c>
    </row>
    <row r="441" spans="45:73">
      <c r="AS441" s="4" t="s">
        <v>162</v>
      </c>
      <c r="AT441"/>
      <c r="AU441"/>
      <c r="AV441"/>
      <c r="AW441"/>
      <c r="AX441" s="397">
        <v>0.0087263867959253</v>
      </c>
      <c r="AY441" s="397">
        <v>0.0207643930788102</v>
      </c>
      <c r="AZ441" s="397">
        <v>0.0377184412193585</v>
      </c>
      <c r="BA441" s="397">
        <v>0.080280059411505</v>
      </c>
      <c r="BB441" s="397">
        <v>0.0659301709109001</v>
      </c>
      <c r="BC441" s="397">
        <v>0.0655149768088614</v>
      </c>
      <c r="BD441" s="397">
        <v>0.0738047315298365</v>
      </c>
      <c r="BE441" s="400"/>
      <c r="BF441" s="397">
        <v>0.0207643930788102</v>
      </c>
      <c r="BG441" s="397">
        <v>0.0797029257152309</v>
      </c>
      <c r="BH441" s="397">
        <v>0.0725988870220093</v>
      </c>
      <c r="BI441" s="397">
        <v>0.0358682288812193</v>
      </c>
      <c r="BJ441" s="397">
        <v>0.0437965988907254</v>
      </c>
      <c r="BK441" s="397">
        <v>0.104161972570555</v>
      </c>
      <c r="BL441" s="397">
        <v>0.0953364838894115</v>
      </c>
      <c r="BM441" s="397">
        <v>0.0665068187794211</v>
      </c>
      <c r="BN441" s="397">
        <v>0.0602957159773323</v>
      </c>
      <c r="BO441" s="397">
        <v>0.0986738756953636</v>
      </c>
      <c r="BP441" s="397">
        <v>0.0865549936165921</v>
      </c>
      <c r="BQ441" s="397">
        <v>0.104681934209951</v>
      </c>
      <c r="BR441" s="397">
        <v>0.0827206164504672</v>
      </c>
      <c r="BS441" s="397">
        <v>0.0912371315059957</v>
      </c>
      <c r="BT441" s="397">
        <v>0.0786771029274067</v>
      </c>
      <c r="BU441" s="397">
        <v>0.0470040326565153</v>
      </c>
    </row>
    <row r="442" ht="14.55" spans="45:73">
      <c r="AS442"/>
      <c r="AT442"/>
      <c r="AU442"/>
      <c r="AV442"/>
      <c r="AW442"/>
      <c r="AX442"/>
      <c r="AY442"/>
      <c r="AZ442"/>
      <c r="BA442"/>
      <c r="BB442"/>
      <c r="BC442"/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/>
      <c r="BR442"/>
      <c r="BS442"/>
      <c r="BT442"/>
      <c r="BU442"/>
    </row>
    <row r="443" ht="14.55" spans="45:73">
      <c r="AS443" s="350" t="s">
        <v>726</v>
      </c>
      <c r="AT443" s="369" t="s">
        <v>16</v>
      </c>
      <c r="AU443" s="411" t="s">
        <v>99</v>
      </c>
      <c r="AV443" s="412"/>
      <c r="AW443" s="386"/>
      <c r="AX443" s="353" t="s">
        <v>102</v>
      </c>
      <c r="AY443" s="354"/>
      <c r="AZ443" s="354"/>
      <c r="BA443" s="354"/>
      <c r="BB443" s="354"/>
      <c r="BC443" s="354"/>
      <c r="BD443" s="363"/>
      <c r="BE443" s="386"/>
      <c r="BF443" s="411" t="s">
        <v>103</v>
      </c>
      <c r="BG443" s="414"/>
      <c r="BH443" s="414"/>
      <c r="BI443" s="414"/>
      <c r="BJ443" s="414"/>
      <c r="BK443" s="414"/>
      <c r="BL443" s="414"/>
      <c r="BM443" s="414"/>
      <c r="BN443" s="414"/>
      <c r="BO443" s="414"/>
      <c r="BP443" s="414"/>
      <c r="BQ443" s="414"/>
      <c r="BR443" s="414"/>
      <c r="BS443" s="414"/>
      <c r="BT443" s="414"/>
      <c r="BU443" s="416"/>
    </row>
    <row r="444" ht="14.55" spans="45:73">
      <c r="AS444" s="352"/>
      <c r="AT444" s="373" t="s">
        <v>110</v>
      </c>
      <c r="AU444" s="374" t="s">
        <v>104</v>
      </c>
      <c r="AV444" s="375" t="s">
        <v>105</v>
      </c>
      <c r="AW444" s="387"/>
      <c r="AX444" s="16" t="s">
        <v>89</v>
      </c>
      <c r="AY444" s="18" t="s">
        <v>90</v>
      </c>
      <c r="AZ444" s="18" t="s">
        <v>91</v>
      </c>
      <c r="BA444" s="18" t="s">
        <v>20</v>
      </c>
      <c r="BB444" s="18" t="s">
        <v>92</v>
      </c>
      <c r="BC444" s="18" t="s">
        <v>93</v>
      </c>
      <c r="BD444" s="273" t="s">
        <v>111</v>
      </c>
      <c r="BE444" s="387"/>
      <c r="BF444" s="16">
        <v>2025</v>
      </c>
      <c r="BG444" s="16">
        <v>2024</v>
      </c>
      <c r="BH444" s="16">
        <v>2023</v>
      </c>
      <c r="BI444" s="18">
        <v>2022</v>
      </c>
      <c r="BJ444" s="18">
        <v>2021</v>
      </c>
      <c r="BK444" s="18">
        <v>2020</v>
      </c>
      <c r="BL444" s="18">
        <v>2019</v>
      </c>
      <c r="BM444" s="18">
        <v>2018</v>
      </c>
      <c r="BN444" s="18">
        <v>2017</v>
      </c>
      <c r="BO444" s="18">
        <v>2016</v>
      </c>
      <c r="BP444" s="18">
        <v>2015</v>
      </c>
      <c r="BQ444" s="18">
        <v>2014</v>
      </c>
      <c r="BR444" s="18">
        <v>2013</v>
      </c>
      <c r="BS444" s="18">
        <v>2012</v>
      </c>
      <c r="BT444" s="18">
        <v>2011</v>
      </c>
      <c r="BU444" s="273">
        <v>2010</v>
      </c>
    </row>
    <row r="445" spans="45:73">
      <c r="AS445" s="379" t="s">
        <v>727</v>
      </c>
      <c r="AT445" s="382">
        <v>0.95</v>
      </c>
      <c r="AU445" s="383">
        <v>45716</v>
      </c>
      <c r="AV445" s="382">
        <v>8689.0289</v>
      </c>
      <c r="AW445" s="33"/>
      <c r="AX445" s="394">
        <v>0.01147</v>
      </c>
      <c r="AY445" s="394">
        <v>0.022204</v>
      </c>
      <c r="AZ445" s="394">
        <v>0.039145</v>
      </c>
      <c r="BA445" s="394">
        <v>0.08156</v>
      </c>
      <c r="BB445" s="394">
        <v>0.067204</v>
      </c>
      <c r="BC445" s="394">
        <v>0.070018</v>
      </c>
      <c r="BD445" s="394">
        <v>0.073561</v>
      </c>
      <c r="BE445" s="34"/>
      <c r="BF445" s="394">
        <v>0.022204</v>
      </c>
      <c r="BG445" s="394">
        <v>0.0793486738082764</v>
      </c>
      <c r="BH445" s="394">
        <v>0.0686786391952109</v>
      </c>
      <c r="BI445" s="394">
        <v>0.0418825504329994</v>
      </c>
      <c r="BJ445" s="394">
        <v>0.0383699355111012</v>
      </c>
      <c r="BK445" s="394">
        <v>0.110570338038972</v>
      </c>
      <c r="BL445" s="394">
        <v>0.0850275432964768</v>
      </c>
      <c r="BM445" s="394">
        <v>0.0650280681514413</v>
      </c>
      <c r="BN445" s="394">
        <v>0.0560198494944768</v>
      </c>
      <c r="BO445" s="394">
        <v>0.113184923010767</v>
      </c>
      <c r="BP445" s="394">
        <v>0.0842026458181101</v>
      </c>
      <c r="BQ445" s="394">
        <v>0.113307647005979</v>
      </c>
      <c r="BR445" s="394">
        <v>0.101232776577795</v>
      </c>
      <c r="BS445" s="394">
        <v>0.111472886211889</v>
      </c>
      <c r="BT445" s="394">
        <v>0.0945373094410271</v>
      </c>
      <c r="BU445" s="394">
        <v>0.0601302834622228</v>
      </c>
    </row>
    <row r="446" spans="45:73">
      <c r="AS446" s="379" t="s">
        <v>728</v>
      </c>
      <c r="AT446" s="382">
        <v>0.89</v>
      </c>
      <c r="AU446" s="383">
        <v>45716</v>
      </c>
      <c r="AV446" s="382">
        <v>8825.076702</v>
      </c>
      <c r="AW446" s="33"/>
      <c r="AX446" s="394">
        <v>0.011753</v>
      </c>
      <c r="AY446" s="394">
        <v>0.023153</v>
      </c>
      <c r="AZ446" s="394">
        <v>0.040648</v>
      </c>
      <c r="BA446" s="394">
        <v>0.082698</v>
      </c>
      <c r="BB446" s="394">
        <v>0.065956</v>
      </c>
      <c r="BC446" s="394">
        <v>0.064028</v>
      </c>
      <c r="BD446" s="394">
        <v>0.071691</v>
      </c>
      <c r="BE446" s="34"/>
      <c r="BF446" s="394">
        <v>0.023153</v>
      </c>
      <c r="BG446" s="394">
        <v>0.0800911898593364</v>
      </c>
      <c r="BH446" s="394">
        <v>0.0679015240328253</v>
      </c>
      <c r="BI446" s="394">
        <v>0.0369601951543688</v>
      </c>
      <c r="BJ446" s="394">
        <v>0.0347561742630719</v>
      </c>
      <c r="BK446" s="394">
        <v>0.101412730740633</v>
      </c>
      <c r="BL446" s="394">
        <v>0.0976989643058111</v>
      </c>
      <c r="BM446" s="394">
        <v>0.0634768310105938</v>
      </c>
      <c r="BN446" s="394">
        <v>0.0593089663049685</v>
      </c>
      <c r="BO446" s="394">
        <v>0.09644453906749</v>
      </c>
      <c r="BP446" s="394">
        <v>0.0810565649454388</v>
      </c>
      <c r="BQ446" s="394">
        <v>0.100389580400307</v>
      </c>
      <c r="BR446" s="394">
        <v>0.0729974263471713</v>
      </c>
      <c r="BS446" s="394">
        <v>0.100793608896866</v>
      </c>
      <c r="BT446" s="394">
        <v>0.0919519248321116</v>
      </c>
      <c r="BU446" s="394">
        <v>0.04087</v>
      </c>
    </row>
    <row r="447" spans="45:73">
      <c r="AS447" s="379" t="s">
        <v>729</v>
      </c>
      <c r="AT447" s="382">
        <v>0.8</v>
      </c>
      <c r="AU447" s="383">
        <v>45716</v>
      </c>
      <c r="AV447" s="382">
        <v>9664.7325</v>
      </c>
      <c r="AW447" s="33"/>
      <c r="AX447" s="394">
        <v>0.011525</v>
      </c>
      <c r="AY447" s="394">
        <v>0.023215</v>
      </c>
      <c r="AZ447" s="394">
        <v>0.038559</v>
      </c>
      <c r="BA447" s="394">
        <v>0.082917</v>
      </c>
      <c r="BB447" s="394">
        <v>0.063336</v>
      </c>
      <c r="BC447" s="394">
        <v>0.061069</v>
      </c>
      <c r="BD447" s="394">
        <v>0.069502</v>
      </c>
      <c r="BE447" s="34"/>
      <c r="BF447" s="394">
        <v>0.023215</v>
      </c>
      <c r="BG447" s="394">
        <v>0.0784751636503658</v>
      </c>
      <c r="BH447" s="394">
        <v>0.0691191217607009</v>
      </c>
      <c r="BI447" s="394">
        <v>0.0278825413496634</v>
      </c>
      <c r="BJ447" s="394">
        <v>0.0337497560461303</v>
      </c>
      <c r="BK447" s="394">
        <v>0.0967698284409606</v>
      </c>
      <c r="BL447" s="394">
        <v>0.0973926566714455</v>
      </c>
      <c r="BM447" s="394">
        <v>0.0648372026162582</v>
      </c>
      <c r="BN447" s="394">
        <v>0.0591278505025776</v>
      </c>
      <c r="BO447" s="394">
        <v>0.0879988073348904</v>
      </c>
      <c r="BP447" s="394">
        <v>0.0814747138173806</v>
      </c>
      <c r="BQ447" s="394">
        <v>0.100958143828078</v>
      </c>
      <c r="BR447" s="394">
        <v>0.0763107282507631</v>
      </c>
      <c r="BS447" s="394">
        <v>0.0931820291469414</v>
      </c>
      <c r="BT447" s="394">
        <v>0.0920204354701375</v>
      </c>
      <c r="BU447" s="394">
        <v>0.0371320437342304</v>
      </c>
    </row>
    <row r="448" spans="45:73">
      <c r="AS448" s="379" t="s">
        <v>730</v>
      </c>
      <c r="AT448" s="382">
        <v>1</v>
      </c>
      <c r="AU448" s="383">
        <v>45716</v>
      </c>
      <c r="AV448" s="382">
        <v>109.0737</v>
      </c>
      <c r="AW448" s="33"/>
      <c r="AX448" s="394">
        <v>0.010043</v>
      </c>
      <c r="AY448" s="394">
        <v>0.020373</v>
      </c>
      <c r="AZ448" s="394">
        <v>0.05311</v>
      </c>
      <c r="BA448" s="394">
        <v>0.093329</v>
      </c>
      <c r="BB448" s="394">
        <v>0.089136</v>
      </c>
      <c r="BC448" s="394">
        <v>0.079099</v>
      </c>
      <c r="BD448" s="394">
        <v>0.057237</v>
      </c>
      <c r="BE448" s="34"/>
      <c r="BF448" s="394">
        <v>0.020373</v>
      </c>
      <c r="BG448" s="394">
        <v>0.0908755016669143</v>
      </c>
      <c r="BH448" s="394">
        <v>0.0596126326400202</v>
      </c>
      <c r="BI448" s="394">
        <v>0.269410931359108</v>
      </c>
      <c r="BJ448" s="394">
        <v>0.0307173264091288</v>
      </c>
      <c r="BK448" s="394">
        <v>-0.0107349634789902</v>
      </c>
      <c r="BL448" s="394">
        <v>-0.133256258929608</v>
      </c>
      <c r="BM448" s="394">
        <v>0.0597623416993479</v>
      </c>
      <c r="BN448" s="394">
        <v>0.0627807535282544</v>
      </c>
      <c r="BO448" s="394">
        <v>0.100462421235084</v>
      </c>
      <c r="BP448" s="394">
        <v>0.0873567754402198</v>
      </c>
      <c r="BQ448" s="394">
        <v>0.0941685340559696</v>
      </c>
      <c r="BR448" s="394">
        <v>0.071857195295169</v>
      </c>
      <c r="BS448" s="394">
        <v>0.0757371561011203</v>
      </c>
      <c r="BT448" s="394">
        <v>0.0755899841193633</v>
      </c>
      <c r="BU448" s="394">
        <v>0.0468485709591054</v>
      </c>
    </row>
    <row r="449" spans="45:73">
      <c r="AS449" s="379" t="s">
        <v>731</v>
      </c>
      <c r="AT449" s="382">
        <v>1.05</v>
      </c>
      <c r="AU449" s="383">
        <v>45716</v>
      </c>
      <c r="AV449" s="382">
        <v>211.098</v>
      </c>
      <c r="AW449" s="33"/>
      <c r="AX449" s="394">
        <v>0.010651</v>
      </c>
      <c r="AY449" s="394">
        <v>0.021531</v>
      </c>
      <c r="AZ449" s="394">
        <v>0.036715</v>
      </c>
      <c r="BA449" s="394">
        <v>0.078966</v>
      </c>
      <c r="BB449" s="394">
        <v>0.062675</v>
      </c>
      <c r="BC449" s="394">
        <v>0.056771</v>
      </c>
      <c r="BD449" s="394">
        <v>0.070068</v>
      </c>
      <c r="BE449" s="34"/>
      <c r="BF449" s="394">
        <v>0.021531</v>
      </c>
      <c r="BG449" s="394">
        <v>0.0767491835602933</v>
      </c>
      <c r="BH449" s="394">
        <v>0.0699102172667977</v>
      </c>
      <c r="BI449" s="394">
        <v>0.0295812051382126</v>
      </c>
      <c r="BJ449" s="394">
        <v>0.0372026101228059</v>
      </c>
      <c r="BK449" s="394">
        <v>0.0753612627873305</v>
      </c>
      <c r="BL449" s="394">
        <v>0.0881521565639143</v>
      </c>
      <c r="BM449" s="394">
        <v>0.0714991090195905</v>
      </c>
      <c r="BN449" s="394">
        <v>0.0763461675494645</v>
      </c>
      <c r="BO449" s="394">
        <v>0.0949544863459036</v>
      </c>
      <c r="BP449" s="394">
        <v>0.08607382194886</v>
      </c>
      <c r="BQ449" s="394">
        <v>0.0953482256118313</v>
      </c>
      <c r="BR449" s="394">
        <v>0.0794986765528585</v>
      </c>
      <c r="BS449" s="394">
        <v>0.0917419484225015</v>
      </c>
      <c r="BT449" s="394">
        <v>0.0829121421520237</v>
      </c>
      <c r="BU449" s="394">
        <v>0.0130000000000001</v>
      </c>
    </row>
    <row r="450" spans="45:73">
      <c r="AS450" s="379" t="s">
        <v>732</v>
      </c>
      <c r="AT450" s="382">
        <v>1.02</v>
      </c>
      <c r="AU450" s="383">
        <v>45716</v>
      </c>
      <c r="AV450" s="382">
        <v>334.2876</v>
      </c>
      <c r="AW450" s="33"/>
      <c r="AX450" s="394">
        <v>0.010489</v>
      </c>
      <c r="AY450" s="394">
        <v>0.020798</v>
      </c>
      <c r="AZ450" s="394">
        <v>0.035434</v>
      </c>
      <c r="BA450" s="394">
        <v>0.074733</v>
      </c>
      <c r="BB450" s="394">
        <v>0.058695</v>
      </c>
      <c r="BC450" s="394">
        <v>0.056236</v>
      </c>
      <c r="BD450" s="394">
        <v>0.064715</v>
      </c>
      <c r="BE450" s="34"/>
      <c r="BF450" s="394">
        <v>0.020798</v>
      </c>
      <c r="BG450" s="394">
        <v>0.0719754101604584</v>
      </c>
      <c r="BH450" s="394">
        <v>0.0624398493781711</v>
      </c>
      <c r="BI450" s="394">
        <v>0.0288002153287127</v>
      </c>
      <c r="BJ450" s="394">
        <v>0.0281582952815828</v>
      </c>
      <c r="BK450" s="394">
        <v>0.0895405059065505</v>
      </c>
      <c r="BL450" s="394">
        <v>0.0856090717792846</v>
      </c>
      <c r="BM450" s="394">
        <v>0.056623350956075</v>
      </c>
      <c r="BN450" s="394">
        <v>0.0704359438839598</v>
      </c>
      <c r="BO450" s="394">
        <v>0.0895274042166983</v>
      </c>
      <c r="BP450" s="394">
        <v>0.0527636857231689</v>
      </c>
      <c r="BQ450" s="394">
        <v>0.086475798146241</v>
      </c>
      <c r="BR450" s="394">
        <v>0.0567764292057742</v>
      </c>
      <c r="BS450" s="394">
        <v>0.0974745110030292</v>
      </c>
      <c r="BT450" s="394">
        <v>0.0465299999999999</v>
      </c>
      <c r="BU450" s="394" t="s">
        <v>113</v>
      </c>
    </row>
    <row r="451" spans="45:73">
      <c r="AS451" s="379" t="s">
        <v>733</v>
      </c>
      <c r="AT451" s="382">
        <v>0.95</v>
      </c>
      <c r="AU451" s="383">
        <v>45716</v>
      </c>
      <c r="AV451" s="382">
        <v>2785.0319</v>
      </c>
      <c r="AW451" s="33"/>
      <c r="AX451" s="394">
        <v>0.010789</v>
      </c>
      <c r="AY451" s="394">
        <v>0.021267</v>
      </c>
      <c r="AZ451" s="394">
        <v>0.037157</v>
      </c>
      <c r="BA451" s="394">
        <v>0.078887</v>
      </c>
      <c r="BB451" s="394">
        <v>0.06174</v>
      </c>
      <c r="BC451" s="394">
        <v>0.059232</v>
      </c>
      <c r="BD451" s="394">
        <v>0.0668</v>
      </c>
      <c r="BE451" s="34"/>
      <c r="BF451" s="394">
        <v>0.021267</v>
      </c>
      <c r="BG451" s="394">
        <v>0.0763129709858259</v>
      </c>
      <c r="BH451" s="394">
        <v>0.0664533190644261</v>
      </c>
      <c r="BI451" s="394">
        <v>0.030035321644245</v>
      </c>
      <c r="BJ451" s="394">
        <v>0.0281650233891203</v>
      </c>
      <c r="BK451" s="394">
        <v>0.0950110828363709</v>
      </c>
      <c r="BL451" s="394">
        <v>0.0904137484588935</v>
      </c>
      <c r="BM451" s="394">
        <v>0.0582538977647881</v>
      </c>
      <c r="BN451" s="394">
        <v>0.0572351971349646</v>
      </c>
      <c r="BO451" s="394">
        <v>0.0889170712374912</v>
      </c>
      <c r="BP451" s="394">
        <v>0.0819461953399025</v>
      </c>
      <c r="BQ451" s="394">
        <v>0.106207576972152</v>
      </c>
      <c r="BR451" s="394">
        <v>0.0778657722924644</v>
      </c>
      <c r="BS451" s="394">
        <v>0.0944102506714414</v>
      </c>
      <c r="BT451" s="394">
        <v>0.0873890372786069</v>
      </c>
      <c r="BU451" s="394">
        <v>0.0555666163578563</v>
      </c>
    </row>
    <row r="452" spans="45:73">
      <c r="AS452" s="379" t="s">
        <v>734</v>
      </c>
      <c r="AT452" s="382">
        <v>0.04</v>
      </c>
      <c r="AU452" s="383">
        <v>45716</v>
      </c>
      <c r="AV452" s="382">
        <v>12.50937483</v>
      </c>
      <c r="AW452" s="33"/>
      <c r="AX452" s="394">
        <v>0</v>
      </c>
      <c r="AY452" s="394">
        <v>0</v>
      </c>
      <c r="AZ452" s="394">
        <v>0</v>
      </c>
      <c r="BA452" s="394">
        <v>0</v>
      </c>
      <c r="BB452" s="394">
        <v>0.029971</v>
      </c>
      <c r="BC452" s="394">
        <v>0.060871</v>
      </c>
      <c r="BD452" s="394">
        <v>0.060007</v>
      </c>
      <c r="BE452" s="34"/>
      <c r="BF452" s="394">
        <v>0</v>
      </c>
      <c r="BG452" s="394">
        <v>0</v>
      </c>
      <c r="BH452" s="394">
        <v>0.0691637622740323</v>
      </c>
      <c r="BI452" s="394">
        <v>0.0859791791202149</v>
      </c>
      <c r="BJ452" s="394">
        <v>0.150107825346953</v>
      </c>
      <c r="BK452" s="394">
        <v>-0.0534226103939817</v>
      </c>
      <c r="BL452" s="394">
        <v>0.0423375923302641</v>
      </c>
      <c r="BM452" s="394">
        <v>0.0877884650202294</v>
      </c>
      <c r="BN452" s="394">
        <v>0.086228050574576</v>
      </c>
      <c r="BO452" s="394">
        <v>0.083353151435202</v>
      </c>
      <c r="BP452" s="394">
        <v>0.0906058485792169</v>
      </c>
      <c r="BQ452" s="394">
        <v>0.116544087485351</v>
      </c>
      <c r="BR452" s="394">
        <v>0.0939595444190254</v>
      </c>
      <c r="BS452" s="394">
        <v>0.10040032759945</v>
      </c>
      <c r="BT452" s="394">
        <v>0.0901600652298902</v>
      </c>
      <c r="BU452" s="394">
        <v>0.0557876265251862</v>
      </c>
    </row>
    <row r="453" spans="45:73">
      <c r="AS453" s="379" t="s">
        <v>735</v>
      </c>
      <c r="AT453" s="382">
        <v>1.6</v>
      </c>
      <c r="AU453" s="383">
        <v>45716</v>
      </c>
      <c r="AV453" s="382">
        <v>66.047452028</v>
      </c>
      <c r="AW453" s="33"/>
      <c r="AX453" s="394">
        <v>0.011811</v>
      </c>
      <c r="AY453" s="394">
        <v>0.021648</v>
      </c>
      <c r="AZ453" s="394">
        <v>0.034944</v>
      </c>
      <c r="BA453" s="394">
        <v>0.074025</v>
      </c>
      <c r="BB453" s="394">
        <v>0.05361</v>
      </c>
      <c r="BC453" s="394">
        <v>0.047711</v>
      </c>
      <c r="BD453" s="394">
        <v>0.059506</v>
      </c>
      <c r="BE453" s="34"/>
      <c r="BF453" s="394">
        <v>0.021648</v>
      </c>
      <c r="BG453" s="394">
        <v>0.0674995644691699</v>
      </c>
      <c r="BH453" s="394">
        <v>0.0552344601038226</v>
      </c>
      <c r="BI453" s="394">
        <v>0.0202443332511669</v>
      </c>
      <c r="BJ453" s="394">
        <v>0.0237862259281094</v>
      </c>
      <c r="BK453" s="394">
        <v>0.0648576593175743</v>
      </c>
      <c r="BL453" s="394">
        <v>0.0501936475367213</v>
      </c>
      <c r="BM453" s="394">
        <v>0.0740224893961296</v>
      </c>
      <c r="BN453" s="394">
        <v>0.0601353074491275</v>
      </c>
      <c r="BO453" s="394">
        <v>0.084885204960758</v>
      </c>
      <c r="BP453" s="394">
        <v>0.0986539944289374</v>
      </c>
      <c r="BQ453" s="394">
        <v>0.0818366466307014</v>
      </c>
      <c r="BR453" s="394">
        <v>0.0314951000000001</v>
      </c>
      <c r="BS453" s="394" t="s">
        <v>113</v>
      </c>
      <c r="BT453" s="394" t="s">
        <v>113</v>
      </c>
      <c r="BU453" s="394" t="s">
        <v>113</v>
      </c>
    </row>
    <row r="454" spans="45:73">
      <c r="AS454" s="379" t="s">
        <v>736</v>
      </c>
      <c r="AT454" s="382">
        <v>0.74</v>
      </c>
      <c r="AU454" s="383">
        <v>45716</v>
      </c>
      <c r="AV454" s="382">
        <v>14390.6776</v>
      </c>
      <c r="AW454" s="33"/>
      <c r="AX454" s="394">
        <v>0.011589</v>
      </c>
      <c r="AY454" s="394">
        <v>0.022505</v>
      </c>
      <c r="AZ454" s="394">
        <v>0.039354</v>
      </c>
      <c r="BA454" s="394">
        <v>0.083911</v>
      </c>
      <c r="BB454" s="394">
        <v>0.06806</v>
      </c>
      <c r="BC454" s="394">
        <v>0.066953</v>
      </c>
      <c r="BD454" s="394">
        <v>0.074618</v>
      </c>
      <c r="BE454" s="34"/>
      <c r="BF454" s="394">
        <v>0.022505</v>
      </c>
      <c r="BG454" s="394">
        <v>0.0828544450849268</v>
      </c>
      <c r="BH454" s="394">
        <v>0.071426406286706</v>
      </c>
      <c r="BI454" s="394">
        <v>0.0353211620991847</v>
      </c>
      <c r="BJ454" s="394">
        <v>0.038645984851263</v>
      </c>
      <c r="BK454" s="394">
        <v>0.10958755475987</v>
      </c>
      <c r="BL454" s="394">
        <v>0.0971439625411691</v>
      </c>
      <c r="BM454" s="394">
        <v>0.0701118371116619</v>
      </c>
      <c r="BN454" s="394">
        <v>0.0652497187024692</v>
      </c>
      <c r="BO454" s="394">
        <v>0.0930784491869542</v>
      </c>
      <c r="BP454" s="394">
        <v>0.0869790127106119</v>
      </c>
      <c r="BQ454" s="394">
        <v>0.104095892239909</v>
      </c>
      <c r="BR454" s="394">
        <v>0.0839115298960452</v>
      </c>
      <c r="BS454" s="394">
        <v>0.100833716854887</v>
      </c>
      <c r="BT454" s="394">
        <v>0.0924103258242289</v>
      </c>
      <c r="BU454" s="394">
        <v>0.0343</v>
      </c>
    </row>
    <row r="455" spans="45:73">
      <c r="AS455" s="379" t="s">
        <v>737</v>
      </c>
      <c r="AT455" s="382">
        <v>0.75</v>
      </c>
      <c r="AU455" s="383">
        <v>45716</v>
      </c>
      <c r="AV455" s="382">
        <v>3688.1967</v>
      </c>
      <c r="AW455" s="33"/>
      <c r="AX455" s="394">
        <v>0.0117</v>
      </c>
      <c r="AY455" s="394">
        <v>0.022908</v>
      </c>
      <c r="AZ455" s="394">
        <v>0.038133</v>
      </c>
      <c r="BA455" s="394">
        <v>0.080305</v>
      </c>
      <c r="BB455" s="394">
        <v>0.060825</v>
      </c>
      <c r="BC455" s="394">
        <v>0.058294</v>
      </c>
      <c r="BD455" s="394">
        <v>0.067917</v>
      </c>
      <c r="BE455" s="34"/>
      <c r="BF455" s="394">
        <v>0.022908</v>
      </c>
      <c r="BG455" s="394">
        <v>0.0752125266322768</v>
      </c>
      <c r="BH455" s="394">
        <v>0.0659573792934628</v>
      </c>
      <c r="BI455" s="394">
        <v>0.0272844117017016</v>
      </c>
      <c r="BJ455" s="394">
        <v>0.0296369817364079</v>
      </c>
      <c r="BK455" s="394">
        <v>0.09702752602427</v>
      </c>
      <c r="BL455" s="394">
        <v>0.0929185733667532</v>
      </c>
      <c r="BM455" s="394">
        <v>0.0652508068318912</v>
      </c>
      <c r="BN455" s="394">
        <v>0.0580082933782558</v>
      </c>
      <c r="BO455" s="394">
        <v>0.0873148943964606</v>
      </c>
      <c r="BP455" s="394">
        <v>0.0817076144607693</v>
      </c>
      <c r="BQ455" s="394">
        <v>0.104067981994868</v>
      </c>
      <c r="BR455" s="394">
        <v>0.0806571864998545</v>
      </c>
      <c r="BS455" s="394">
        <v>0.09984</v>
      </c>
      <c r="BT455" s="394">
        <v>0</v>
      </c>
      <c r="BU455" s="394" t="s">
        <v>113</v>
      </c>
    </row>
    <row r="456" spans="45:73">
      <c r="AS456" s="379" t="s">
        <v>738</v>
      </c>
      <c r="AT456" s="382">
        <v>1.02</v>
      </c>
      <c r="AU456" s="383">
        <v>45716</v>
      </c>
      <c r="AV456" s="382">
        <v>20112.2257279185</v>
      </c>
      <c r="AW456" s="33"/>
      <c r="AX456" s="394">
        <v>0.011199</v>
      </c>
      <c r="AY456" s="394">
        <v>0.022328</v>
      </c>
      <c r="AZ456" s="394">
        <v>0.039506</v>
      </c>
      <c r="BA456" s="394">
        <v>0.080663</v>
      </c>
      <c r="BB456" s="394">
        <v>0.071672</v>
      </c>
      <c r="BC456" s="394">
        <v>0.068811</v>
      </c>
      <c r="BD456" s="394">
        <v>0.07461</v>
      </c>
      <c r="BE456" s="34"/>
      <c r="BF456" s="394">
        <v>0.022328</v>
      </c>
      <c r="BG456" s="394">
        <v>0.0782387749824799</v>
      </c>
      <c r="BH456" s="394">
        <v>0.074009003841827</v>
      </c>
      <c r="BI456" s="394">
        <v>0.0466011196906317</v>
      </c>
      <c r="BJ456" s="394">
        <v>0.0387700359257332</v>
      </c>
      <c r="BK456" s="394">
        <v>0.106475384436611</v>
      </c>
      <c r="BL456" s="394">
        <v>0.0966911188813045</v>
      </c>
      <c r="BM456" s="394">
        <v>0.0584689487335851</v>
      </c>
      <c r="BN456" s="394">
        <v>0.0590463889145165</v>
      </c>
      <c r="BO456" s="394">
        <v>0.111306982235996</v>
      </c>
      <c r="BP456" s="394">
        <v>0.0799092792342309</v>
      </c>
      <c r="BQ456" s="394">
        <v>0.115515943056812</v>
      </c>
      <c r="BR456" s="394">
        <v>0.0723694610957534</v>
      </c>
      <c r="BS456" s="394">
        <v>0.0954478226682144</v>
      </c>
      <c r="BT456" s="394">
        <v>0.0871142544584934</v>
      </c>
      <c r="BU456" s="394">
        <v>0.0435394377040911</v>
      </c>
    </row>
    <row r="457" spans="45:73">
      <c r="AS457" s="379" t="s">
        <v>739</v>
      </c>
      <c r="AT457" s="382">
        <v>1.05</v>
      </c>
      <c r="AU457" s="383">
        <v>45716</v>
      </c>
      <c r="AV457" s="382">
        <v>508.2917</v>
      </c>
      <c r="AW457" s="33"/>
      <c r="AX457" s="394">
        <v>0.01078</v>
      </c>
      <c r="AY457" s="394">
        <v>0.021949</v>
      </c>
      <c r="AZ457" s="394">
        <v>0.036791</v>
      </c>
      <c r="BA457" s="394">
        <v>0.077574</v>
      </c>
      <c r="BB457" s="394">
        <v>0.059931</v>
      </c>
      <c r="BC457" s="394">
        <v>0.056896</v>
      </c>
      <c r="BD457" s="394">
        <v>0.064512</v>
      </c>
      <c r="BE457" s="34"/>
      <c r="BF457" s="394">
        <v>0.021949</v>
      </c>
      <c r="BG457" s="394">
        <v>0.0790485020505009</v>
      </c>
      <c r="BH457" s="394">
        <v>0.0622419196624264</v>
      </c>
      <c r="BI457" s="394">
        <v>0.0255767661192904</v>
      </c>
      <c r="BJ457" s="394">
        <v>0.0257347530030106</v>
      </c>
      <c r="BK457" s="394">
        <v>0.0949441328890282</v>
      </c>
      <c r="BL457" s="394">
        <v>0.0925898440027248</v>
      </c>
      <c r="BM457" s="394">
        <v>0.054538741388963</v>
      </c>
      <c r="BN457" s="394">
        <v>0.0482817767893554</v>
      </c>
      <c r="BO457" s="394">
        <v>0.0963509878839806</v>
      </c>
      <c r="BP457" s="394">
        <v>0.0708558976663673</v>
      </c>
      <c r="BQ457" s="394">
        <v>0.0953253148379234</v>
      </c>
      <c r="BR457" s="394">
        <v>0.0657439107204633</v>
      </c>
      <c r="BS457" s="394">
        <v>0.108212875926504</v>
      </c>
      <c r="BT457" s="394">
        <v>0.0959624646939362</v>
      </c>
      <c r="BU457" s="394">
        <v>0.0394697466009916</v>
      </c>
    </row>
    <row r="458" spans="45:73">
      <c r="AS458" s="379" t="s">
        <v>740</v>
      </c>
      <c r="AT458" s="382">
        <v>1.06</v>
      </c>
      <c r="AU458" s="383">
        <v>45716</v>
      </c>
      <c r="AV458" s="382">
        <v>114.814272089</v>
      </c>
      <c r="AW458" s="33"/>
      <c r="AX458" s="394">
        <v>0.010624</v>
      </c>
      <c r="AY458" s="394">
        <v>0.021423</v>
      </c>
      <c r="AZ458" s="394">
        <v>0.035663</v>
      </c>
      <c r="BA458" s="394">
        <v>0.075663</v>
      </c>
      <c r="BB458" s="394" t="s">
        <v>113</v>
      </c>
      <c r="BC458" s="394" t="s">
        <v>113</v>
      </c>
      <c r="BD458" s="394" t="s">
        <v>113</v>
      </c>
      <c r="BE458" s="34"/>
      <c r="BF458" s="394">
        <v>0.021423</v>
      </c>
      <c r="BG458" s="394">
        <v>0.0704814295139245</v>
      </c>
      <c r="BH458" s="394">
        <v>0.06054812610251</v>
      </c>
      <c r="BI458" s="394">
        <v>0.01473</v>
      </c>
      <c r="BJ458" s="394" t="s">
        <v>113</v>
      </c>
      <c r="BK458" s="394" t="s">
        <v>113</v>
      </c>
      <c r="BL458" s="394" t="s">
        <v>113</v>
      </c>
      <c r="BM458" s="394" t="s">
        <v>113</v>
      </c>
      <c r="BN458" s="394" t="s">
        <v>113</v>
      </c>
      <c r="BO458" s="394" t="s">
        <v>113</v>
      </c>
      <c r="BP458" s="394" t="s">
        <v>113</v>
      </c>
      <c r="BQ458" s="394" t="s">
        <v>113</v>
      </c>
      <c r="BR458" s="394" t="s">
        <v>113</v>
      </c>
      <c r="BS458" s="394" t="s">
        <v>113</v>
      </c>
      <c r="BT458" s="394" t="s">
        <v>113</v>
      </c>
      <c r="BU458" s="394" t="s">
        <v>113</v>
      </c>
    </row>
    <row r="459" spans="45:73">
      <c r="AS459" s="379" t="s">
        <v>741</v>
      </c>
      <c r="AT459" s="382">
        <v>1.12</v>
      </c>
      <c r="AU459" s="383">
        <v>45716</v>
      </c>
      <c r="AV459" s="382">
        <v>17187.7222</v>
      </c>
      <c r="AW459" s="33"/>
      <c r="AX459" s="394">
        <v>0.011215</v>
      </c>
      <c r="AY459" s="394">
        <v>0.022009</v>
      </c>
      <c r="AZ459" s="394">
        <v>0.03704</v>
      </c>
      <c r="BA459" s="394">
        <v>0.079758</v>
      </c>
      <c r="BB459" s="394">
        <v>0.061976</v>
      </c>
      <c r="BC459" s="394">
        <v>0.06064</v>
      </c>
      <c r="BD459" s="394">
        <v>0.069227</v>
      </c>
      <c r="BE459" s="34"/>
      <c r="BF459" s="394">
        <v>0.022009</v>
      </c>
      <c r="BG459" s="394">
        <v>0.077352084830669</v>
      </c>
      <c r="BH459" s="394">
        <v>0.0645425887802366</v>
      </c>
      <c r="BI459" s="394">
        <v>0.0300471439119981</v>
      </c>
      <c r="BJ459" s="394">
        <v>0.032802432561914</v>
      </c>
      <c r="BK459" s="394">
        <v>0.100025543470954</v>
      </c>
      <c r="BL459" s="394">
        <v>0.0956529168115104</v>
      </c>
      <c r="BM459" s="394">
        <v>0.0632074821622096</v>
      </c>
      <c r="BN459" s="394">
        <v>0.0541249962855719</v>
      </c>
      <c r="BO459" s="394">
        <v>0.0970161687577874</v>
      </c>
      <c r="BP459" s="394">
        <v>0.0803509238751888</v>
      </c>
      <c r="BQ459" s="394">
        <v>0.102076900519225</v>
      </c>
      <c r="BR459" s="394">
        <v>0.0725985133378665</v>
      </c>
      <c r="BS459" s="394">
        <v>0.0972389991371873</v>
      </c>
      <c r="BT459" s="394">
        <v>0.0822494177615678</v>
      </c>
      <c r="BU459" s="394">
        <v>0.0403853956534412</v>
      </c>
    </row>
    <row r="460" spans="45:73">
      <c r="AS460" s="379" t="s">
        <v>742</v>
      </c>
      <c r="AT460" s="382">
        <v>1.32</v>
      </c>
      <c r="AU460" s="383">
        <v>45716</v>
      </c>
      <c r="AV460" s="382">
        <v>120.7007</v>
      </c>
      <c r="AW460" s="33"/>
      <c r="AX460" s="394">
        <v>0.010274</v>
      </c>
      <c r="AY460" s="394">
        <v>0.021011</v>
      </c>
      <c r="AZ460" s="394">
        <v>0.035553</v>
      </c>
      <c r="BA460" s="394">
        <v>0.076703</v>
      </c>
      <c r="BB460" s="394">
        <v>0.057039</v>
      </c>
      <c r="BC460" s="394">
        <v>0.052799</v>
      </c>
      <c r="BD460" s="394" t="s">
        <v>113</v>
      </c>
      <c r="BE460" s="34"/>
      <c r="BF460" s="394">
        <v>0.021011</v>
      </c>
      <c r="BG460" s="394">
        <v>0.0743752692804825</v>
      </c>
      <c r="BH460" s="394">
        <v>0.0619995424388013</v>
      </c>
      <c r="BI460" s="394">
        <v>0.0203336417977641</v>
      </c>
      <c r="BJ460" s="394">
        <v>0.0220951634343365</v>
      </c>
      <c r="BK460" s="394">
        <v>0.08270981908092</v>
      </c>
      <c r="BL460" s="394">
        <v>0.08391</v>
      </c>
      <c r="BM460" s="394" t="s">
        <v>113</v>
      </c>
      <c r="BN460" s="394" t="s">
        <v>113</v>
      </c>
      <c r="BO460" s="394" t="s">
        <v>113</v>
      </c>
      <c r="BP460" s="394" t="s">
        <v>113</v>
      </c>
      <c r="BQ460" s="394" t="s">
        <v>113</v>
      </c>
      <c r="BR460" s="394" t="s">
        <v>113</v>
      </c>
      <c r="BS460" s="394" t="s">
        <v>113</v>
      </c>
      <c r="BT460" s="394" t="s">
        <v>113</v>
      </c>
      <c r="BU460" s="394" t="s">
        <v>113</v>
      </c>
    </row>
    <row r="461" spans="45:73">
      <c r="AS461" s="379" t="s">
        <v>743</v>
      </c>
      <c r="AT461" s="382">
        <v>1.26</v>
      </c>
      <c r="AU461" s="383">
        <v>45716</v>
      </c>
      <c r="AV461" s="382">
        <v>65.976</v>
      </c>
      <c r="AW461" s="33"/>
      <c r="AX461" s="394">
        <v>0.010278</v>
      </c>
      <c r="AY461" s="394">
        <v>0.021103</v>
      </c>
      <c r="AZ461" s="394">
        <v>0.036166</v>
      </c>
      <c r="BA461" s="394">
        <v>0.078346</v>
      </c>
      <c r="BB461" s="394">
        <v>0.060648</v>
      </c>
      <c r="BC461" s="394" t="s">
        <v>113</v>
      </c>
      <c r="BD461" s="394" t="s">
        <v>113</v>
      </c>
      <c r="BE461" s="34"/>
      <c r="BF461" s="394">
        <v>0.021103</v>
      </c>
      <c r="BG461" s="394">
        <v>0.0747723573659438</v>
      </c>
      <c r="BH461" s="394">
        <v>0.0661757808835945</v>
      </c>
      <c r="BI461" s="394">
        <v>0.0271702476153772</v>
      </c>
      <c r="BJ461" s="394">
        <v>0.0379</v>
      </c>
      <c r="BK461" s="394" t="s">
        <v>113</v>
      </c>
      <c r="BL461" s="394" t="s">
        <v>113</v>
      </c>
      <c r="BM461" s="394" t="s">
        <v>113</v>
      </c>
      <c r="BN461" s="394" t="s">
        <v>113</v>
      </c>
      <c r="BO461" s="394" t="s">
        <v>113</v>
      </c>
      <c r="BP461" s="394" t="s">
        <v>113</v>
      </c>
      <c r="BQ461" s="394" t="s">
        <v>113</v>
      </c>
      <c r="BR461" s="394" t="s">
        <v>113</v>
      </c>
      <c r="BS461" s="394" t="s">
        <v>113</v>
      </c>
      <c r="BT461" s="394" t="s">
        <v>113</v>
      </c>
      <c r="BU461" s="394" t="s">
        <v>113</v>
      </c>
    </row>
    <row r="462" spans="45:73">
      <c r="AS462" s="379" t="s">
        <v>744</v>
      </c>
      <c r="AT462" s="382">
        <v>1.11</v>
      </c>
      <c r="AU462" s="383">
        <v>45716</v>
      </c>
      <c r="AV462" s="382">
        <v>341.966304793</v>
      </c>
      <c r="AW462" s="33"/>
      <c r="AX462" s="394">
        <v>0.011502</v>
      </c>
      <c r="AY462" s="394">
        <v>0.02319</v>
      </c>
      <c r="AZ462" s="394">
        <v>0.038375</v>
      </c>
      <c r="BA462" s="394">
        <v>0.079661</v>
      </c>
      <c r="BB462" s="394">
        <v>0.061613</v>
      </c>
      <c r="BC462" s="394">
        <v>0.057107</v>
      </c>
      <c r="BD462" s="394" t="s">
        <v>113</v>
      </c>
      <c r="BE462" s="34"/>
      <c r="BF462" s="394">
        <v>0.02319</v>
      </c>
      <c r="BG462" s="394">
        <v>0.0757020495345863</v>
      </c>
      <c r="BH462" s="394">
        <v>0.0632400859809962</v>
      </c>
      <c r="BI462" s="394">
        <v>0.0307364696119188</v>
      </c>
      <c r="BJ462" s="394">
        <v>0.0311281533804238</v>
      </c>
      <c r="BK462" s="394">
        <v>0.0855658087300961</v>
      </c>
      <c r="BL462" s="394">
        <v>0.093834474032323</v>
      </c>
      <c r="BM462" s="394">
        <v>0.04322</v>
      </c>
      <c r="BN462" s="394" t="s">
        <v>113</v>
      </c>
      <c r="BO462" s="394" t="s">
        <v>113</v>
      </c>
      <c r="BP462" s="394" t="s">
        <v>113</v>
      </c>
      <c r="BQ462" s="394" t="s">
        <v>113</v>
      </c>
      <c r="BR462" s="394" t="s">
        <v>113</v>
      </c>
      <c r="BS462" s="394" t="s">
        <v>113</v>
      </c>
      <c r="BT462" s="394" t="s">
        <v>113</v>
      </c>
      <c r="BU462" s="394" t="s">
        <v>113</v>
      </c>
    </row>
    <row r="463" spans="45:73">
      <c r="AS463" s="379" t="s">
        <v>745</v>
      </c>
      <c r="AT463" s="382">
        <v>0.93</v>
      </c>
      <c r="AU463" s="383">
        <v>45716</v>
      </c>
      <c r="AV463" s="382">
        <v>6339.9658</v>
      </c>
      <c r="AW463" s="33"/>
      <c r="AX463" s="394">
        <v>0.011243</v>
      </c>
      <c r="AY463" s="394">
        <v>0.02283</v>
      </c>
      <c r="AZ463" s="394">
        <v>0.039782</v>
      </c>
      <c r="BA463" s="394">
        <v>0.082549</v>
      </c>
      <c r="BB463" s="394">
        <v>0.064152</v>
      </c>
      <c r="BC463" s="394">
        <v>0.064247</v>
      </c>
      <c r="BD463" s="394">
        <v>0.070002</v>
      </c>
      <c r="BE463" s="34"/>
      <c r="BF463" s="394">
        <v>0.02283</v>
      </c>
      <c r="BG463" s="394">
        <v>0.0797977007950223</v>
      </c>
      <c r="BH463" s="394">
        <v>0.0682123840368887</v>
      </c>
      <c r="BI463" s="394">
        <v>0.0320345012357277</v>
      </c>
      <c r="BJ463" s="394">
        <v>0.0441635713387838</v>
      </c>
      <c r="BK463" s="394">
        <v>0.0947536852103194</v>
      </c>
      <c r="BL463" s="394">
        <v>0.0935338620966409</v>
      </c>
      <c r="BM463" s="394">
        <v>0.0550821734000393</v>
      </c>
      <c r="BN463" s="394">
        <v>0.0569489049173423</v>
      </c>
      <c r="BO463" s="394">
        <v>0.0977564739326906</v>
      </c>
      <c r="BP463" s="394">
        <v>0.08122854364306</v>
      </c>
      <c r="BQ463" s="394">
        <v>0.113269157188076</v>
      </c>
      <c r="BR463" s="394">
        <v>0.0750957102189063</v>
      </c>
      <c r="BS463" s="394">
        <v>0.0981089654747606</v>
      </c>
      <c r="BT463" s="394">
        <v>0.0789492631217496</v>
      </c>
      <c r="BU463" s="394">
        <v>0.050213463932157</v>
      </c>
    </row>
    <row r="464" spans="45:73">
      <c r="AS464" s="379" t="s">
        <v>746</v>
      </c>
      <c r="AT464" s="382">
        <v>0.85</v>
      </c>
      <c r="AU464" s="383">
        <v>45716</v>
      </c>
      <c r="AV464" s="382">
        <v>13905.2937</v>
      </c>
      <c r="AW464" s="33"/>
      <c r="AX464" s="394">
        <v>0.010945</v>
      </c>
      <c r="AY464" s="394">
        <v>0.022418</v>
      </c>
      <c r="AZ464" s="394">
        <v>0.038654</v>
      </c>
      <c r="BA464" s="394">
        <v>0.080548</v>
      </c>
      <c r="BB464" s="394">
        <v>0.064186</v>
      </c>
      <c r="BC464" s="394">
        <v>0.061262</v>
      </c>
      <c r="BD464" s="394">
        <v>0.06947</v>
      </c>
      <c r="BE464" s="34"/>
      <c r="BF464" s="394">
        <v>0.022418</v>
      </c>
      <c r="BG464" s="394">
        <v>0.0772236936731508</v>
      </c>
      <c r="BH464" s="394">
        <v>0.0672619716200532</v>
      </c>
      <c r="BI464" s="394">
        <v>0.0353047887061887</v>
      </c>
      <c r="BJ464" s="394">
        <v>0.0277430303802915</v>
      </c>
      <c r="BK464" s="394">
        <v>0.0985422383271846</v>
      </c>
      <c r="BL464" s="394">
        <v>0.0947833919451126</v>
      </c>
      <c r="BM464" s="394">
        <v>0.0598103981435877</v>
      </c>
      <c r="BN464" s="394">
        <v>0.0573508646654891</v>
      </c>
      <c r="BO464" s="394">
        <v>0.0990299396957646</v>
      </c>
      <c r="BP464" s="394">
        <v>0.0816430732311304</v>
      </c>
      <c r="BQ464" s="394">
        <v>0.102835182161158</v>
      </c>
      <c r="BR464" s="394">
        <v>0.076849613061175</v>
      </c>
      <c r="BS464" s="394">
        <v>0.102602460386441</v>
      </c>
      <c r="BT464" s="394">
        <v>0.0876928251324892</v>
      </c>
      <c r="BU464" s="394">
        <v>0.0483837151679183</v>
      </c>
    </row>
    <row r="465" spans="45:73">
      <c r="AS465" s="379" t="s">
        <v>747</v>
      </c>
      <c r="AT465" s="382">
        <v>1.14</v>
      </c>
      <c r="AU465" s="383">
        <v>45716</v>
      </c>
      <c r="AV465" s="382">
        <v>213.140082</v>
      </c>
      <c r="AW465" s="33"/>
      <c r="AX465" s="394">
        <v>0.010556</v>
      </c>
      <c r="AY465" s="394">
        <v>0.02126</v>
      </c>
      <c r="AZ465" s="394">
        <v>0.036326</v>
      </c>
      <c r="BA465" s="394">
        <v>0.081224</v>
      </c>
      <c r="BB465" s="394">
        <v>0.065119</v>
      </c>
      <c r="BC465" s="394">
        <v>0.062763</v>
      </c>
      <c r="BD465" s="394">
        <v>0.058671</v>
      </c>
      <c r="BE465" s="34"/>
      <c r="BF465" s="394">
        <v>0.02126</v>
      </c>
      <c r="BG465" s="394">
        <v>0.0791876726475421</v>
      </c>
      <c r="BH465" s="394">
        <v>0.068555850608422</v>
      </c>
      <c r="BI465" s="394">
        <v>0.0345003078878331</v>
      </c>
      <c r="BJ465" s="394">
        <v>0.0320842268995598</v>
      </c>
      <c r="BK465" s="394">
        <v>0.103068230925591</v>
      </c>
      <c r="BL465" s="394">
        <v>-0.0166919527349873</v>
      </c>
      <c r="BM465" s="394">
        <v>0.0602090396988547</v>
      </c>
      <c r="BN465" s="394">
        <v>0.0573718140982437</v>
      </c>
      <c r="BO465" s="394">
        <v>0.09567332042018</v>
      </c>
      <c r="BP465" s="394">
        <v>0.0808424395645725</v>
      </c>
      <c r="BQ465" s="394">
        <v>0.0987071063239763</v>
      </c>
      <c r="BR465" s="394">
        <v>0.0782902293160124</v>
      </c>
      <c r="BS465" s="394">
        <v>0.102173331805508</v>
      </c>
      <c r="BT465" s="394">
        <v>0.0909204550189591</v>
      </c>
      <c r="BU465" s="394">
        <v>0.053042982241696</v>
      </c>
    </row>
    <row r="466" spans="45:73">
      <c r="AS466" s="379" t="s">
        <v>748</v>
      </c>
      <c r="AT466" s="382">
        <v>1.2</v>
      </c>
      <c r="AU466" s="383">
        <v>45716</v>
      </c>
      <c r="AV466" s="382">
        <v>2746.5660851249</v>
      </c>
      <c r="AW466" s="33"/>
      <c r="AX466" s="394">
        <v>0.011809</v>
      </c>
      <c r="AY466" s="394">
        <v>0.022337</v>
      </c>
      <c r="AZ466" s="394">
        <v>0.037107</v>
      </c>
      <c r="BA466" s="394">
        <v>0.077186</v>
      </c>
      <c r="BB466" s="394">
        <v>0.06147</v>
      </c>
      <c r="BC466" s="394">
        <v>0.058276</v>
      </c>
      <c r="BD466" s="394">
        <v>0.060435</v>
      </c>
      <c r="BE466" s="34"/>
      <c r="BF466" s="394">
        <v>0.022337</v>
      </c>
      <c r="BG466" s="394">
        <v>0.0736693748188593</v>
      </c>
      <c r="BH466" s="394">
        <v>0.0676135626378671</v>
      </c>
      <c r="BI466" s="394">
        <v>0.0290762020928292</v>
      </c>
      <c r="BJ466" s="394">
        <v>0.0253044911456661</v>
      </c>
      <c r="BK466" s="394">
        <v>0.097544342277884</v>
      </c>
      <c r="BL466" s="394">
        <v>0.0903757384797165</v>
      </c>
      <c r="BM466" s="394">
        <v>-0.00201562185550412</v>
      </c>
      <c r="BN466" s="394">
        <v>0.0558194971497628</v>
      </c>
      <c r="BO466" s="394">
        <v>0.0918651059772857</v>
      </c>
      <c r="BP466" s="394">
        <v>0.0823468943356102</v>
      </c>
      <c r="BQ466" s="394">
        <v>0.10562937320788</v>
      </c>
      <c r="BR466" s="394">
        <v>0.0910420423405132</v>
      </c>
      <c r="BS466" s="394">
        <v>0.095580076119759</v>
      </c>
      <c r="BT466" s="394">
        <v>0.0840523662036751</v>
      </c>
      <c r="BU466" s="394">
        <v>0.0473636492087414</v>
      </c>
    </row>
    <row r="467" spans="45:73">
      <c r="AS467" s="379" t="s">
        <v>749</v>
      </c>
      <c r="AT467" s="382">
        <v>0.73</v>
      </c>
      <c r="AU467" s="383">
        <v>45716</v>
      </c>
      <c r="AV467" s="382">
        <v>105.737855478</v>
      </c>
      <c r="AW467" s="33"/>
      <c r="AX467" s="394">
        <v>0.010959</v>
      </c>
      <c r="AY467" s="394">
        <v>0.022089</v>
      </c>
      <c r="AZ467" s="394">
        <v>0.036554</v>
      </c>
      <c r="BA467" s="394">
        <v>0.077069</v>
      </c>
      <c r="BB467" s="394">
        <v>0.060746</v>
      </c>
      <c r="BC467" s="394" t="s">
        <v>113</v>
      </c>
      <c r="BD467" s="394" t="s">
        <v>113</v>
      </c>
      <c r="BE467" s="34"/>
      <c r="BF467" s="394">
        <v>0.022089</v>
      </c>
      <c r="BG467" s="394">
        <v>0.071428507419405</v>
      </c>
      <c r="BH467" s="394">
        <v>0.065900609311704</v>
      </c>
      <c r="BI467" s="394">
        <v>0.0322974358883342</v>
      </c>
      <c r="BJ467" s="394">
        <v>0.0141641</v>
      </c>
      <c r="BK467" s="394" t="s">
        <v>113</v>
      </c>
      <c r="BL467" s="394" t="s">
        <v>113</v>
      </c>
      <c r="BM467" s="394" t="s">
        <v>113</v>
      </c>
      <c r="BN467" s="394" t="s">
        <v>113</v>
      </c>
      <c r="BO467" s="394" t="s">
        <v>113</v>
      </c>
      <c r="BP467" s="394" t="s">
        <v>113</v>
      </c>
      <c r="BQ467" s="394" t="s">
        <v>113</v>
      </c>
      <c r="BR467" s="394" t="s">
        <v>113</v>
      </c>
      <c r="BS467" s="394" t="s">
        <v>113</v>
      </c>
      <c r="BT467" s="394" t="s">
        <v>113</v>
      </c>
      <c r="BU467" s="394" t="s">
        <v>113</v>
      </c>
    </row>
    <row r="468" spans="45:73">
      <c r="AS468" s="379" t="s">
        <v>750</v>
      </c>
      <c r="AT468" s="382">
        <v>0.83</v>
      </c>
      <c r="AU468" s="383">
        <v>45716</v>
      </c>
      <c r="AV468" s="382">
        <v>447.2922</v>
      </c>
      <c r="AW468" s="33"/>
      <c r="AX468" s="394">
        <v>0.010241</v>
      </c>
      <c r="AY468" s="394" t="s">
        <v>113</v>
      </c>
      <c r="AZ468" s="394" t="s">
        <v>113</v>
      </c>
      <c r="BA468" s="394" t="s">
        <v>113</v>
      </c>
      <c r="BB468" s="394" t="s">
        <v>113</v>
      </c>
      <c r="BC468" s="394" t="s">
        <v>113</v>
      </c>
      <c r="BD468" s="394" t="s">
        <v>113</v>
      </c>
      <c r="BE468" s="34"/>
      <c r="BF468" s="394" t="s">
        <v>113</v>
      </c>
      <c r="BG468" s="394" t="s">
        <v>113</v>
      </c>
      <c r="BH468" s="394" t="s">
        <v>113</v>
      </c>
      <c r="BI468" s="394" t="s">
        <v>113</v>
      </c>
      <c r="BJ468" s="394" t="s">
        <v>113</v>
      </c>
      <c r="BK468" s="394" t="s">
        <v>113</v>
      </c>
      <c r="BL468" s="394" t="s">
        <v>113</v>
      </c>
      <c r="BM468" s="394" t="s">
        <v>113</v>
      </c>
      <c r="BN468" s="394" t="s">
        <v>113</v>
      </c>
      <c r="BO468" s="394" t="s">
        <v>113</v>
      </c>
      <c r="BP468" s="394" t="s">
        <v>113</v>
      </c>
      <c r="BQ468" s="394" t="s">
        <v>113</v>
      </c>
      <c r="BR468" s="394" t="s">
        <v>113</v>
      </c>
      <c r="BS468" s="394" t="s">
        <v>113</v>
      </c>
      <c r="BT468" s="394" t="s">
        <v>113</v>
      </c>
      <c r="BU468" s="394" t="s">
        <v>113</v>
      </c>
    </row>
    <row r="469" ht="14.55" spans="45:73">
      <c r="AS469" s="379" t="s">
        <v>751</v>
      </c>
      <c r="AT469" s="382">
        <v>0.85</v>
      </c>
      <c r="AU469" s="383">
        <v>45716</v>
      </c>
      <c r="AV469" s="382">
        <v>2446.0795</v>
      </c>
      <c r="AW469" s="33"/>
      <c r="AX469" s="394">
        <v>0.010999</v>
      </c>
      <c r="AY469" s="394">
        <v>0.021431</v>
      </c>
      <c r="AZ469" s="394">
        <v>0.037422</v>
      </c>
      <c r="BA469" s="394">
        <v>0.078116</v>
      </c>
      <c r="BB469" s="394">
        <v>0.066212</v>
      </c>
      <c r="BC469" s="394">
        <v>0.07479</v>
      </c>
      <c r="BD469" s="394">
        <v>0.063084</v>
      </c>
      <c r="BE469" s="34"/>
      <c r="BF469" s="394">
        <v>0.021431</v>
      </c>
      <c r="BG469" s="394">
        <v>0.0789270887712233</v>
      </c>
      <c r="BH469" s="394">
        <v>0.069204861730767</v>
      </c>
      <c r="BI469" s="394">
        <v>0.0377446962771492</v>
      </c>
      <c r="BJ469" s="394">
        <v>0.0838198302848088</v>
      </c>
      <c r="BK469" s="394">
        <v>0.104759073945639</v>
      </c>
      <c r="BL469" s="394">
        <v>-0.0391497309475995</v>
      </c>
      <c r="BM469" s="394">
        <v>0.0600755449617469</v>
      </c>
      <c r="BN469" s="394">
        <v>0.0606939509942351</v>
      </c>
      <c r="BO469" s="394">
        <v>0.100841703608103</v>
      </c>
      <c r="BP469" s="394">
        <v>0.0829089848449862</v>
      </c>
      <c r="BQ469" s="394">
        <v>0.109181960948189</v>
      </c>
      <c r="BR469" s="394">
        <v>0.089851985161788</v>
      </c>
      <c r="BS469" s="394">
        <v>0.112459447753998</v>
      </c>
      <c r="BT469" s="394">
        <v>0.107007164567955</v>
      </c>
      <c r="BU469" s="394">
        <v>0.059033166637926</v>
      </c>
    </row>
    <row r="470" ht="14.55" spans="45:73">
      <c r="AS470" s="4" t="s">
        <v>146</v>
      </c>
      <c r="AT470"/>
      <c r="AU470"/>
      <c r="AV470"/>
      <c r="AW470" s="395"/>
      <c r="AX470" s="396">
        <f t="shared" ref="AX470:BD470" si="50">AVERAGE(AX445:AX469)</f>
        <v>0.01057776</v>
      </c>
      <c r="AY470" s="396">
        <f t="shared" si="50"/>
        <v>0.0210408333333333</v>
      </c>
      <c r="AZ470" s="396">
        <f t="shared" si="50"/>
        <v>0.0365890833333333</v>
      </c>
      <c r="BA470" s="396">
        <f t="shared" si="50"/>
        <v>0.0765162916666667</v>
      </c>
      <c r="BB470" s="396">
        <f t="shared" si="50"/>
        <v>0.0624335652173913</v>
      </c>
      <c r="BC470" s="396">
        <f t="shared" si="50"/>
        <v>0.0618034761904762</v>
      </c>
      <c r="BD470" s="396">
        <f t="shared" si="50"/>
        <v>0.0666122631578947</v>
      </c>
      <c r="BE470" s="395"/>
      <c r="BF470" s="396">
        <f t="shared" ref="BF470:BU470" si="51">AVERAGE(BF445:BF469)</f>
        <v>0.0210408333333333</v>
      </c>
      <c r="BG470" s="396">
        <f t="shared" si="51"/>
        <v>0.0737332973150681</v>
      </c>
      <c r="BH470" s="396">
        <f t="shared" si="51"/>
        <v>0.0660584832888446</v>
      </c>
      <c r="BI470" s="396">
        <f t="shared" si="51"/>
        <v>0.0428973069756092</v>
      </c>
      <c r="BJ470" s="396">
        <f t="shared" si="51"/>
        <v>0.0386524316191392</v>
      </c>
      <c r="BK470" s="396">
        <f t="shared" si="51"/>
        <v>0.0830651987749423</v>
      </c>
      <c r="BL470" s="396">
        <f t="shared" si="51"/>
        <v>0.0656743485946606</v>
      </c>
      <c r="BM470" s="396">
        <f t="shared" si="51"/>
        <v>0.0594625553105745</v>
      </c>
      <c r="BN470" s="396">
        <f t="shared" si="51"/>
        <v>0.0610796995956637</v>
      </c>
      <c r="BO470" s="396">
        <f t="shared" si="51"/>
        <v>0.0952611597336572</v>
      </c>
      <c r="BP470" s="396">
        <f t="shared" si="51"/>
        <v>0.0817319426109349</v>
      </c>
      <c r="BQ470" s="396">
        <f t="shared" si="51"/>
        <v>0.102417950137612</v>
      </c>
      <c r="BR470" s="396">
        <f t="shared" si="51"/>
        <v>0.0762317805573368</v>
      </c>
      <c r="BS470" s="396">
        <f t="shared" si="51"/>
        <v>0.0987616896766944</v>
      </c>
      <c r="BT470" s="396">
        <f t="shared" si="51"/>
        <v>0.081524968628123</v>
      </c>
      <c r="BU470" s="396">
        <f t="shared" si="51"/>
        <v>0.0453166686365977</v>
      </c>
    </row>
    <row r="471" spans="45:73">
      <c r="AS471" s="4" t="s">
        <v>162</v>
      </c>
      <c r="AT471"/>
      <c r="AU471"/>
      <c r="AV471"/>
      <c r="AW471"/>
      <c r="AX471" s="397">
        <v>0.0087263867959253</v>
      </c>
      <c r="AY471" s="397">
        <v>0.0207643930788102</v>
      </c>
      <c r="AZ471" s="397">
        <v>0.0377184412193585</v>
      </c>
      <c r="BA471" s="397">
        <v>0.080280059411505</v>
      </c>
      <c r="BB471" s="397">
        <v>0.0659301709109001</v>
      </c>
      <c r="BC471" s="397">
        <v>0.0655149768088614</v>
      </c>
      <c r="BD471" s="397">
        <v>0.0738047315298365</v>
      </c>
      <c r="BE471" s="400"/>
      <c r="BF471" s="397">
        <v>0.0207643930788102</v>
      </c>
      <c r="BG471" s="397">
        <v>0.0797029257152309</v>
      </c>
      <c r="BH471" s="397">
        <v>0.0725988870220093</v>
      </c>
      <c r="BI471" s="397">
        <v>0.0358682288812193</v>
      </c>
      <c r="BJ471" s="397">
        <v>0.0437965988907254</v>
      </c>
      <c r="BK471" s="397">
        <v>0.104161972570555</v>
      </c>
      <c r="BL471" s="397">
        <v>0.0953364838894115</v>
      </c>
      <c r="BM471" s="397">
        <v>0.0665068187794211</v>
      </c>
      <c r="BN471" s="397">
        <v>0.0602957159773323</v>
      </c>
      <c r="BO471" s="397">
        <v>0.0986738756953636</v>
      </c>
      <c r="BP471" s="397">
        <v>0.0865549936165921</v>
      </c>
      <c r="BQ471" s="397">
        <v>0.104681934209951</v>
      </c>
      <c r="BR471" s="397">
        <v>0.0827206164504672</v>
      </c>
      <c r="BS471" s="397">
        <v>0.0912371315059957</v>
      </c>
      <c r="BT471" s="397">
        <v>0.0786771029274067</v>
      </c>
      <c r="BU471" s="397">
        <v>0.0470040326565153</v>
      </c>
    </row>
    <row r="472" ht="14.55" spans="45:73">
      <c r="AS472"/>
      <c r="AT472"/>
      <c r="AU472"/>
      <c r="AV472"/>
      <c r="AW472"/>
      <c r="AX472"/>
      <c r="AY472"/>
      <c r="AZ472"/>
      <c r="BA472"/>
      <c r="BB472"/>
      <c r="BC472"/>
      <c r="BD472"/>
      <c r="BE472"/>
      <c r="BF472"/>
      <c r="BG472"/>
      <c r="BH472"/>
      <c r="BI472"/>
      <c r="BJ472"/>
      <c r="BK472"/>
      <c r="BL472"/>
      <c r="BM472"/>
      <c r="BN472"/>
      <c r="BO472"/>
      <c r="BP472"/>
      <c r="BQ472"/>
      <c r="BR472"/>
      <c r="BS472"/>
      <c r="BT472"/>
      <c r="BU472"/>
    </row>
    <row r="473" ht="14.55" spans="45:73">
      <c r="AS473" s="350" t="s">
        <v>752</v>
      </c>
      <c r="AT473" s="369" t="s">
        <v>16</v>
      </c>
      <c r="AU473" s="411" t="s">
        <v>99</v>
      </c>
      <c r="AV473" s="412"/>
      <c r="AW473" s="386"/>
      <c r="AX473" s="353" t="s">
        <v>102</v>
      </c>
      <c r="AY473" s="354"/>
      <c r="AZ473" s="354"/>
      <c r="BA473" s="354"/>
      <c r="BB473" s="354"/>
      <c r="BC473" s="354"/>
      <c r="BD473" s="363"/>
      <c r="BE473" s="386"/>
      <c r="BF473" s="411" t="s">
        <v>103</v>
      </c>
      <c r="BG473" s="414"/>
      <c r="BH473" s="414"/>
      <c r="BI473" s="414"/>
      <c r="BJ473" s="414"/>
      <c r="BK473" s="414"/>
      <c r="BL473" s="414"/>
      <c r="BM473" s="414"/>
      <c r="BN473" s="414"/>
      <c r="BO473" s="414"/>
      <c r="BP473" s="414"/>
      <c r="BQ473" s="414"/>
      <c r="BR473" s="414"/>
      <c r="BS473" s="414"/>
      <c r="BT473" s="414"/>
      <c r="BU473" s="416"/>
    </row>
    <row r="474" ht="14.55" spans="45:73">
      <c r="AS474" s="352"/>
      <c r="AT474" s="373" t="s">
        <v>110</v>
      </c>
      <c r="AU474" s="374" t="s">
        <v>104</v>
      </c>
      <c r="AV474" s="375" t="s">
        <v>105</v>
      </c>
      <c r="AW474" s="387"/>
      <c r="AX474" s="16" t="s">
        <v>89</v>
      </c>
      <c r="AY474" s="18" t="s">
        <v>90</v>
      </c>
      <c r="AZ474" s="18" t="s">
        <v>91</v>
      </c>
      <c r="BA474" s="18" t="s">
        <v>20</v>
      </c>
      <c r="BB474" s="18" t="s">
        <v>92</v>
      </c>
      <c r="BC474" s="18" t="s">
        <v>93</v>
      </c>
      <c r="BD474" s="273" t="s">
        <v>111</v>
      </c>
      <c r="BE474" s="387"/>
      <c r="BF474" s="16">
        <v>2025</v>
      </c>
      <c r="BG474" s="16">
        <v>2024</v>
      </c>
      <c r="BH474" s="16">
        <v>2023</v>
      </c>
      <c r="BI474" s="18">
        <v>2022</v>
      </c>
      <c r="BJ474" s="18">
        <v>2021</v>
      </c>
      <c r="BK474" s="18">
        <v>2020</v>
      </c>
      <c r="BL474" s="18">
        <v>2019</v>
      </c>
      <c r="BM474" s="18">
        <v>2018</v>
      </c>
      <c r="BN474" s="18">
        <v>2017</v>
      </c>
      <c r="BO474" s="18">
        <v>2016</v>
      </c>
      <c r="BP474" s="18">
        <v>2015</v>
      </c>
      <c r="BQ474" s="18">
        <v>2014</v>
      </c>
      <c r="BR474" s="18">
        <v>2013</v>
      </c>
      <c r="BS474" s="18">
        <v>2012</v>
      </c>
      <c r="BT474" s="18">
        <v>2011</v>
      </c>
      <c r="BU474" s="273">
        <v>2010</v>
      </c>
    </row>
    <row r="475" spans="45:73">
      <c r="AS475" s="379" t="s">
        <v>753</v>
      </c>
      <c r="AT475" s="382">
        <v>0.55</v>
      </c>
      <c r="AU475" s="383">
        <v>45716</v>
      </c>
      <c r="AV475" s="382">
        <v>14987.5534</v>
      </c>
      <c r="AW475" s="33"/>
      <c r="AX475" s="394">
        <v>0.007892</v>
      </c>
      <c r="AY475" s="394">
        <v>0.019065</v>
      </c>
      <c r="AZ475" s="394">
        <v>0.038984</v>
      </c>
      <c r="BA475" s="394">
        <v>0.077647</v>
      </c>
      <c r="BB475" s="394">
        <v>0.068559</v>
      </c>
      <c r="BC475" s="394">
        <v>0.062093</v>
      </c>
      <c r="BD475" s="394">
        <v>0.071553</v>
      </c>
      <c r="BE475" s="34"/>
      <c r="BF475" s="394">
        <v>0.019065</v>
      </c>
      <c r="BG475" s="394">
        <v>0.0785015780290896</v>
      </c>
      <c r="BH475" s="394">
        <v>0.071733198824406</v>
      </c>
      <c r="BI475" s="394">
        <v>0.0475756015584419</v>
      </c>
      <c r="BJ475" s="394">
        <v>0.0389370628703264</v>
      </c>
      <c r="BK475" s="394">
        <v>0.0702078928823114</v>
      </c>
      <c r="BL475" s="394">
        <v>0.0846169248250504</v>
      </c>
      <c r="BM475" s="394">
        <v>0.0763134244942061</v>
      </c>
      <c r="BN475" s="394">
        <v>0.0719477905230533</v>
      </c>
      <c r="BO475" s="394">
        <v>0.092353178720875</v>
      </c>
      <c r="BP475" s="394">
        <v>0.0889494642287712</v>
      </c>
      <c r="BQ475" s="394">
        <v>0.096551597669585</v>
      </c>
      <c r="BR475" s="394">
        <v>0.0954938395047863</v>
      </c>
      <c r="BS475" s="394">
        <v>0.0974182502704405</v>
      </c>
      <c r="BT475" s="394">
        <v>0.0920724467182841</v>
      </c>
      <c r="BU475" s="394">
        <v>0.0575854725585056</v>
      </c>
    </row>
    <row r="476" spans="45:73">
      <c r="AS476" s="379" t="s">
        <v>754</v>
      </c>
      <c r="AT476" s="382">
        <v>1.17</v>
      </c>
      <c r="AU476" s="383">
        <v>45716</v>
      </c>
      <c r="AV476" s="382">
        <v>5594.5882</v>
      </c>
      <c r="AW476" s="33"/>
      <c r="AX476" s="394">
        <v>0.007296</v>
      </c>
      <c r="AY476" s="394">
        <v>0.017767</v>
      </c>
      <c r="AZ476" s="394">
        <v>0.034526</v>
      </c>
      <c r="BA476" s="394">
        <v>0.069896</v>
      </c>
      <c r="BB476" s="394">
        <v>0.061937</v>
      </c>
      <c r="BC476" s="394">
        <v>0.052777</v>
      </c>
      <c r="BD476" s="394" t="s">
        <v>113</v>
      </c>
      <c r="BE476" s="34"/>
      <c r="BF476" s="394">
        <v>0.017767</v>
      </c>
      <c r="BG476" s="394">
        <v>0.0702509823996146</v>
      </c>
      <c r="BH476" s="394">
        <v>0.0653460582243965</v>
      </c>
      <c r="BI476" s="394">
        <v>0.0415831328521785</v>
      </c>
      <c r="BJ476" s="394">
        <v>0.031715388858246</v>
      </c>
      <c r="BK476" s="394">
        <v>0.0521676837838572</v>
      </c>
      <c r="BL476" s="394">
        <v>0.0759976583081276</v>
      </c>
      <c r="BM476" s="394">
        <v>0.0249000000000001</v>
      </c>
      <c r="BN476" s="394" t="s">
        <v>113</v>
      </c>
      <c r="BO476" s="394" t="s">
        <v>113</v>
      </c>
      <c r="BP476" s="394" t="s">
        <v>113</v>
      </c>
      <c r="BQ476" s="394" t="s">
        <v>113</v>
      </c>
      <c r="BR476" s="394" t="s">
        <v>113</v>
      </c>
      <c r="BS476" s="394" t="s">
        <v>113</v>
      </c>
      <c r="BT476" s="394" t="s">
        <v>113</v>
      </c>
      <c r="BU476" s="394" t="s">
        <v>113</v>
      </c>
    </row>
    <row r="477" spans="45:73">
      <c r="AS477" s="379" t="s">
        <v>755</v>
      </c>
      <c r="AT477" s="382">
        <v>0.47</v>
      </c>
      <c r="AU477" s="383">
        <v>45716</v>
      </c>
      <c r="AV477" s="382">
        <v>3640.71</v>
      </c>
      <c r="AW477" s="33"/>
      <c r="AX477" s="394">
        <v>0.007329</v>
      </c>
      <c r="AY477" s="394">
        <v>0.018654</v>
      </c>
      <c r="AZ477" s="394">
        <v>0.036454</v>
      </c>
      <c r="BA477" s="394">
        <v>0.074066</v>
      </c>
      <c r="BB477" s="394">
        <v>0.065902</v>
      </c>
      <c r="BC477" s="394">
        <v>0.05603</v>
      </c>
      <c r="BD477" s="394" t="s">
        <v>113</v>
      </c>
      <c r="BE477" s="34"/>
      <c r="BF477" s="394">
        <v>0.018654</v>
      </c>
      <c r="BG477" s="394">
        <v>0.0744020803574698</v>
      </c>
      <c r="BH477" s="394">
        <v>0.0702022577610536</v>
      </c>
      <c r="BI477" s="394">
        <v>0.0440163035471674</v>
      </c>
      <c r="BJ477" s="394">
        <v>0.0328410695114837</v>
      </c>
      <c r="BK477" s="394">
        <v>0.0563175283507457</v>
      </c>
      <c r="BL477" s="394">
        <v>0.0802129752879218</v>
      </c>
      <c r="BM477" s="394">
        <v>0.03674</v>
      </c>
      <c r="BN477" s="394" t="s">
        <v>113</v>
      </c>
      <c r="BO477" s="394" t="s">
        <v>113</v>
      </c>
      <c r="BP477" s="394" t="s">
        <v>113</v>
      </c>
      <c r="BQ477" s="394" t="s">
        <v>113</v>
      </c>
      <c r="BR477" s="394" t="s">
        <v>113</v>
      </c>
      <c r="BS477" s="394" t="s">
        <v>113</v>
      </c>
      <c r="BT477" s="394" t="s">
        <v>113</v>
      </c>
      <c r="BU477" s="394" t="s">
        <v>113</v>
      </c>
    </row>
    <row r="478" spans="45:73">
      <c r="AS478" s="379" t="s">
        <v>756</v>
      </c>
      <c r="AT478" s="382">
        <v>0.85</v>
      </c>
      <c r="AU478" s="383">
        <v>45716</v>
      </c>
      <c r="AV478" s="382">
        <v>157.3995</v>
      </c>
      <c r="AW478" s="33"/>
      <c r="AX478" s="394">
        <v>0.007179</v>
      </c>
      <c r="AY478" s="394">
        <v>0.017614</v>
      </c>
      <c r="AZ478" s="394">
        <v>0.033904</v>
      </c>
      <c r="BA478" s="394">
        <v>0.067808</v>
      </c>
      <c r="BB478" s="394">
        <v>0.060336</v>
      </c>
      <c r="BC478" s="394">
        <v>0.051532</v>
      </c>
      <c r="BD478" s="394">
        <v>0.065649</v>
      </c>
      <c r="BE478" s="34"/>
      <c r="BF478" s="394">
        <v>0.017614</v>
      </c>
      <c r="BG478" s="394">
        <v>0.0667056563744505</v>
      </c>
      <c r="BH478" s="394">
        <v>0.0622955873796588</v>
      </c>
      <c r="BI478" s="394">
        <v>0.0436083726954033</v>
      </c>
      <c r="BJ478" s="394">
        <v>0.0315446943359443</v>
      </c>
      <c r="BK478" s="394">
        <v>0.0494955104589931</v>
      </c>
      <c r="BL478" s="394">
        <v>0.0753257048865357</v>
      </c>
      <c r="BM478" s="394">
        <v>0.0760662501311691</v>
      </c>
      <c r="BN478" s="394">
        <v>0.0795075939406007</v>
      </c>
      <c r="BO478" s="394">
        <v>0.0914942172356656</v>
      </c>
      <c r="BP478" s="394">
        <v>0.0868172450258485</v>
      </c>
      <c r="BQ478" s="394">
        <v>0.0933778441282607</v>
      </c>
      <c r="BR478" s="394">
        <v>0.09173203579637</v>
      </c>
      <c r="BS478" s="394">
        <v>0.0851698833216513</v>
      </c>
      <c r="BT478" s="394">
        <v>0.0820562226502912</v>
      </c>
      <c r="BU478" s="394">
        <v>0.05014813839418</v>
      </c>
    </row>
    <row r="479" spans="45:73">
      <c r="AS479" s="379" t="s">
        <v>757</v>
      </c>
      <c r="AT479" s="382">
        <v>0.48</v>
      </c>
      <c r="AU479" s="383">
        <v>45716</v>
      </c>
      <c r="AV479" s="382">
        <v>1407.5111</v>
      </c>
      <c r="AW479" s="33"/>
      <c r="AX479" s="394">
        <v>0.007724</v>
      </c>
      <c r="AY479" s="394">
        <v>0.019036</v>
      </c>
      <c r="AZ479" s="394">
        <v>0.037004</v>
      </c>
      <c r="BA479" s="394">
        <v>0.074784</v>
      </c>
      <c r="BB479" s="394">
        <v>0.068184</v>
      </c>
      <c r="BC479" s="394">
        <v>0.057687</v>
      </c>
      <c r="BD479" s="394" t="s">
        <v>113</v>
      </c>
      <c r="BE479" s="34"/>
      <c r="BF479" s="394">
        <v>0.019036</v>
      </c>
      <c r="BG479" s="394">
        <v>0.0748942385657873</v>
      </c>
      <c r="BH479" s="394">
        <v>0.0719929767716605</v>
      </c>
      <c r="BI479" s="394">
        <v>0.0490562476099038</v>
      </c>
      <c r="BJ479" s="394">
        <v>0.036821185527578</v>
      </c>
      <c r="BK479" s="394">
        <v>0.0509127354758233</v>
      </c>
      <c r="BL479" s="394">
        <v>0.0761193680983849</v>
      </c>
      <c r="BM479" s="394">
        <v>0.0481695</v>
      </c>
      <c r="BN479" s="394" t="s">
        <v>113</v>
      </c>
      <c r="BO479" s="394" t="s">
        <v>113</v>
      </c>
      <c r="BP479" s="394" t="s">
        <v>113</v>
      </c>
      <c r="BQ479" s="394" t="s">
        <v>113</v>
      </c>
      <c r="BR479" s="394" t="s">
        <v>113</v>
      </c>
      <c r="BS479" s="394" t="s">
        <v>113</v>
      </c>
      <c r="BT479" s="394" t="s">
        <v>113</v>
      </c>
      <c r="BU479" s="394" t="s">
        <v>113</v>
      </c>
    </row>
    <row r="480" spans="45:73">
      <c r="AS480" s="379" t="s">
        <v>758</v>
      </c>
      <c r="AT480" s="382">
        <v>0.95</v>
      </c>
      <c r="AU480" s="383">
        <v>45716</v>
      </c>
      <c r="AV480" s="382">
        <v>515.16</v>
      </c>
      <c r="AW480" s="33"/>
      <c r="AX480" s="394">
        <v>0.007492</v>
      </c>
      <c r="AY480" s="394">
        <v>0.017883</v>
      </c>
      <c r="AZ480" s="394">
        <v>0.034348</v>
      </c>
      <c r="BA480" s="394">
        <v>0.068788</v>
      </c>
      <c r="BB480" s="394">
        <v>0.060288</v>
      </c>
      <c r="BC480" s="394">
        <v>0.049365</v>
      </c>
      <c r="BD480" s="394">
        <v>0.057629</v>
      </c>
      <c r="BE480" s="34"/>
      <c r="BF480" s="394">
        <v>0.017883</v>
      </c>
      <c r="BG480" s="394">
        <v>0.0679072296152074</v>
      </c>
      <c r="BH480" s="394">
        <v>0.0635687809013552</v>
      </c>
      <c r="BI480" s="394">
        <v>0.0392757287852133</v>
      </c>
      <c r="BJ480" s="394">
        <v>0.026276383053146</v>
      </c>
      <c r="BK480" s="394">
        <v>0.0452069882057725</v>
      </c>
      <c r="BL480" s="394">
        <v>0.065814688092081</v>
      </c>
      <c r="BM480" s="394">
        <v>0.0612612694932844</v>
      </c>
      <c r="BN480" s="394">
        <v>0.0569756954373184</v>
      </c>
      <c r="BO480" s="394">
        <v>0.0728011164333007</v>
      </c>
      <c r="BP480" s="394">
        <v>0.0840938946348542</v>
      </c>
      <c r="BQ480" s="394">
        <v>0.0934321695731411</v>
      </c>
      <c r="BR480" s="394">
        <v>0.0914456911828682</v>
      </c>
      <c r="BS480" s="394">
        <v>0.0988931281226893</v>
      </c>
      <c r="BT480" s="394">
        <v>0.09298833728971</v>
      </c>
      <c r="BU480" s="394">
        <v>0.0576510228289898</v>
      </c>
    </row>
    <row r="481" spans="45:73">
      <c r="AS481" s="379" t="s">
        <v>759</v>
      </c>
      <c r="AT481" s="382">
        <v>1.01</v>
      </c>
      <c r="AU481" s="383">
        <v>45716</v>
      </c>
      <c r="AV481" s="382">
        <v>2901.8039</v>
      </c>
      <c r="AW481" s="33"/>
      <c r="AX481" s="394">
        <v>0.008375</v>
      </c>
      <c r="AY481" s="394">
        <v>0.019615</v>
      </c>
      <c r="AZ481" s="394">
        <v>0.036322</v>
      </c>
      <c r="BA481" s="394">
        <v>0.071441</v>
      </c>
      <c r="BB481" s="394">
        <v>0.062653</v>
      </c>
      <c r="BC481" s="394">
        <v>0.051918</v>
      </c>
      <c r="BD481" s="394">
        <v>0.058818</v>
      </c>
      <c r="BE481" s="34"/>
      <c r="BF481" s="394">
        <v>0.019615</v>
      </c>
      <c r="BG481" s="394">
        <v>0.0691770511729053</v>
      </c>
      <c r="BH481" s="394">
        <v>0.0668693152744973</v>
      </c>
      <c r="BI481" s="394">
        <v>0.0410653371865877</v>
      </c>
      <c r="BJ481" s="394">
        <v>0.0287089627436709</v>
      </c>
      <c r="BK481" s="394">
        <v>0.0473568157037972</v>
      </c>
      <c r="BL481" s="394">
        <v>0.0729407338217493</v>
      </c>
      <c r="BM481" s="394">
        <v>0.049964661437783</v>
      </c>
      <c r="BN481" s="394">
        <v>0.0604567612841402</v>
      </c>
      <c r="BO481" s="394">
        <v>0.0750735730065213</v>
      </c>
      <c r="BP481" s="394">
        <v>0.0794479477286344</v>
      </c>
      <c r="BQ481" s="394">
        <v>0.0877120705989107</v>
      </c>
      <c r="BR481" s="394">
        <v>0.091590296886751</v>
      </c>
      <c r="BS481" s="394">
        <v>0.0890495897793321</v>
      </c>
      <c r="BT481" s="394">
        <v>0.0848227667631415</v>
      </c>
      <c r="BU481" s="394">
        <v>0.0503377746097906</v>
      </c>
    </row>
    <row r="482" spans="45:73">
      <c r="AS482" s="379" t="s">
        <v>760</v>
      </c>
      <c r="AT482" s="382">
        <v>0.67</v>
      </c>
      <c r="AU482" s="383">
        <v>45716</v>
      </c>
      <c r="AV482" s="382">
        <v>273.021033786</v>
      </c>
      <c r="AW482" s="33"/>
      <c r="AX482" s="394">
        <v>0.007723</v>
      </c>
      <c r="AY482" s="394">
        <v>0.018653</v>
      </c>
      <c r="AZ482" s="394">
        <v>0.035756</v>
      </c>
      <c r="BA482" s="394" t="s">
        <v>113</v>
      </c>
      <c r="BB482" s="394" t="s">
        <v>113</v>
      </c>
      <c r="BC482" s="394" t="s">
        <v>113</v>
      </c>
      <c r="BD482" s="394" t="s">
        <v>113</v>
      </c>
      <c r="BE482" s="34"/>
      <c r="BF482" s="394">
        <v>0.018653</v>
      </c>
      <c r="BG482" s="394">
        <v>0.0234400000000001</v>
      </c>
      <c r="BH482" s="394" t="s">
        <v>113</v>
      </c>
      <c r="BI482" s="394" t="s">
        <v>113</v>
      </c>
      <c r="BJ482" s="394" t="s">
        <v>113</v>
      </c>
      <c r="BK482" s="394" t="s">
        <v>113</v>
      </c>
      <c r="BL482" s="394" t="s">
        <v>113</v>
      </c>
      <c r="BM482" s="394" t="s">
        <v>113</v>
      </c>
      <c r="BN482" s="394" t="s">
        <v>113</v>
      </c>
      <c r="BO482" s="394" t="s">
        <v>113</v>
      </c>
      <c r="BP482" s="394" t="s">
        <v>113</v>
      </c>
      <c r="BQ482" s="394" t="s">
        <v>113</v>
      </c>
      <c r="BR482" s="394" t="s">
        <v>113</v>
      </c>
      <c r="BS482" s="394" t="s">
        <v>113</v>
      </c>
      <c r="BT482" s="394" t="s">
        <v>113</v>
      </c>
      <c r="BU482" s="394" t="s">
        <v>113</v>
      </c>
    </row>
    <row r="483" spans="45:73">
      <c r="AS483" s="379" t="s">
        <v>761</v>
      </c>
      <c r="AT483" s="382">
        <v>0.7</v>
      </c>
      <c r="AU483" s="383">
        <v>45716</v>
      </c>
      <c r="AV483" s="382">
        <v>14202.2887</v>
      </c>
      <c r="AW483" s="33"/>
      <c r="AX483" s="394">
        <v>0.007655</v>
      </c>
      <c r="AY483" s="394">
        <v>0.018746</v>
      </c>
      <c r="AZ483" s="394">
        <v>0.036493</v>
      </c>
      <c r="BA483" s="394">
        <v>0.074182</v>
      </c>
      <c r="BB483" s="394">
        <v>0.06598</v>
      </c>
      <c r="BC483" s="394">
        <v>0.058248</v>
      </c>
      <c r="BD483" s="394" t="s">
        <v>113</v>
      </c>
      <c r="BE483" s="34"/>
      <c r="BF483" s="394">
        <v>0.018746</v>
      </c>
      <c r="BG483" s="394">
        <v>0.0746956380927144</v>
      </c>
      <c r="BH483" s="394">
        <v>0.0691334901985473</v>
      </c>
      <c r="BI483" s="394">
        <v>0.044939477665943</v>
      </c>
      <c r="BJ483" s="394">
        <v>0.0354728291411932</v>
      </c>
      <c r="BK483" s="394">
        <v>0.0639597035748582</v>
      </c>
      <c r="BL483" s="394">
        <v>0.0779386920049609</v>
      </c>
      <c r="BM483" s="394">
        <v>0.02401</v>
      </c>
      <c r="BN483" s="394" t="s">
        <v>113</v>
      </c>
      <c r="BO483" s="394" t="s">
        <v>113</v>
      </c>
      <c r="BP483" s="394" t="s">
        <v>113</v>
      </c>
      <c r="BQ483" s="394" t="s">
        <v>113</v>
      </c>
      <c r="BR483" s="394" t="s">
        <v>113</v>
      </c>
      <c r="BS483" s="394" t="s">
        <v>113</v>
      </c>
      <c r="BT483" s="394" t="s">
        <v>113</v>
      </c>
      <c r="BU483" s="394" t="s">
        <v>113</v>
      </c>
    </row>
    <row r="484" spans="45:73">
      <c r="AS484" s="379" t="s">
        <v>762</v>
      </c>
      <c r="AT484" s="382">
        <v>0.48</v>
      </c>
      <c r="AU484" s="383">
        <v>45716</v>
      </c>
      <c r="AV484" s="382">
        <v>2548.7264</v>
      </c>
      <c r="AW484" s="33"/>
      <c r="AX484" s="394">
        <v>0.007914</v>
      </c>
      <c r="AY484" s="394">
        <v>0.019081</v>
      </c>
      <c r="AZ484" s="394">
        <v>0.036736</v>
      </c>
      <c r="BA484" s="394">
        <v>0.074315</v>
      </c>
      <c r="BB484" s="394">
        <v>0.066273</v>
      </c>
      <c r="BC484" s="394">
        <v>0.056639</v>
      </c>
      <c r="BD484" s="394" t="s">
        <v>113</v>
      </c>
      <c r="BE484" s="34"/>
      <c r="BF484" s="394">
        <v>0.019081</v>
      </c>
      <c r="BG484" s="394">
        <v>0.0741572502501621</v>
      </c>
      <c r="BH484" s="394">
        <v>0.0696881661807407</v>
      </c>
      <c r="BI484" s="394">
        <v>0.0454896277267235</v>
      </c>
      <c r="BJ484" s="394">
        <v>0.0347964554431644</v>
      </c>
      <c r="BK484" s="394">
        <v>0.0491241</v>
      </c>
      <c r="BL484" s="394" t="s">
        <v>113</v>
      </c>
      <c r="BM484" s="394" t="s">
        <v>113</v>
      </c>
      <c r="BN484" s="394" t="s">
        <v>113</v>
      </c>
      <c r="BO484" s="394" t="s">
        <v>113</v>
      </c>
      <c r="BP484" s="394" t="s">
        <v>113</v>
      </c>
      <c r="BQ484" s="394" t="s">
        <v>113</v>
      </c>
      <c r="BR484" s="394" t="s">
        <v>113</v>
      </c>
      <c r="BS484" s="394" t="s">
        <v>113</v>
      </c>
      <c r="BT484" s="394" t="s">
        <v>113</v>
      </c>
      <c r="BU484" s="394" t="s">
        <v>113</v>
      </c>
    </row>
    <row r="485" spans="45:73">
      <c r="AS485" s="379" t="s">
        <v>763</v>
      </c>
      <c r="AT485" s="382">
        <v>0.8</v>
      </c>
      <c r="AU485" s="383">
        <v>45716</v>
      </c>
      <c r="AV485" s="382">
        <v>13589.348319597</v>
      </c>
      <c r="AW485" s="33"/>
      <c r="AX485" s="394">
        <v>0.007605</v>
      </c>
      <c r="AY485" s="394">
        <v>0.018549</v>
      </c>
      <c r="AZ485" s="394">
        <v>0.036406</v>
      </c>
      <c r="BA485" s="394">
        <v>0.07365</v>
      </c>
      <c r="BB485" s="394">
        <v>0.06616</v>
      </c>
      <c r="BC485" s="394">
        <v>0.059354</v>
      </c>
      <c r="BD485" s="394">
        <v>0.070495</v>
      </c>
      <c r="BE485" s="34"/>
      <c r="BF485" s="394">
        <v>0.018549</v>
      </c>
      <c r="BG485" s="394">
        <v>0.0748545691863932</v>
      </c>
      <c r="BH485" s="394">
        <v>0.0691279966232804</v>
      </c>
      <c r="BI485" s="394">
        <v>0.0454136123768529</v>
      </c>
      <c r="BJ485" s="394">
        <v>0.040048702819144</v>
      </c>
      <c r="BK485" s="394">
        <v>0.0653349563967991</v>
      </c>
      <c r="BL485" s="394">
        <v>0.0843074992291421</v>
      </c>
      <c r="BM485" s="394">
        <v>0.0749491190323895</v>
      </c>
      <c r="BN485" s="394">
        <v>0.0693388219053718</v>
      </c>
      <c r="BO485" s="394">
        <v>0.0981678878471488</v>
      </c>
      <c r="BP485" s="394">
        <v>0.0912457711739369</v>
      </c>
      <c r="BQ485" s="394">
        <v>0.148277130804576</v>
      </c>
      <c r="BR485" s="394">
        <v>0.0306544495691974</v>
      </c>
      <c r="BS485" s="394">
        <v>0.0939040507818906</v>
      </c>
      <c r="BT485" s="394">
        <v>0.03659</v>
      </c>
      <c r="BU485" s="394" t="s">
        <v>113</v>
      </c>
    </row>
    <row r="486" spans="45:73">
      <c r="AS486" s="379" t="s">
        <v>764</v>
      </c>
      <c r="AT486" s="382">
        <v>0.74</v>
      </c>
      <c r="AU486" s="383">
        <v>45716</v>
      </c>
      <c r="AV486" s="382">
        <v>1337.068</v>
      </c>
      <c r="AW486" s="33"/>
      <c r="AX486" s="394">
        <v>0.007625</v>
      </c>
      <c r="AY486" s="394">
        <v>0.019176</v>
      </c>
      <c r="AZ486" s="394">
        <v>0.036599</v>
      </c>
      <c r="BA486" s="394">
        <v>0.072825</v>
      </c>
      <c r="BB486" s="394">
        <v>0.064099</v>
      </c>
      <c r="BC486" s="394">
        <v>0.053766</v>
      </c>
      <c r="BD486" s="394">
        <v>0.064914</v>
      </c>
      <c r="BE486" s="34"/>
      <c r="BF486" s="394">
        <v>0.019176</v>
      </c>
      <c r="BG486" s="394">
        <v>0.074749025309996</v>
      </c>
      <c r="BH486" s="394">
        <v>0.0662050304465719</v>
      </c>
      <c r="BI486" s="394">
        <v>0.0410412814701438</v>
      </c>
      <c r="BJ486" s="394">
        <v>0.0303323006067964</v>
      </c>
      <c r="BK486" s="394">
        <v>0.0510374634627095</v>
      </c>
      <c r="BL486" s="394">
        <v>0.0759469137966082</v>
      </c>
      <c r="BM486" s="394">
        <v>0.0733358452260779</v>
      </c>
      <c r="BN486" s="394">
        <v>0.0713804441304446</v>
      </c>
      <c r="BO486" s="394">
        <v>0.0912619506165896</v>
      </c>
      <c r="BP486" s="394">
        <v>0.0828000330785922</v>
      </c>
      <c r="BQ486" s="394">
        <v>0.1011036348384</v>
      </c>
      <c r="BR486" s="394">
        <v>0.0611069885123833</v>
      </c>
      <c r="BS486" s="394">
        <v>0.088600926122762</v>
      </c>
      <c r="BT486" s="394">
        <v>0.08193</v>
      </c>
      <c r="BU486" s="394">
        <v>0</v>
      </c>
    </row>
    <row r="487" spans="45:73">
      <c r="AS487" s="379" t="s">
        <v>765</v>
      </c>
      <c r="AT487" s="382">
        <v>0.95</v>
      </c>
      <c r="AU487" s="383">
        <v>45716</v>
      </c>
      <c r="AV487" s="382">
        <v>195.7271</v>
      </c>
      <c r="AW487" s="33"/>
      <c r="AX487" s="394">
        <v>0.006662</v>
      </c>
      <c r="AY487" s="394">
        <v>0.016608</v>
      </c>
      <c r="AZ487" s="394">
        <v>0.032767</v>
      </c>
      <c r="BA487" s="394">
        <v>0.065836</v>
      </c>
      <c r="BB487" s="394">
        <v>0.058554</v>
      </c>
      <c r="BC487" s="394" t="s">
        <v>113</v>
      </c>
      <c r="BD487" s="394" t="s">
        <v>113</v>
      </c>
      <c r="BE487" s="34"/>
      <c r="BF487" s="394">
        <v>0.016608</v>
      </c>
      <c r="BG487" s="394">
        <v>0.0658470365183763</v>
      </c>
      <c r="BH487" s="394">
        <v>0.0627645064804826</v>
      </c>
      <c r="BI487" s="394">
        <v>0.0377034362135186</v>
      </c>
      <c r="BJ487" s="394">
        <v>0.0173582</v>
      </c>
      <c r="BK487" s="394" t="s">
        <v>113</v>
      </c>
      <c r="BL487" s="394" t="s">
        <v>113</v>
      </c>
      <c r="BM487" s="394" t="s">
        <v>113</v>
      </c>
      <c r="BN487" s="394" t="s">
        <v>113</v>
      </c>
      <c r="BO487" s="394" t="s">
        <v>113</v>
      </c>
      <c r="BP487" s="394" t="s">
        <v>113</v>
      </c>
      <c r="BQ487" s="394" t="s">
        <v>113</v>
      </c>
      <c r="BR487" s="394" t="s">
        <v>113</v>
      </c>
      <c r="BS487" s="394" t="s">
        <v>113</v>
      </c>
      <c r="BT487" s="394" t="s">
        <v>113</v>
      </c>
      <c r="BU487" s="394" t="s">
        <v>113</v>
      </c>
    </row>
    <row r="488" spans="45:73">
      <c r="AS488" s="379" t="s">
        <v>766</v>
      </c>
      <c r="AT488" s="382">
        <v>0.81</v>
      </c>
      <c r="AU488" s="383">
        <v>45716</v>
      </c>
      <c r="AV488" s="382">
        <v>12726.3063</v>
      </c>
      <c r="AW488" s="33"/>
      <c r="AX488" s="394">
        <v>0.007788</v>
      </c>
      <c r="AY488" s="394">
        <v>0.018289</v>
      </c>
      <c r="AZ488" s="394">
        <v>0.03554</v>
      </c>
      <c r="BA488" s="394">
        <v>0.071975</v>
      </c>
      <c r="BB488" s="394">
        <v>0.064533</v>
      </c>
      <c r="BC488" s="394">
        <v>0.055734</v>
      </c>
      <c r="BD488" s="394">
        <v>0.065688</v>
      </c>
      <c r="BE488" s="34"/>
      <c r="BF488" s="394">
        <v>0.018289</v>
      </c>
      <c r="BG488" s="394">
        <v>0.0724104208333656</v>
      </c>
      <c r="BH488" s="394">
        <v>0.0680391977591782</v>
      </c>
      <c r="BI488" s="394">
        <v>0.0445831669242388</v>
      </c>
      <c r="BJ488" s="394">
        <v>0.032122587968218</v>
      </c>
      <c r="BK488" s="394">
        <v>0.0584121604532349</v>
      </c>
      <c r="BL488" s="394">
        <v>0.0784463477169823</v>
      </c>
      <c r="BM488" s="394">
        <v>0.0741751299245905</v>
      </c>
      <c r="BN488" s="394">
        <v>0.0665325573219797</v>
      </c>
      <c r="BO488" s="394">
        <v>0.0816943065385021</v>
      </c>
      <c r="BP488" s="394">
        <v>0.0862880091795754</v>
      </c>
      <c r="BQ488" s="394">
        <v>0.0942718666030488</v>
      </c>
      <c r="BR488" s="394">
        <v>0.0894461528359907</v>
      </c>
      <c r="BS488" s="394">
        <v>0.0962761235213667</v>
      </c>
      <c r="BT488" s="394">
        <v>0.0919857203681262</v>
      </c>
      <c r="BU488" s="394">
        <v>0.05687088958117</v>
      </c>
    </row>
    <row r="489" spans="45:73">
      <c r="AS489" s="379" t="s">
        <v>767</v>
      </c>
      <c r="AT489" s="382">
        <v>0.95</v>
      </c>
      <c r="AU489" s="383">
        <v>45716</v>
      </c>
      <c r="AV489" s="382">
        <v>365.8522</v>
      </c>
      <c r="AW489" s="33"/>
      <c r="AX489" s="394">
        <v>0.006997</v>
      </c>
      <c r="AY489" s="394">
        <v>0.01758</v>
      </c>
      <c r="AZ489" s="394">
        <v>0.034129</v>
      </c>
      <c r="BA489" s="394">
        <v>0.069309</v>
      </c>
      <c r="BB489" s="394">
        <v>0.060087</v>
      </c>
      <c r="BC489" s="394">
        <v>0.050384</v>
      </c>
      <c r="BD489" s="394" t="s">
        <v>113</v>
      </c>
      <c r="BE489" s="34"/>
      <c r="BF489" s="394">
        <v>0.01758</v>
      </c>
      <c r="BG489" s="394">
        <v>0.0690546236556258</v>
      </c>
      <c r="BH489" s="394">
        <v>0.0593629509761651</v>
      </c>
      <c r="BI489" s="394">
        <v>0.0421545364306499</v>
      </c>
      <c r="BJ489" s="394">
        <v>0.0316498208588891</v>
      </c>
      <c r="BK489" s="394">
        <v>0.043099236026022</v>
      </c>
      <c r="BL489" s="394">
        <v>0.00507349999999997</v>
      </c>
      <c r="BM489" s="394" t="s">
        <v>113</v>
      </c>
      <c r="BN489" s="394" t="s">
        <v>113</v>
      </c>
      <c r="BO489" s="394" t="s">
        <v>113</v>
      </c>
      <c r="BP489" s="394" t="s">
        <v>113</v>
      </c>
      <c r="BQ489" s="394" t="s">
        <v>113</v>
      </c>
      <c r="BR489" s="394" t="s">
        <v>113</v>
      </c>
      <c r="BS489" s="394" t="s">
        <v>113</v>
      </c>
      <c r="BT489" s="394" t="s">
        <v>113</v>
      </c>
      <c r="BU489" s="394" t="s">
        <v>113</v>
      </c>
    </row>
    <row r="490" spans="45:73">
      <c r="AS490" s="379" t="s">
        <v>768</v>
      </c>
      <c r="AT490" s="382">
        <v>0.69</v>
      </c>
      <c r="AU490" s="383">
        <v>45716</v>
      </c>
      <c r="AV490" s="382">
        <v>204.7227</v>
      </c>
      <c r="AW490" s="33"/>
      <c r="AX490" s="394">
        <v>0.007452</v>
      </c>
      <c r="AY490" s="394">
        <v>0.018568</v>
      </c>
      <c r="AZ490" s="394">
        <v>0.03629</v>
      </c>
      <c r="BA490" s="394">
        <v>0.073663</v>
      </c>
      <c r="BB490" s="394">
        <v>0.065129</v>
      </c>
      <c r="BC490" s="394">
        <v>0.055624</v>
      </c>
      <c r="BD490" s="394" t="s">
        <v>113</v>
      </c>
      <c r="BE490" s="34"/>
      <c r="BF490" s="394">
        <v>0.018568</v>
      </c>
      <c r="BG490" s="394">
        <v>0.0734976398381628</v>
      </c>
      <c r="BH490" s="394">
        <v>0.0685608577028996</v>
      </c>
      <c r="BI490" s="394">
        <v>0.0435762456388834</v>
      </c>
      <c r="BJ490" s="394">
        <v>0.0329214332690578</v>
      </c>
      <c r="BK490" s="394">
        <v>0.059209221448619</v>
      </c>
      <c r="BL490" s="394">
        <v>0.0129081</v>
      </c>
      <c r="BM490" s="394" t="s">
        <v>113</v>
      </c>
      <c r="BN490" s="394" t="s">
        <v>113</v>
      </c>
      <c r="BO490" s="394" t="s">
        <v>113</v>
      </c>
      <c r="BP490" s="394" t="s">
        <v>113</v>
      </c>
      <c r="BQ490" s="394" t="s">
        <v>113</v>
      </c>
      <c r="BR490" s="394" t="s">
        <v>113</v>
      </c>
      <c r="BS490" s="394" t="s">
        <v>113</v>
      </c>
      <c r="BT490" s="394" t="s">
        <v>113</v>
      </c>
      <c r="BU490" s="394" t="s">
        <v>113</v>
      </c>
    </row>
    <row r="491" spans="45:73">
      <c r="AS491" s="379" t="s">
        <v>769</v>
      </c>
      <c r="AT491" s="382">
        <v>0.42</v>
      </c>
      <c r="AU491" s="383">
        <v>45716</v>
      </c>
      <c r="AV491" s="382">
        <v>1601.774413624</v>
      </c>
      <c r="AW491" s="33"/>
      <c r="AX491" s="394">
        <v>0.007752</v>
      </c>
      <c r="AY491" s="394">
        <v>0.019334</v>
      </c>
      <c r="AZ491" s="394">
        <v>0.037752</v>
      </c>
      <c r="BA491" s="394">
        <v>0.076423</v>
      </c>
      <c r="BB491" s="394">
        <v>0.067997</v>
      </c>
      <c r="BC491" s="394" t="s">
        <v>113</v>
      </c>
      <c r="BD491" s="394" t="s">
        <v>113</v>
      </c>
      <c r="BE491" s="34"/>
      <c r="BF491" s="394">
        <v>0.019334</v>
      </c>
      <c r="BG491" s="394">
        <v>0.0765265719460334</v>
      </c>
      <c r="BH491" s="394">
        <v>0.0711174937700092</v>
      </c>
      <c r="BI491" s="394">
        <v>0.0466546250073559</v>
      </c>
      <c r="BJ491" s="394">
        <v>0.0346211801794333</v>
      </c>
      <c r="BK491" s="394">
        <v>0.00846360000000004</v>
      </c>
      <c r="BL491" s="394" t="s">
        <v>113</v>
      </c>
      <c r="BM491" s="394" t="s">
        <v>113</v>
      </c>
      <c r="BN491" s="394" t="s">
        <v>113</v>
      </c>
      <c r="BO491" s="394" t="s">
        <v>113</v>
      </c>
      <c r="BP491" s="394" t="s">
        <v>113</v>
      </c>
      <c r="BQ491" s="394" t="s">
        <v>113</v>
      </c>
      <c r="BR491" s="394" t="s">
        <v>113</v>
      </c>
      <c r="BS491" s="394" t="s">
        <v>113</v>
      </c>
      <c r="BT491" s="394" t="s">
        <v>113</v>
      </c>
      <c r="BU491" s="394" t="s">
        <v>113</v>
      </c>
    </row>
    <row r="492" spans="45:73">
      <c r="AS492" s="379" t="s">
        <v>770</v>
      </c>
      <c r="AT492" s="382">
        <v>1.06</v>
      </c>
      <c r="AU492" s="383">
        <v>45716</v>
      </c>
      <c r="AV492" s="382">
        <v>504.1021</v>
      </c>
      <c r="AW492" s="33"/>
      <c r="AX492" s="394">
        <v>0.004975</v>
      </c>
      <c r="AY492" s="394">
        <v>0.014094</v>
      </c>
      <c r="AZ492" s="394">
        <v>0.027887</v>
      </c>
      <c r="BA492" s="394">
        <v>0.058878</v>
      </c>
      <c r="BB492" s="394">
        <v>0.053665</v>
      </c>
      <c r="BC492" s="394">
        <v>0.044111</v>
      </c>
      <c r="BD492" s="394">
        <v>0.037523</v>
      </c>
      <c r="BE492" s="34"/>
      <c r="BF492" s="394">
        <v>0.014094</v>
      </c>
      <c r="BG492" s="394">
        <v>0.0601502763893946</v>
      </c>
      <c r="BH492" s="394">
        <v>0.0578896133455658</v>
      </c>
      <c r="BI492" s="394">
        <v>0.0360166878287683</v>
      </c>
      <c r="BJ492" s="394">
        <v>0.0237241051466601</v>
      </c>
      <c r="BK492" s="394">
        <v>0.0434327698853729</v>
      </c>
      <c r="BL492" s="394">
        <v>0.0620205445626049</v>
      </c>
      <c r="BM492" s="394">
        <v>-0.0808107556006143</v>
      </c>
      <c r="BN492" s="394">
        <v>0.055088128232965</v>
      </c>
      <c r="BO492" s="394">
        <v>0.063772694077886</v>
      </c>
      <c r="BP492" s="394">
        <v>0.0661150291058221</v>
      </c>
      <c r="BQ492" s="394">
        <v>0.0753930779340895</v>
      </c>
      <c r="BR492" s="394">
        <v>0.02715</v>
      </c>
      <c r="BS492" s="394" t="s">
        <v>113</v>
      </c>
      <c r="BT492" s="394" t="s">
        <v>113</v>
      </c>
      <c r="BU492" s="394" t="s">
        <v>113</v>
      </c>
    </row>
    <row r="493" spans="45:73">
      <c r="AS493" s="379" t="s">
        <v>771</v>
      </c>
      <c r="AT493" s="382">
        <v>1.09</v>
      </c>
      <c r="AU493" s="383">
        <v>45716</v>
      </c>
      <c r="AV493" s="382">
        <v>7544.6112</v>
      </c>
      <c r="AW493" s="33"/>
      <c r="AX493" s="394">
        <v>0.007495</v>
      </c>
      <c r="AY493" s="394">
        <v>0.018266</v>
      </c>
      <c r="AZ493" s="394">
        <v>0.03573</v>
      </c>
      <c r="BA493" s="394">
        <v>0.072092</v>
      </c>
      <c r="BB493" s="394">
        <v>0.064332</v>
      </c>
      <c r="BC493" s="394">
        <v>0.063866</v>
      </c>
      <c r="BD493" s="394">
        <v>0.059164</v>
      </c>
      <c r="BE493" s="34"/>
      <c r="BF493" s="394">
        <v>0.018266</v>
      </c>
      <c r="BG493" s="394">
        <v>0.0724381722484612</v>
      </c>
      <c r="BH493" s="394">
        <v>0.066857690040425</v>
      </c>
      <c r="BI493" s="394">
        <v>0.0458899521349851</v>
      </c>
      <c r="BJ493" s="394">
        <v>0.0777526548118869</v>
      </c>
      <c r="BK493" s="394">
        <v>0.0486616614255693</v>
      </c>
      <c r="BL493" s="394">
        <v>0.00875590379545155</v>
      </c>
      <c r="BM493" s="394">
        <v>0.073213352183412</v>
      </c>
      <c r="BN493" s="394">
        <v>0.058067807436227</v>
      </c>
      <c r="BO493" s="394">
        <v>0.0680978591052989</v>
      </c>
      <c r="BP493" s="394">
        <v>0.0764270475051346</v>
      </c>
      <c r="BQ493" s="394">
        <v>0.0843433077147296</v>
      </c>
      <c r="BR493" s="394">
        <v>0.0851170570636431</v>
      </c>
      <c r="BS493" s="394">
        <v>0.0924366415452333</v>
      </c>
      <c r="BT493" s="394">
        <v>0.0897573379738138</v>
      </c>
      <c r="BU493" s="394">
        <v>0.0445785961028944</v>
      </c>
    </row>
    <row r="494" spans="45:73">
      <c r="AS494" s="379" t="s">
        <v>772</v>
      </c>
      <c r="AT494" s="382">
        <v>0.92</v>
      </c>
      <c r="AU494" s="383">
        <v>45716</v>
      </c>
      <c r="AV494" s="382">
        <v>204.1266</v>
      </c>
      <c r="AW494" s="33"/>
      <c r="AX494" s="394">
        <v>0.007101</v>
      </c>
      <c r="AY494" s="394">
        <v>0.0174</v>
      </c>
      <c r="AZ494" s="394">
        <v>0.034026</v>
      </c>
      <c r="BA494" s="394">
        <v>0.068768</v>
      </c>
      <c r="BB494" s="394">
        <v>0.061785</v>
      </c>
      <c r="BC494" s="394">
        <v>0.053513</v>
      </c>
      <c r="BD494" s="394">
        <v>0.071499</v>
      </c>
      <c r="BE494" s="34"/>
      <c r="BF494" s="394">
        <v>0.0174</v>
      </c>
      <c r="BG494" s="394">
        <v>0.068721202458689</v>
      </c>
      <c r="BH494" s="394">
        <v>0.0652017515339758</v>
      </c>
      <c r="BI494" s="394">
        <v>0.0429453164173397</v>
      </c>
      <c r="BJ494" s="394">
        <v>0.0325660222743695</v>
      </c>
      <c r="BK494" s="394">
        <v>0.0565608544734709</v>
      </c>
      <c r="BL494" s="394">
        <v>0.139636892054323</v>
      </c>
      <c r="BM494" s="394">
        <v>0.0776830423602652</v>
      </c>
      <c r="BN494" s="394">
        <v>0.0684307558833098</v>
      </c>
      <c r="BO494" s="394">
        <v>0.0839915582997923</v>
      </c>
      <c r="BP494" s="394">
        <v>0.0891570231809481</v>
      </c>
      <c r="BQ494" s="394">
        <v>0.0953032862971891</v>
      </c>
      <c r="BR494" s="394">
        <v>0.0994750174382319</v>
      </c>
      <c r="BS494" s="394">
        <v>0.0998279941534163</v>
      </c>
      <c r="BT494" s="394">
        <v>0.0948111998161066</v>
      </c>
      <c r="BU494" s="394">
        <v>0.0566194604289664</v>
      </c>
    </row>
    <row r="495" spans="45:73">
      <c r="AS495" s="379" t="s">
        <v>773</v>
      </c>
      <c r="AT495" s="382">
        <v>0.54</v>
      </c>
      <c r="AU495" s="383">
        <v>45716</v>
      </c>
      <c r="AV495" s="382">
        <v>11986.9984</v>
      </c>
      <c r="AW495" s="33"/>
      <c r="AX495" s="394">
        <v>0.007639</v>
      </c>
      <c r="AY495" s="394">
        <v>0.018828</v>
      </c>
      <c r="AZ495" s="394">
        <v>0.036419</v>
      </c>
      <c r="BA495" s="394">
        <v>0.074061</v>
      </c>
      <c r="BB495" s="394">
        <v>0.065669</v>
      </c>
      <c r="BC495" s="394">
        <v>0.056839</v>
      </c>
      <c r="BD495" s="394">
        <v>0.066115</v>
      </c>
      <c r="BE495" s="34"/>
      <c r="BF495" s="394">
        <v>0.018828</v>
      </c>
      <c r="BG495" s="394">
        <v>0.0741913552974889</v>
      </c>
      <c r="BH495" s="394">
        <v>0.069590445334369</v>
      </c>
      <c r="BI495" s="394">
        <v>0.044560395944906</v>
      </c>
      <c r="BJ495" s="394">
        <v>0.0337051760942446</v>
      </c>
      <c r="BK495" s="394">
        <v>0.0587776517623597</v>
      </c>
      <c r="BL495" s="394">
        <v>0.0796413910323125</v>
      </c>
      <c r="BM495" s="394">
        <v>0.0791961698880455</v>
      </c>
      <c r="BN495" s="394">
        <v>0.0660462776075489</v>
      </c>
      <c r="BO495" s="394">
        <v>0.0765708091365683</v>
      </c>
      <c r="BP495" s="394">
        <v>0.0831173168299952</v>
      </c>
      <c r="BQ495" s="394">
        <v>0.0902720539646853</v>
      </c>
      <c r="BR495" s="394">
        <v>0.0932752246480653</v>
      </c>
      <c r="BS495" s="394">
        <v>0.0934823751356754</v>
      </c>
      <c r="BT495" s="394">
        <v>0.0872682485939204</v>
      </c>
      <c r="BU495" s="394">
        <v>0.0543058586536846</v>
      </c>
    </row>
    <row r="496" spans="45:73">
      <c r="AS496" s="379" t="s">
        <v>774</v>
      </c>
      <c r="AT496" s="382">
        <v>1.5</v>
      </c>
      <c r="AU496" s="383">
        <v>45716</v>
      </c>
      <c r="AV496" s="382">
        <v>2004.572884</v>
      </c>
      <c r="AW496" s="33"/>
      <c r="AX496" s="394">
        <v>0.006894</v>
      </c>
      <c r="AY496" s="394">
        <v>0.016415</v>
      </c>
      <c r="AZ496" s="394">
        <v>0.031911</v>
      </c>
      <c r="BA496" s="394">
        <v>0.064434</v>
      </c>
      <c r="BB496" s="394">
        <v>0.057169</v>
      </c>
      <c r="BC496" s="394">
        <v>0.04663</v>
      </c>
      <c r="BD496" s="394">
        <v>0.052752</v>
      </c>
      <c r="BE496" s="34"/>
      <c r="BF496" s="394">
        <v>0.016415</v>
      </c>
      <c r="BG496" s="394">
        <v>0.0644655635028735</v>
      </c>
      <c r="BH496" s="394">
        <v>0.0609618308779159</v>
      </c>
      <c r="BI496" s="394">
        <v>0.0366045370362156</v>
      </c>
      <c r="BJ496" s="394">
        <v>0.0268215633012401</v>
      </c>
      <c r="BK496" s="394">
        <v>0.0405535348749353</v>
      </c>
      <c r="BL496" s="394">
        <v>0.0650241128290294</v>
      </c>
      <c r="BM496" s="394">
        <v>0.012191077044443</v>
      </c>
      <c r="BN496" s="394">
        <v>0.0625015946758575</v>
      </c>
      <c r="BO496" s="394">
        <v>0.0794306136953563</v>
      </c>
      <c r="BP496" s="394">
        <v>0.0882378282488629</v>
      </c>
      <c r="BQ496" s="394">
        <v>0.0944386038978451</v>
      </c>
      <c r="BR496" s="394">
        <v>0.0978225201857667</v>
      </c>
      <c r="BS496" s="394">
        <v>0.100440931168708</v>
      </c>
      <c r="BT496" s="394">
        <v>0.0692782816403855</v>
      </c>
      <c r="BU496" s="394">
        <v>0.0408859252202906</v>
      </c>
    </row>
    <row r="497" spans="45:73">
      <c r="AS497" s="379" t="s">
        <v>775</v>
      </c>
      <c r="AT497" s="382">
        <v>1.16</v>
      </c>
      <c r="AU497" s="383">
        <v>45716</v>
      </c>
      <c r="AV497" s="382">
        <v>5208.8167806297</v>
      </c>
      <c r="AW497" s="33"/>
      <c r="AX497" s="394">
        <v>0.007217</v>
      </c>
      <c r="AY497" s="394">
        <v>0.017891</v>
      </c>
      <c r="AZ497" s="394">
        <v>0.035162</v>
      </c>
      <c r="BA497" s="394">
        <v>0.070314</v>
      </c>
      <c r="BB497" s="394">
        <v>0.061637</v>
      </c>
      <c r="BC497" s="394">
        <v>0.052068</v>
      </c>
      <c r="BD497" s="394" t="s">
        <v>113</v>
      </c>
      <c r="BE497" s="34"/>
      <c r="BF497" s="394">
        <v>0.017891</v>
      </c>
      <c r="BG497" s="394">
        <v>0.0701453899877211</v>
      </c>
      <c r="BH497" s="394">
        <v>0.0646821266497358</v>
      </c>
      <c r="BI497" s="394">
        <v>0.0411356740355439</v>
      </c>
      <c r="BJ497" s="394">
        <v>0.0309232281705246</v>
      </c>
      <c r="BK497" s="394">
        <v>0.0492704152443827</v>
      </c>
      <c r="BL497" s="394">
        <v>0.0663600000000001</v>
      </c>
      <c r="BM497" s="394" t="s">
        <v>113</v>
      </c>
      <c r="BN497" s="394" t="s">
        <v>113</v>
      </c>
      <c r="BO497" s="394" t="s">
        <v>113</v>
      </c>
      <c r="BP497" s="394" t="s">
        <v>113</v>
      </c>
      <c r="BQ497" s="394" t="s">
        <v>113</v>
      </c>
      <c r="BR497" s="394" t="s">
        <v>113</v>
      </c>
      <c r="BS497" s="394" t="s">
        <v>113</v>
      </c>
      <c r="BT497" s="394" t="s">
        <v>113</v>
      </c>
      <c r="BU497" s="394" t="s">
        <v>113</v>
      </c>
    </row>
    <row r="498" spans="45:73">
      <c r="AS498" s="379" t="s">
        <v>776</v>
      </c>
      <c r="AT498" s="382">
        <v>0.92</v>
      </c>
      <c r="AU498" s="383">
        <v>45716</v>
      </c>
      <c r="AV498" s="382">
        <v>3384.6374</v>
      </c>
      <c r="AW498" s="33"/>
      <c r="AX498" s="394">
        <v>0.007378</v>
      </c>
      <c r="AY498" s="394">
        <v>0.018035</v>
      </c>
      <c r="AZ498" s="394">
        <v>0.035213</v>
      </c>
      <c r="BA498" s="394">
        <v>0.07172</v>
      </c>
      <c r="BB498" s="394">
        <v>0.063571</v>
      </c>
      <c r="BC498" s="394">
        <v>0.060471</v>
      </c>
      <c r="BD498" s="394">
        <v>0.063251</v>
      </c>
      <c r="BE498" s="34"/>
      <c r="BF498" s="394">
        <v>0.018035</v>
      </c>
      <c r="BG498" s="394">
        <v>0.0721492235447482</v>
      </c>
      <c r="BH498" s="394">
        <v>0.0673041683270701</v>
      </c>
      <c r="BI498" s="394">
        <v>0.0421864576301597</v>
      </c>
      <c r="BJ498" s="394">
        <v>0.0610042769181628</v>
      </c>
      <c r="BK498" s="394">
        <v>0.0525695499525756</v>
      </c>
      <c r="BL498" s="394">
        <v>0.0327223846634991</v>
      </c>
      <c r="BM498" s="394">
        <v>0.0701499654000181</v>
      </c>
      <c r="BN498" s="394">
        <v>0.0664577509617143</v>
      </c>
      <c r="BO498" s="394">
        <v>0.0886755405333536</v>
      </c>
      <c r="BP498" s="394">
        <v>0.0851084345607741</v>
      </c>
      <c r="BQ498" s="394">
        <v>0.0883685791287848</v>
      </c>
      <c r="BR498" s="394">
        <v>0.0975255235968892</v>
      </c>
      <c r="BS498" s="394">
        <v>0.0900002390515145</v>
      </c>
      <c r="BT498" s="394">
        <v>0.0823279247670853</v>
      </c>
      <c r="BU498" s="394">
        <v>0.0541515134434285</v>
      </c>
    </row>
    <row r="499" ht="14.55" spans="45:73">
      <c r="AS499" s="379" t="s">
        <v>777</v>
      </c>
      <c r="AT499" s="382">
        <v>1.03</v>
      </c>
      <c r="AU499" s="383">
        <v>45716</v>
      </c>
      <c r="AV499" s="382">
        <v>372.1248</v>
      </c>
      <c r="AW499" s="33"/>
      <c r="AX499" s="394">
        <v>0.007007</v>
      </c>
      <c r="AY499" s="394">
        <v>0.017543</v>
      </c>
      <c r="AZ499" s="394">
        <v>0.034466</v>
      </c>
      <c r="BA499" s="394">
        <v>0.068999</v>
      </c>
      <c r="BB499" s="394">
        <v>0.060674</v>
      </c>
      <c r="BC499" s="394">
        <v>0.05032</v>
      </c>
      <c r="BD499" s="394" t="s">
        <v>113</v>
      </c>
      <c r="BE499" s="34"/>
      <c r="BF499" s="394">
        <v>0.017543</v>
      </c>
      <c r="BG499" s="394">
        <v>0.0689246415803738</v>
      </c>
      <c r="BH499" s="394">
        <v>0.0637709068290082</v>
      </c>
      <c r="BI499" s="394">
        <v>0.0389542695910552</v>
      </c>
      <c r="BJ499" s="394">
        <v>0.039875636523721</v>
      </c>
      <c r="BK499" s="394">
        <v>0.035494116822238</v>
      </c>
      <c r="BL499" s="394">
        <v>0.0340925</v>
      </c>
      <c r="BM499" s="394" t="s">
        <v>113</v>
      </c>
      <c r="BN499" s="394" t="s">
        <v>113</v>
      </c>
      <c r="BO499" s="394" t="s">
        <v>113</v>
      </c>
      <c r="BP499" s="394" t="s">
        <v>113</v>
      </c>
      <c r="BQ499" s="394" t="s">
        <v>113</v>
      </c>
      <c r="BR499" s="394" t="s">
        <v>113</v>
      </c>
      <c r="BS499" s="394" t="s">
        <v>113</v>
      </c>
      <c r="BT499" s="394" t="s">
        <v>113</v>
      </c>
      <c r="BU499" s="394" t="s">
        <v>113</v>
      </c>
    </row>
    <row r="500" ht="14.55" spans="45:73">
      <c r="AS500" s="4" t="s">
        <v>146</v>
      </c>
      <c r="AT500"/>
      <c r="AU500"/>
      <c r="AV500"/>
      <c r="AW500" s="395"/>
      <c r="AX500" s="396">
        <f t="shared" ref="AX500:BD500" si="52">AVERAGE(AX475:AX499)</f>
        <v>0.00736664</v>
      </c>
      <c r="AY500" s="396">
        <f t="shared" si="52"/>
        <v>0.0181076</v>
      </c>
      <c r="AZ500" s="396">
        <f t="shared" si="52"/>
        <v>0.03523296</v>
      </c>
      <c r="BA500" s="396">
        <f t="shared" si="52"/>
        <v>0.0710780833333333</v>
      </c>
      <c r="BB500" s="396">
        <f t="shared" si="52"/>
        <v>0.0631322083333333</v>
      </c>
      <c r="BC500" s="396">
        <f t="shared" si="52"/>
        <v>0.0544985909090909</v>
      </c>
      <c r="BD500" s="396">
        <f t="shared" si="52"/>
        <v>0.0619269230769231</v>
      </c>
      <c r="BE500" s="395"/>
      <c r="BF500" s="396">
        <f t="shared" ref="BF500:BU500" si="53">AVERAGE(BF475:BF499)</f>
        <v>0.0181076</v>
      </c>
      <c r="BG500" s="396">
        <f t="shared" si="53"/>
        <v>0.0692902966862042</v>
      </c>
      <c r="BH500" s="396">
        <f t="shared" si="53"/>
        <v>0.0663444332588737</v>
      </c>
      <c r="BI500" s="396">
        <f t="shared" si="53"/>
        <v>0.0427512510128408</v>
      </c>
      <c r="BJ500" s="396">
        <f t="shared" si="53"/>
        <v>0.0351058716844625</v>
      </c>
      <c r="BK500" s="396">
        <f t="shared" si="53"/>
        <v>0.0502446152462803</v>
      </c>
      <c r="BL500" s="396">
        <f t="shared" si="53"/>
        <v>0.0644715635716555</v>
      </c>
      <c r="BM500" s="396">
        <f t="shared" si="53"/>
        <v>0.0500887088832394</v>
      </c>
      <c r="BN500" s="396">
        <f t="shared" si="53"/>
        <v>0.0655947676415793</v>
      </c>
      <c r="BO500" s="396">
        <f t="shared" si="53"/>
        <v>0.0817988696343737</v>
      </c>
      <c r="BP500" s="396">
        <f t="shared" si="53"/>
        <v>0.0836773111139807</v>
      </c>
      <c r="BQ500" s="396">
        <f t="shared" si="53"/>
        <v>0.0956034787040958</v>
      </c>
      <c r="BR500" s="396">
        <f t="shared" si="53"/>
        <v>0.0809103690169956</v>
      </c>
      <c r="BS500" s="396">
        <f t="shared" si="53"/>
        <v>0.09379167774789</v>
      </c>
      <c r="BT500" s="396">
        <f t="shared" si="53"/>
        <v>0.0821573738817387</v>
      </c>
      <c r="BU500" s="396">
        <f t="shared" si="53"/>
        <v>0.0475576956201728</v>
      </c>
    </row>
    <row r="501" spans="45:73">
      <c r="AS501" s="4" t="s">
        <v>162</v>
      </c>
      <c r="AT501"/>
      <c r="AU501"/>
      <c r="AV501"/>
      <c r="AW501"/>
      <c r="AX501" s="397">
        <v>0.0087263867959253</v>
      </c>
      <c r="AY501" s="397">
        <v>0.0207643930788102</v>
      </c>
      <c r="AZ501" s="397">
        <v>0.0377184412193585</v>
      </c>
      <c r="BA501" s="397">
        <v>0.080280059411505</v>
      </c>
      <c r="BB501" s="397">
        <v>0.0659301709109001</v>
      </c>
      <c r="BC501" s="397">
        <v>0.0655149768088614</v>
      </c>
      <c r="BD501" s="397">
        <v>0.0738047315298365</v>
      </c>
      <c r="BE501" s="400"/>
      <c r="BF501" s="397">
        <v>0.0207643930788102</v>
      </c>
      <c r="BG501" s="397">
        <v>0.0797029257152309</v>
      </c>
      <c r="BH501" s="397">
        <v>0.0725988870220093</v>
      </c>
      <c r="BI501" s="397">
        <v>0.0358682288812193</v>
      </c>
      <c r="BJ501" s="397">
        <v>0.0437965988907254</v>
      </c>
      <c r="BK501" s="397">
        <v>0.104161972570555</v>
      </c>
      <c r="BL501" s="397">
        <v>0.0953364838894115</v>
      </c>
      <c r="BM501" s="397">
        <v>0.0665068187794211</v>
      </c>
      <c r="BN501" s="397">
        <v>0.0602957159773323</v>
      </c>
      <c r="BO501" s="397">
        <v>0.0986738756953636</v>
      </c>
      <c r="BP501" s="397">
        <v>0.0865549936165921</v>
      </c>
      <c r="BQ501" s="397">
        <v>0.104681934209951</v>
      </c>
      <c r="BR501" s="397">
        <v>0.0827206164504672</v>
      </c>
      <c r="BS501" s="397">
        <v>0.0912371315059957</v>
      </c>
      <c r="BT501" s="397">
        <v>0.0786771029274067</v>
      </c>
      <c r="BU501" s="397">
        <v>0.0470040326565153</v>
      </c>
    </row>
  </sheetData>
  <mergeCells count="105">
    <mergeCell ref="D3:E3"/>
    <mergeCell ref="F3:L3"/>
    <mergeCell ref="N3:AN3"/>
    <mergeCell ref="AU3:AV3"/>
    <mergeCell ref="AX3:BD3"/>
    <mergeCell ref="BF3:BU3"/>
    <mergeCell ref="D32:E32"/>
    <mergeCell ref="F32:L32"/>
    <mergeCell ref="N32:AN32"/>
    <mergeCell ref="AU41:AV41"/>
    <mergeCell ref="AX41:BD41"/>
    <mergeCell ref="BF41:BU41"/>
    <mergeCell ref="D57:E57"/>
    <mergeCell ref="F57:L57"/>
    <mergeCell ref="N57:AN57"/>
    <mergeCell ref="D84:E84"/>
    <mergeCell ref="F84:L84"/>
    <mergeCell ref="N84:AN84"/>
    <mergeCell ref="AU87:AV87"/>
    <mergeCell ref="AX87:BD87"/>
    <mergeCell ref="BF87:BU87"/>
    <mergeCell ref="D101:E101"/>
    <mergeCell ref="F101:L101"/>
    <mergeCell ref="N101:AN101"/>
    <mergeCell ref="AU105:AV105"/>
    <mergeCell ref="AX105:BD105"/>
    <mergeCell ref="BF105:BU105"/>
    <mergeCell ref="D126:E126"/>
    <mergeCell ref="F126:L126"/>
    <mergeCell ref="N126:AN126"/>
    <mergeCell ref="AU132:AV132"/>
    <mergeCell ref="AX132:BD132"/>
    <mergeCell ref="BF132:BU132"/>
    <mergeCell ref="D146:E146"/>
    <mergeCell ref="F146:L146"/>
    <mergeCell ref="N146:AN146"/>
    <mergeCell ref="AU148:AV148"/>
    <mergeCell ref="AX148:BD148"/>
    <mergeCell ref="BF148:BU148"/>
    <mergeCell ref="AU159:AV159"/>
    <mergeCell ref="AX159:BD159"/>
    <mergeCell ref="BF159:BU159"/>
    <mergeCell ref="D166:E166"/>
    <mergeCell ref="F166:L166"/>
    <mergeCell ref="N166:AN166"/>
    <mergeCell ref="D190:E190"/>
    <mergeCell ref="F190:L190"/>
    <mergeCell ref="N190:AC190"/>
    <mergeCell ref="AU203:AV203"/>
    <mergeCell ref="AX203:BD203"/>
    <mergeCell ref="BF203:BU203"/>
    <mergeCell ref="AU219:AV219"/>
    <mergeCell ref="AX219:BD219"/>
    <mergeCell ref="BF219:BU219"/>
    <mergeCell ref="AU244:AV244"/>
    <mergeCell ref="AX244:BD244"/>
    <mergeCell ref="BF244:BU244"/>
    <mergeCell ref="AU262:AV262"/>
    <mergeCell ref="AX262:BD262"/>
    <mergeCell ref="BF262:BU262"/>
    <mergeCell ref="AU280:AV280"/>
    <mergeCell ref="AX280:BD280"/>
    <mergeCell ref="BF280:BU280"/>
    <mergeCell ref="AU309:AV309"/>
    <mergeCell ref="AX309:BD309"/>
    <mergeCell ref="BF309:BU309"/>
    <mergeCell ref="AU348:AV348"/>
    <mergeCell ref="AX348:BD348"/>
    <mergeCell ref="BF348:BU348"/>
    <mergeCell ref="AU443:AV443"/>
    <mergeCell ref="AX443:BD443"/>
    <mergeCell ref="BF443:BU443"/>
    <mergeCell ref="AU473:AV473"/>
    <mergeCell ref="AX473:BD473"/>
    <mergeCell ref="BF473:BU473"/>
    <mergeCell ref="B32:B33"/>
    <mergeCell ref="B57:B58"/>
    <mergeCell ref="B84:B85"/>
    <mergeCell ref="B101:B102"/>
    <mergeCell ref="B126:B127"/>
    <mergeCell ref="B146:B147"/>
    <mergeCell ref="B166:B167"/>
    <mergeCell ref="B190:B191"/>
    <mergeCell ref="C32:C33"/>
    <mergeCell ref="C57:C58"/>
    <mergeCell ref="C84:C85"/>
    <mergeCell ref="C101:C102"/>
    <mergeCell ref="C126:C127"/>
    <mergeCell ref="C146:C147"/>
    <mergeCell ref="C166:C167"/>
    <mergeCell ref="AS41:AS42"/>
    <mergeCell ref="AS87:AS88"/>
    <mergeCell ref="AS105:AS106"/>
    <mergeCell ref="AS132:AS133"/>
    <mergeCell ref="AS148:AS149"/>
    <mergeCell ref="AS159:AS160"/>
    <mergeCell ref="AS203:AS204"/>
    <mergeCell ref="AS219:AS220"/>
    <mergeCell ref="AS244:AS245"/>
    <mergeCell ref="AS262:AS263"/>
    <mergeCell ref="AS280:AS281"/>
    <mergeCell ref="AS309:AS310"/>
    <mergeCell ref="AS348:AS349"/>
    <mergeCell ref="AS443:AS444"/>
    <mergeCell ref="AS473:AS474"/>
  </mergeCells>
  <conditionalFormatting sqref="S6:T6">
    <cfRule type="cellIs" dxfId="0" priority="59" operator="lessThan">
      <formula>0</formula>
    </cfRule>
  </conditionalFormatting>
  <conditionalFormatting sqref="S6:AM6">
    <cfRule type="cellIs" dxfId="1" priority="58" stopIfTrue="1" operator="greaterThan">
      <formula>0</formula>
    </cfRule>
  </conditionalFormatting>
  <conditionalFormatting sqref="U6:AM6">
    <cfRule type="cellIs" dxfId="0" priority="62" operator="lessThan">
      <formula>0</formula>
    </cfRule>
  </conditionalFormatting>
  <conditionalFormatting sqref="F29:L29">
    <cfRule type="cellIs" dxfId="1" priority="55" stopIfTrue="1" operator="greaterThan">
      <formula>0</formula>
    </cfRule>
    <cfRule type="cellIs" dxfId="0" priority="56" operator="lessThan">
      <formula>0</formula>
    </cfRule>
  </conditionalFormatting>
  <conditionalFormatting sqref="F82:L82">
    <cfRule type="cellIs" dxfId="1" priority="43" stopIfTrue="1" operator="greaterThan">
      <formula>0</formula>
    </cfRule>
    <cfRule type="cellIs" dxfId="0" priority="44" operator="lessThan">
      <formula>0</formula>
    </cfRule>
  </conditionalFormatting>
  <conditionalFormatting sqref="F99:L99">
    <cfRule type="cellIs" dxfId="1" priority="37" stopIfTrue="1" operator="greaterThan">
      <formula>0</formula>
    </cfRule>
    <cfRule type="cellIs" dxfId="0" priority="38" operator="lessThan">
      <formula>0</formula>
    </cfRule>
  </conditionalFormatting>
  <conditionalFormatting sqref="F123:L123">
    <cfRule type="cellIs" dxfId="1" priority="33" stopIfTrue="1" operator="greaterThan">
      <formula>0</formula>
    </cfRule>
    <cfRule type="cellIs" dxfId="0" priority="34" operator="lessThan">
      <formula>0</formula>
    </cfRule>
  </conditionalFormatting>
  <conditionalFormatting sqref="F163:L163">
    <cfRule type="cellIs" dxfId="1" priority="13" stopIfTrue="1" operator="greaterThan">
      <formula>0</formula>
    </cfRule>
    <cfRule type="cellIs" dxfId="0" priority="14" operator="lessThan">
      <formula>0</formula>
    </cfRule>
  </conditionalFormatting>
  <conditionalFormatting sqref="N163:P163">
    <cfRule type="cellIs" dxfId="1" priority="12" stopIfTrue="1" operator="greaterThan">
      <formula>0</formula>
    </cfRule>
  </conditionalFormatting>
  <conditionalFormatting sqref="F188:L188">
    <cfRule type="cellIs" dxfId="1" priority="7" stopIfTrue="1" operator="greaterThan">
      <formula>0</formula>
    </cfRule>
    <cfRule type="cellIs" dxfId="0" priority="8" operator="lessThan">
      <formula>0</formula>
    </cfRule>
  </conditionalFormatting>
  <conditionalFormatting sqref="N188:P188">
    <cfRule type="cellIs" dxfId="1" priority="5" stopIfTrue="1" operator="greaterThan">
      <formula>0</formula>
    </cfRule>
  </conditionalFormatting>
  <conditionalFormatting sqref="AX452:BA452">
    <cfRule type="colorScale" priority="253">
      <colorScale>
        <cfvo type="min"/>
        <cfvo type="max"/>
        <color rgb="FF63BE7B"/>
        <color rgb="FFFFEF9C"/>
      </colorScale>
    </cfRule>
  </conditionalFormatting>
  <conditionalFormatting sqref="Q5:R28 Q29:AM29 N5:P29 F5:K29">
    <cfRule type="cellIs" dxfId="0" priority="57" operator="lessThan">
      <formula>0</formula>
    </cfRule>
  </conditionalFormatting>
  <conditionalFormatting sqref="N5:P29">
    <cfRule type="cellIs" dxfId="1" priority="53" stopIfTrue="1" operator="greaterThan">
      <formula>0</formula>
    </cfRule>
  </conditionalFormatting>
  <conditionalFormatting sqref="Q5:R28 Q29:AM29">
    <cfRule type="cellIs" dxfId="1" priority="54" stopIfTrue="1" operator="greaterThan">
      <formula>0</formula>
    </cfRule>
  </conditionalFormatting>
  <conditionalFormatting sqref="S5:AM28">
    <cfRule type="cellIs" dxfId="1" priority="60" stopIfTrue="1" operator="greaterThan">
      <formula>0</formula>
    </cfRule>
    <cfRule type="cellIs" dxfId="0" priority="61" operator="lessThan">
      <formula>0</formula>
    </cfRule>
  </conditionalFormatting>
  <conditionalFormatting sqref="AX16:BD37 BF16:BU37 AX89:BD101 BF89:BU101">
    <cfRule type="cellIs" dxfId="0" priority="279" operator="lessThan">
      <formula>0</formula>
    </cfRule>
    <cfRule type="cellIs" dxfId="1" priority="280" operator="greaterThan">
      <formula>0</formula>
    </cfRule>
  </conditionalFormatting>
  <conditionalFormatting sqref="N124:AN125 F30:K32 N30:AN31 N55:AN56 N83:AN83 N100:AN100 N145:AN146 Q147:AM147 N166:AN166 Q167:AM167 AN82">
    <cfRule type="cellIs" dxfId="0" priority="303" operator="lessThan">
      <formula>0</formula>
    </cfRule>
  </conditionalFormatting>
  <conditionalFormatting sqref="N124:U125 Q30:AN31 N55:AN56 N83:AN83 N100:AN100 AN82">
    <cfRule type="cellIs" dxfId="1" priority="290" stopIfTrue="1" operator="greaterThan">
      <formula>0</formula>
    </cfRule>
  </conditionalFormatting>
  <conditionalFormatting sqref="N30:P31">
    <cfRule type="cellIs" dxfId="1" priority="287" stopIfTrue="1" operator="greaterThan">
      <formula>0</formula>
    </cfRule>
  </conditionalFormatting>
  <conditionalFormatting sqref="F34:K54 L54">
    <cfRule type="cellIs" dxfId="0" priority="50" operator="lessThan">
      <formula>0</formula>
    </cfRule>
  </conditionalFormatting>
  <conditionalFormatting sqref="N34:AM54 F54:L54">
    <cfRule type="cellIs" dxfId="1" priority="48" stopIfTrue="1" operator="greaterThan">
      <formula>0</formula>
    </cfRule>
  </conditionalFormatting>
  <conditionalFormatting sqref="N34:AM54">
    <cfRule type="cellIs" dxfId="0" priority="49" operator="lessThan">
      <formula>0</formula>
    </cfRule>
  </conditionalFormatting>
  <conditionalFormatting sqref="N34:P53">
    <cfRule type="cellIs" dxfId="0" priority="52" operator="lessThan">
      <formula>0</formula>
    </cfRule>
    <cfRule type="cellIs" dxfId="1" priority="51" stopIfTrue="1" operator="greaterThan">
      <formula>0</formula>
    </cfRule>
  </conditionalFormatting>
  <conditionalFormatting sqref="AX445:BD469 AX43:BD83 AX107:BD128 BF107:BU128 AX134:BD144 AX150:BD155 AX161:BD199 BF161:BU199 AX205:BD215 AX221:BD240 BF221:BU240 AX246:BD258 BF246:BU258 AX264:BD276 AX282:BD305 BF282:BU305 AX311:BD344 AX350:BD439 BF350:BU439 BF445:BU469 AX475:BD499 BF475:BU499">
    <cfRule type="cellIs" dxfId="0" priority="268" operator="lessThan">
      <formula>0</formula>
    </cfRule>
    <cfRule type="cellIs" dxfId="1" priority="269" operator="greaterThan">
      <formula>0</formula>
    </cfRule>
  </conditionalFormatting>
  <conditionalFormatting sqref="BF43:BU83">
    <cfRule type="cellIs" dxfId="0" priority="264" operator="lessThan">
      <formula>0</formula>
    </cfRule>
    <cfRule type="cellIs" dxfId="1" priority="265" operator="greaterThan">
      <formula>0</formula>
    </cfRule>
  </conditionalFormatting>
  <conditionalFormatting sqref="N59:AM82 F59:K80 F81:M81">
    <cfRule type="cellIs" dxfId="0" priority="45" operator="lessThan">
      <formula>0</formula>
    </cfRule>
  </conditionalFormatting>
  <conditionalFormatting sqref="M59:P80">
    <cfRule type="cellIs" dxfId="0" priority="47" operator="lessThan">
      <formula>0</formula>
    </cfRule>
  </conditionalFormatting>
  <conditionalFormatting sqref="N59:AM82">
    <cfRule type="cellIs" dxfId="1" priority="42" stopIfTrue="1" operator="greaterThan">
      <formula>0</formula>
    </cfRule>
  </conditionalFormatting>
  <conditionalFormatting sqref="N59:P81">
    <cfRule type="cellIs" dxfId="1" priority="46" stopIfTrue="1" operator="greaterThan">
      <formula>0</formula>
    </cfRule>
  </conditionalFormatting>
  <conditionalFormatting sqref="N86:AM99 F86:K99">
    <cfRule type="cellIs" dxfId="0" priority="39" operator="lessThan">
      <formula>0</formula>
    </cfRule>
  </conditionalFormatting>
  <conditionalFormatting sqref="N86:AM99">
    <cfRule type="cellIs" dxfId="1" priority="36" stopIfTrue="1" operator="greaterThan">
      <formula>0</formula>
    </cfRule>
  </conditionalFormatting>
  <conditionalFormatting sqref="N86:P98">
    <cfRule type="cellIs" dxfId="0" priority="41" operator="lessThan">
      <formula>0</formula>
    </cfRule>
    <cfRule type="cellIs" dxfId="1" priority="40" stopIfTrue="1" operator="greaterThan">
      <formula>0</formula>
    </cfRule>
  </conditionalFormatting>
  <conditionalFormatting sqref="Q103:AM123 F103:K123">
    <cfRule type="cellIs" dxfId="0" priority="35" operator="lessThan">
      <formula>0</formula>
    </cfRule>
  </conditionalFormatting>
  <conditionalFormatting sqref="N103:AM123">
    <cfRule type="cellIs" dxfId="1" priority="27" stopIfTrue="1" operator="greaterThan">
      <formula>0</formula>
    </cfRule>
  </conditionalFormatting>
  <conditionalFormatting sqref="N103:P122">
    <cfRule type="cellIs" dxfId="1" priority="31" stopIfTrue="1" operator="greaterThan">
      <formula>0</formula>
    </cfRule>
    <cfRule type="cellIs" dxfId="0" priority="32" operator="lessThan">
      <formula>0</formula>
    </cfRule>
  </conditionalFormatting>
  <conditionalFormatting sqref="N103:P123 Q123:AM123">
    <cfRule type="cellIs" dxfId="0" priority="28" operator="lessThan">
      <formula>0</formula>
    </cfRule>
  </conditionalFormatting>
  <conditionalFormatting sqref="Q121:T122">
    <cfRule type="cellIs" dxfId="1" priority="29" stopIfTrue="1" operator="greaterThan">
      <formula>0</formula>
    </cfRule>
    <cfRule type="cellIs" dxfId="0" priority="30" operator="lessThan">
      <formula>0</formula>
    </cfRule>
  </conditionalFormatting>
  <conditionalFormatting sqref="Q128:T143 F128:K144 L144:P144">
    <cfRule type="cellIs" dxfId="0" priority="22" operator="lessThan">
      <formula>0</formula>
    </cfRule>
  </conditionalFormatting>
  <conditionalFormatting sqref="N128:T143 F144:AM144">
    <cfRule type="cellIs" dxfId="1" priority="18" stopIfTrue="1" operator="greaterThan">
      <formula>0</formula>
    </cfRule>
  </conditionalFormatting>
  <conditionalFormatting sqref="N128:P140">
    <cfRule type="cellIs" dxfId="0" priority="24" operator="lessThan">
      <formula>0</formula>
    </cfRule>
    <cfRule type="cellIs" dxfId="1" priority="23" stopIfTrue="1" operator="greaterThan">
      <formula>0</formula>
    </cfRule>
  </conditionalFormatting>
  <conditionalFormatting sqref="N128:P144">
    <cfRule type="cellIs" dxfId="0" priority="21" operator="lessThan">
      <formula>0</formula>
    </cfRule>
  </conditionalFormatting>
  <conditionalFormatting sqref="Q128:AM140">
    <cfRule type="cellIs" dxfId="1" priority="19" stopIfTrue="1" operator="greaterThan">
      <formula>0</formula>
    </cfRule>
  </conditionalFormatting>
  <conditionalFormatting sqref="Q128:AM144">
    <cfRule type="cellIs" dxfId="0" priority="20" operator="lessThan">
      <formula>0</formula>
    </cfRule>
  </conditionalFormatting>
  <conditionalFormatting sqref="BF134:BU144">
    <cfRule type="cellIs" dxfId="0" priority="262" operator="lessThan">
      <formula>0</formula>
    </cfRule>
    <cfRule type="cellIs" dxfId="1" priority="263" operator="greaterThan">
      <formula>0</formula>
    </cfRule>
  </conditionalFormatting>
  <conditionalFormatting sqref="U141:AM143">
    <cfRule type="cellIs" dxfId="0" priority="26" operator="lessThan">
      <formula>0</formula>
    </cfRule>
    <cfRule type="cellIs" dxfId="1" priority="25" stopIfTrue="1" operator="greaterThan">
      <formula>0</formula>
    </cfRule>
  </conditionalFormatting>
  <conditionalFormatting sqref="N148:AM163 F148:K163">
    <cfRule type="cellIs" dxfId="0" priority="15" operator="lessThan">
      <formula>0</formula>
    </cfRule>
  </conditionalFormatting>
  <conditionalFormatting sqref="N148:P162">
    <cfRule type="cellIs" dxfId="0" priority="17" operator="lessThan">
      <formula>0</formula>
    </cfRule>
    <cfRule type="cellIs" dxfId="1" priority="16" stopIfTrue="1" operator="greaterThan">
      <formula>0</formula>
    </cfRule>
  </conditionalFormatting>
  <conditionalFormatting sqref="Q148:AM163">
    <cfRule type="cellIs" dxfId="1" priority="11" stopIfTrue="1" operator="greaterThan">
      <formula>0</formula>
    </cfRule>
  </conditionalFormatting>
  <conditionalFormatting sqref="BF150:BU155">
    <cfRule type="cellIs" dxfId="0" priority="260" operator="lessThan">
      <formula>0</formula>
    </cfRule>
    <cfRule type="cellIs" dxfId="1" priority="261" operator="greaterThan">
      <formula>0</formula>
    </cfRule>
  </conditionalFormatting>
  <conditionalFormatting sqref="N168:AM188 F168:K188">
    <cfRule type="cellIs" dxfId="0" priority="9" operator="lessThan">
      <formula>0</formula>
    </cfRule>
  </conditionalFormatting>
  <conditionalFormatting sqref="N168:P187">
    <cfRule type="cellIs" dxfId="1" priority="10" stopIfTrue="1" operator="greaterThan">
      <formula>0</formula>
    </cfRule>
  </conditionalFormatting>
  <conditionalFormatting sqref="Q168:AM188">
    <cfRule type="cellIs" dxfId="1" priority="6" stopIfTrue="1" operator="greaterThan">
      <formula>0</formula>
    </cfRule>
  </conditionalFormatting>
  <conditionalFormatting sqref="F192:L227">
    <cfRule type="cellIs" dxfId="0" priority="3" operator="lessThan">
      <formula>0</formula>
    </cfRule>
    <cfRule type="cellIs" dxfId="1" priority="4" operator="greaterThan">
      <formula>0</formula>
    </cfRule>
  </conditionalFormatting>
  <conditionalFormatting sqref="N192:Z227">
    <cfRule type="cellIs" dxfId="0" priority="1" operator="lessThan">
      <formula>0</formula>
    </cfRule>
    <cfRule type="cellIs" dxfId="1" priority="2" operator="greaterThan">
      <formula>0</formula>
    </cfRule>
  </conditionalFormatting>
  <conditionalFormatting sqref="AA192:AC226">
    <cfRule type="cellIs" dxfId="0" priority="127" operator="lessThan">
      <formula>0</formula>
    </cfRule>
    <cfRule type="cellIs" dxfId="1" priority="128" operator="greaterThan">
      <formula>0</formula>
    </cfRule>
  </conditionalFormatting>
  <conditionalFormatting sqref="BF205:BU215">
    <cfRule type="cellIs" dxfId="0" priority="258" operator="lessThan">
      <formula>0</formula>
    </cfRule>
    <cfRule type="cellIs" dxfId="1" priority="259" operator="greaterThan">
      <formula>0</formula>
    </cfRule>
  </conditionalFormatting>
  <conditionalFormatting sqref="BF264:BU276">
    <cfRule type="cellIs" dxfId="0" priority="256" operator="lessThan">
      <formula>0</formula>
    </cfRule>
    <cfRule type="cellIs" dxfId="1" priority="257" operator="greaterThan">
      <formula>0</formula>
    </cfRule>
  </conditionalFormatting>
  <conditionalFormatting sqref="BF311:BU344">
    <cfRule type="cellIs" dxfId="0" priority="254" operator="lessThan">
      <formula>0</formula>
    </cfRule>
    <cfRule type="cellIs" dxfId="1" priority="255" operator="greaterThan">
      <formula>0</formula>
    </cfRule>
  </conditionalFormatting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B2:U59"/>
  <sheetViews>
    <sheetView topLeftCell="A39" workbookViewId="0">
      <selection activeCell="I59" sqref="I59"/>
    </sheetView>
  </sheetViews>
  <sheetFormatPr defaultColWidth="9" defaultRowHeight="13.8"/>
  <cols>
    <col min="2" max="2" width="19.725" customWidth="1"/>
    <col min="3" max="3" width="7.45" customWidth="1"/>
    <col min="4" max="4" width="6.90833333333333" customWidth="1"/>
    <col min="5" max="5" width="15" customWidth="1"/>
    <col min="6" max="8" width="9.55" customWidth="1"/>
    <col min="9" max="9" width="15.3583333333333" customWidth="1"/>
    <col min="10" max="10" width="36.6333333333333" customWidth="1"/>
    <col min="11" max="11" width="12.175" customWidth="1"/>
    <col min="12" max="12" width="35" customWidth="1"/>
    <col min="13" max="13" width="13.45" customWidth="1"/>
    <col min="16" max="16" width="14.6333333333333" customWidth="1"/>
    <col min="17" max="17" width="10.9083333333333" customWidth="1"/>
    <col min="18" max="18" width="7.81666666666667" customWidth="1"/>
    <col min="19" max="19" width="16.3583333333333" customWidth="1"/>
    <col min="20" max="21" width="14.8166666666667" customWidth="1"/>
  </cols>
  <sheetData>
    <row r="2" spans="3:21">
      <c r="C2" s="72" t="s">
        <v>11</v>
      </c>
      <c r="D2" s="72" t="s">
        <v>499</v>
      </c>
      <c r="E2" s="72" t="s">
        <v>470</v>
      </c>
      <c r="I2" s="72" t="s">
        <v>778</v>
      </c>
      <c r="J2" s="321" t="s">
        <v>41</v>
      </c>
      <c r="K2" s="321" t="s">
        <v>779</v>
      </c>
      <c r="L2" s="321" t="s">
        <v>780</v>
      </c>
      <c r="M2" t="s">
        <v>51</v>
      </c>
      <c r="O2" s="72" t="s">
        <v>11</v>
      </c>
      <c r="P2" t="s">
        <v>140</v>
      </c>
      <c r="Q2" t="s">
        <v>234</v>
      </c>
      <c r="R2" t="s">
        <v>142</v>
      </c>
      <c r="S2" t="s">
        <v>330</v>
      </c>
      <c r="T2" t="s">
        <v>296</v>
      </c>
      <c r="U2" s="72" t="s">
        <v>470</v>
      </c>
    </row>
    <row r="3" spans="3:21">
      <c r="C3" s="72" t="s">
        <v>25</v>
      </c>
      <c r="D3" s="34">
        <v>-0.005306</v>
      </c>
      <c r="E3" s="34">
        <v>-0.0122951980224079</v>
      </c>
      <c r="H3" s="32"/>
      <c r="I3" s="316" t="s">
        <v>781</v>
      </c>
      <c r="J3" s="321">
        <v>0.3</v>
      </c>
      <c r="K3" s="321">
        <v>0.2</v>
      </c>
      <c r="L3" s="321">
        <v>0.5</v>
      </c>
      <c r="M3" s="321">
        <v>0</v>
      </c>
      <c r="O3" s="72" t="s">
        <v>25</v>
      </c>
      <c r="P3" s="36" cm="1">
        <f t="array" ref="P3:P10">TRANSPOSE(performace_data!N26:U26)</f>
        <v>0.038989</v>
      </c>
      <c r="Q3" s="322" cm="1">
        <f t="array" ref="Q3:Q10">TRANSPOSE(performace_data!N81:U81)</f>
        <v>0.022527</v>
      </c>
      <c r="R3" s="322" cm="1">
        <f t="array" ref="R3:R10">TRANSPOSE(performace_data!N27:U27)</f>
        <v>0.047518</v>
      </c>
      <c r="S3" s="322" cm="1">
        <f t="array" ref="S3:S10">TRANSPOSE(performace_data!N141:U141)</f>
        <v>-0.03181</v>
      </c>
      <c r="T3" s="322" cm="1">
        <f t="array" ref="T3:T10">TRANSPOSE(performace_data!N120:U120)</f>
        <v>-0.014275</v>
      </c>
      <c r="U3" s="322" cm="1">
        <f t="array" ref="U3:U10">TRANSPOSE(performace_data!$N$228:$U$228)</f>
        <v>0.0265322</v>
      </c>
    </row>
    <row r="4" spans="3:21">
      <c r="C4" s="72">
        <v>2024</v>
      </c>
      <c r="D4" s="34">
        <v>0.0880476902077809</v>
      </c>
      <c r="E4" s="34">
        <v>0.115148190648015</v>
      </c>
      <c r="H4" s="32"/>
      <c r="I4" s="316" t="s">
        <v>782</v>
      </c>
      <c r="J4" s="321">
        <v>0.3</v>
      </c>
      <c r="K4" s="321">
        <v>0.2</v>
      </c>
      <c r="L4" s="321">
        <v>0.5</v>
      </c>
      <c r="M4" s="321">
        <v>0</v>
      </c>
      <c r="O4" s="72">
        <v>2024</v>
      </c>
      <c r="P4" s="36">
        <v>0.0816546064479834</v>
      </c>
      <c r="Q4" s="322">
        <v>0.145465796535709</v>
      </c>
      <c r="R4" s="322">
        <v>0.0880476902077809</v>
      </c>
      <c r="S4" s="322">
        <v>0.293080337893825</v>
      </c>
      <c r="T4" s="322">
        <v>0.260739505342404</v>
      </c>
      <c r="U4" s="322">
        <v>0.122108351341286</v>
      </c>
    </row>
    <row r="5" spans="3:21">
      <c r="C5" s="72">
        <v>2023</v>
      </c>
      <c r="D5" s="34">
        <v>0.200278393101744</v>
      </c>
      <c r="E5" s="34">
        <v>0.158535642831628</v>
      </c>
      <c r="H5" s="32"/>
      <c r="I5" s="320" t="s">
        <v>783</v>
      </c>
      <c r="J5" s="321">
        <v>0.3</v>
      </c>
      <c r="K5" s="321">
        <v>0.2</v>
      </c>
      <c r="L5" s="321">
        <v>0.5</v>
      </c>
      <c r="M5" s="321">
        <v>0</v>
      </c>
      <c r="O5" s="72">
        <v>2023</v>
      </c>
      <c r="P5" s="36">
        <v>0.187366557342991</v>
      </c>
      <c r="Q5" s="322">
        <v>0.248498523517645</v>
      </c>
      <c r="R5" s="322">
        <v>0.200278393101744</v>
      </c>
      <c r="S5" s="322">
        <v>0.475233166210285</v>
      </c>
      <c r="T5" s="322">
        <v>0.455261608959292</v>
      </c>
      <c r="U5" s="322">
        <v>0.173339140243329</v>
      </c>
    </row>
    <row r="6" spans="3:21">
      <c r="C6" s="72">
        <v>2022</v>
      </c>
      <c r="D6" s="34">
        <v>0.0432896067488569</v>
      </c>
      <c r="E6" s="34">
        <v>0.0384086093157168</v>
      </c>
      <c r="H6" s="32"/>
      <c r="I6" s="320" t="s">
        <v>784</v>
      </c>
      <c r="J6" s="321">
        <v>0.3</v>
      </c>
      <c r="K6" s="321">
        <v>0.2</v>
      </c>
      <c r="L6" s="321">
        <v>0.4</v>
      </c>
      <c r="M6" s="321">
        <v>0.1</v>
      </c>
      <c r="O6" s="72">
        <v>2022</v>
      </c>
      <c r="P6" s="36">
        <v>0.0444077315444721</v>
      </c>
      <c r="Q6" s="322">
        <v>0.0333786905211876</v>
      </c>
      <c r="R6" s="322">
        <v>0.0432896067488569</v>
      </c>
      <c r="S6" s="322">
        <v>-0.018024792109108</v>
      </c>
      <c r="T6" s="322">
        <v>0.0137933078308118</v>
      </c>
      <c r="U6" s="322">
        <v>0.0340661953456594</v>
      </c>
    </row>
    <row r="7" spans="3:21">
      <c r="C7" s="72">
        <v>2021</v>
      </c>
      <c r="D7" s="34">
        <v>0.241192983710909</v>
      </c>
      <c r="E7" s="34">
        <v>0.168711766321198</v>
      </c>
      <c r="H7" s="32"/>
      <c r="I7" s="316" t="s">
        <v>785</v>
      </c>
      <c r="J7" s="321">
        <v>0.3</v>
      </c>
      <c r="K7" s="321">
        <v>0.2</v>
      </c>
      <c r="L7" s="321">
        <v>0.3</v>
      </c>
      <c r="M7" s="321">
        <v>0.2</v>
      </c>
      <c r="O7" s="72">
        <v>2021</v>
      </c>
      <c r="P7" s="36">
        <v>0.219941308441042</v>
      </c>
      <c r="Q7" s="322">
        <v>0.301140430926607</v>
      </c>
      <c r="R7" s="322">
        <v>0.241192983710909</v>
      </c>
      <c r="S7" s="322">
        <v>0.627670513661371</v>
      </c>
      <c r="T7" s="322">
        <v>0.391755283720417</v>
      </c>
      <c r="U7" s="322">
        <v>0.117324536952824</v>
      </c>
    </row>
    <row r="8" ht="14.55" spans="3:21">
      <c r="C8" s="72">
        <v>2020</v>
      </c>
      <c r="D8" s="34">
        <v>0.149016514017808</v>
      </c>
      <c r="E8" s="34">
        <v>0.148189449432945</v>
      </c>
      <c r="H8" s="32"/>
      <c r="I8" s="72"/>
      <c r="J8" s="302"/>
      <c r="K8" s="321"/>
      <c r="L8" s="321"/>
      <c r="O8" s="72">
        <v>2020</v>
      </c>
      <c r="P8" s="36">
        <v>0.157503053056523</v>
      </c>
      <c r="Q8" s="322">
        <v>0.168033833223551</v>
      </c>
      <c r="R8" s="322">
        <v>0.149016514017808</v>
      </c>
      <c r="S8" s="322">
        <v>0.321090677892487</v>
      </c>
      <c r="T8" s="322">
        <v>0.198666072503496</v>
      </c>
      <c r="U8" s="322">
        <v>0.123022315079707</v>
      </c>
    </row>
    <row r="9" ht="14.55" spans="3:21">
      <c r="C9" s="72">
        <v>2019</v>
      </c>
      <c r="D9" s="34">
        <v>0.120220390239861</v>
      </c>
      <c r="E9" s="34">
        <v>0.0888221485237766</v>
      </c>
      <c r="H9" s="32"/>
      <c r="I9" s="72"/>
      <c r="J9" s="151" t="s">
        <v>68</v>
      </c>
      <c r="K9" s="151" t="s">
        <v>75</v>
      </c>
      <c r="L9" s="151" t="s">
        <v>80</v>
      </c>
      <c r="O9" s="72">
        <v>2019</v>
      </c>
      <c r="P9" s="36">
        <v>0.143766290260736</v>
      </c>
      <c r="Q9" s="322">
        <v>0.077511676096721</v>
      </c>
      <c r="R9" s="322">
        <v>0.120220390239861</v>
      </c>
      <c r="S9" s="322">
        <v>-0.0684939983096128</v>
      </c>
      <c r="T9" s="322">
        <v>-0.0304836301571726</v>
      </c>
      <c r="U9" s="322">
        <v>0.0677126130509905</v>
      </c>
    </row>
    <row r="10" spans="3:21">
      <c r="C10" s="72">
        <v>2018</v>
      </c>
      <c r="D10" s="34">
        <v>0.0315126249916908</v>
      </c>
      <c r="E10" s="34">
        <v>0.0188333181532216</v>
      </c>
      <c r="H10" s="32"/>
      <c r="I10" s="316" t="s">
        <v>781</v>
      </c>
      <c r="J10" s="302">
        <v>0.7</v>
      </c>
      <c r="K10" s="321">
        <v>0.15</v>
      </c>
      <c r="L10" s="321">
        <v>0.15</v>
      </c>
      <c r="O10" s="72">
        <v>2018</v>
      </c>
      <c r="P10" s="36">
        <v>0.0590630425673793</v>
      </c>
      <c r="Q10" s="322">
        <v>-0.0308170579621176</v>
      </c>
      <c r="R10" s="322">
        <v>0.0315126249916908</v>
      </c>
      <c r="S10" s="322">
        <v>-0.235250162240415</v>
      </c>
      <c r="T10" s="322">
        <v>-0.133761446269863</v>
      </c>
      <c r="U10" s="322">
        <v>0.0115098912489797</v>
      </c>
    </row>
    <row r="11" spans="9:20">
      <c r="I11" s="316" t="s">
        <v>782</v>
      </c>
      <c r="J11" s="321">
        <v>0.6</v>
      </c>
      <c r="K11" s="321">
        <v>0.3</v>
      </c>
      <c r="L11" s="321">
        <v>0.1</v>
      </c>
      <c r="P11" s="322"/>
      <c r="Q11" s="322"/>
      <c r="R11" s="322"/>
      <c r="S11" s="322"/>
      <c r="T11" s="322"/>
    </row>
    <row r="12" spans="9:21">
      <c r="I12" s="320" t="s">
        <v>783</v>
      </c>
      <c r="J12" s="323">
        <v>0.5</v>
      </c>
      <c r="K12" s="321">
        <v>0.4</v>
      </c>
      <c r="L12" s="321">
        <v>0.1</v>
      </c>
      <c r="O12" t="s">
        <v>11</v>
      </c>
      <c r="P12" t="s">
        <v>140</v>
      </c>
      <c r="Q12" t="s">
        <v>234</v>
      </c>
      <c r="R12" t="s">
        <v>142</v>
      </c>
      <c r="S12" t="s">
        <v>330</v>
      </c>
      <c r="T12" t="s">
        <v>296</v>
      </c>
      <c r="U12" s="72" t="s">
        <v>470</v>
      </c>
    </row>
    <row r="13" spans="9:21">
      <c r="I13" s="320" t="s">
        <v>784</v>
      </c>
      <c r="J13" s="323">
        <v>0.5</v>
      </c>
      <c r="K13" s="321">
        <v>0.5</v>
      </c>
      <c r="L13" s="321">
        <v>0</v>
      </c>
      <c r="O13" t="s">
        <v>17</v>
      </c>
      <c r="P13" s="36" cm="1">
        <f t="array" ref="P13:P19">TRANSPOSE(performace_data!$F$26:$L$26)</f>
        <v>-0.028956</v>
      </c>
      <c r="Q13" s="36" cm="1">
        <f t="array" ref="Q13:Q19">TRANSPOSE(performace_data!$F$81:$L$81)</f>
        <v>-0.028654</v>
      </c>
      <c r="R13" s="36" cm="1">
        <f t="array" ref="R13:R19">TRANSPOSE(performace_data!$F$27:$L$27)</f>
        <v>-0.029341</v>
      </c>
      <c r="S13" s="36" cm="1">
        <f t="array" ref="S13:S19">TRANSPOSE(performace_data!$F$141:$L$141)</f>
        <v>-0.023141</v>
      </c>
      <c r="T13" s="36" cm="1">
        <f t="array" ref="T13:T19">TRANSPOSE(performace_data!$F$120:$L$120)</f>
        <v>-0.022897</v>
      </c>
      <c r="U13" s="36" cm="1">
        <f t="array" ref="U13:U19">TRANSPOSE(performace_data!$F$228:$L$228)</f>
        <v>-0.0104328055555556</v>
      </c>
    </row>
    <row r="14" spans="2:21">
      <c r="B14" t="s">
        <v>786</v>
      </c>
      <c r="I14" s="316" t="s">
        <v>785</v>
      </c>
      <c r="J14" s="323">
        <v>0.4</v>
      </c>
      <c r="K14" s="321">
        <v>0.6</v>
      </c>
      <c r="L14" s="321">
        <v>0</v>
      </c>
      <c r="O14" t="s">
        <v>18</v>
      </c>
      <c r="P14" s="36">
        <v>0.011756</v>
      </c>
      <c r="Q14" s="36">
        <v>0.038723</v>
      </c>
      <c r="R14" s="36">
        <v>0.017841</v>
      </c>
      <c r="S14" s="36">
        <v>0.127108</v>
      </c>
      <c r="T14" s="36">
        <v>0.067576</v>
      </c>
      <c r="U14" s="36">
        <v>0.0298560277777778</v>
      </c>
    </row>
    <row r="15" spans="2:21">
      <c r="B15" t="s">
        <v>787</v>
      </c>
      <c r="O15" t="s">
        <v>19</v>
      </c>
      <c r="P15" s="36">
        <v>0.047548</v>
      </c>
      <c r="Q15" s="36">
        <v>0.05945</v>
      </c>
      <c r="R15" s="36">
        <v>0.053596</v>
      </c>
      <c r="S15" s="36">
        <v>0.069396</v>
      </c>
      <c r="T15" s="36">
        <v>0.062307</v>
      </c>
      <c r="U15" s="36">
        <v>0.0504744571428571</v>
      </c>
    </row>
    <row r="16" spans="2:21">
      <c r="B16" t="s">
        <v>8</v>
      </c>
      <c r="O16" t="s">
        <v>20</v>
      </c>
      <c r="P16" s="36">
        <v>-0.006799</v>
      </c>
      <c r="Q16" s="36">
        <v>-0.032041</v>
      </c>
      <c r="R16" s="36">
        <v>-0.007326</v>
      </c>
      <c r="S16" s="36">
        <v>-0.034464</v>
      </c>
      <c r="T16" s="36">
        <v>-0.058658</v>
      </c>
      <c r="U16" s="36">
        <v>0.017165794117647</v>
      </c>
    </row>
    <row r="17" spans="2:21">
      <c r="B17" t="s">
        <v>788</v>
      </c>
      <c r="O17" t="s">
        <v>22</v>
      </c>
      <c r="P17" s="36">
        <v>0.121048</v>
      </c>
      <c r="Q17" s="36">
        <v>0.154431</v>
      </c>
      <c r="R17" s="36">
        <v>0.129786</v>
      </c>
      <c r="S17" s="36">
        <v>0.253786</v>
      </c>
      <c r="T17" s="36">
        <v>0.238603</v>
      </c>
      <c r="U17" s="36">
        <v>0.12227436</v>
      </c>
    </row>
    <row r="18" spans="9:21">
      <c r="I18" t="s">
        <v>12</v>
      </c>
      <c r="O18" t="s">
        <v>23</v>
      </c>
      <c r="P18" s="36">
        <v>0.166288</v>
      </c>
      <c r="Q18" s="36">
        <v>0.201781</v>
      </c>
      <c r="R18" s="36">
        <v>0.174585</v>
      </c>
      <c r="S18" s="36">
        <v>0.326015</v>
      </c>
      <c r="T18" s="36">
        <v>0.271637</v>
      </c>
      <c r="U18" s="36">
        <v>0.126014</v>
      </c>
    </row>
    <row r="19" spans="9:21">
      <c r="I19" t="s">
        <v>789</v>
      </c>
      <c r="O19" t="s">
        <v>24</v>
      </c>
      <c r="P19" s="36">
        <v>0.111775</v>
      </c>
      <c r="Q19" s="36">
        <v>0.123351</v>
      </c>
      <c r="R19" s="36">
        <v>0.112352</v>
      </c>
      <c r="S19" s="36">
        <v>0.162571</v>
      </c>
      <c r="T19" s="36">
        <v>0.150311</v>
      </c>
      <c r="U19" s="36">
        <v>0.0931376666666667</v>
      </c>
    </row>
    <row r="20" spans="9:9">
      <c r="I20" t="s">
        <v>88</v>
      </c>
    </row>
    <row r="21" spans="9:9">
      <c r="I21" t="s">
        <v>82</v>
      </c>
    </row>
    <row r="23" spans="2:16">
      <c r="B23" s="311" t="s">
        <v>790</v>
      </c>
      <c r="C23" s="312"/>
      <c r="D23" s="312"/>
      <c r="E23" s="312"/>
      <c r="F23" s="313"/>
      <c r="G23" s="314"/>
      <c r="H23" s="314"/>
      <c r="P23" t="str">
        <f>IF(AND('Selector Sheet '!A37=TRUE,'Selector Sheet '!B37&lt;&gt;""),O23&amp;"||"&amp;'Selector Sheet '!B37,"")</f>
        <v/>
      </c>
    </row>
    <row r="24" spans="2:16">
      <c r="B24" s="315" t="s">
        <v>791</v>
      </c>
      <c r="C24" s="315" t="s">
        <v>67</v>
      </c>
      <c r="D24" s="315" t="s">
        <v>12</v>
      </c>
      <c r="E24" s="315" t="s">
        <v>61</v>
      </c>
      <c r="F24" s="315" t="s">
        <v>792</v>
      </c>
      <c r="G24" s="314"/>
      <c r="H24" s="314"/>
      <c r="P24" t="str">
        <f>IF(AND('Selector Sheet '!A38=TRUE,'Selector Sheet '!B38&lt;&gt;""),O24&amp;"||"&amp;'Selector Sheet '!B38,"")</f>
        <v/>
      </c>
    </row>
    <row r="25" spans="2:16">
      <c r="B25" s="316" t="s">
        <v>781</v>
      </c>
      <c r="C25" s="317">
        <v>0.3</v>
      </c>
      <c r="D25" s="317">
        <v>0.4</v>
      </c>
      <c r="E25" s="317">
        <v>0.2</v>
      </c>
      <c r="F25" s="318">
        <v>0.1</v>
      </c>
      <c r="G25" s="319"/>
      <c r="H25" s="319"/>
      <c r="P25" t="str">
        <f>IF(AND('Selector Sheet '!A39=TRUE,'Selector Sheet '!B39&lt;&gt;""),O25&amp;"||"&amp;'Selector Sheet '!B39,"")</f>
        <v/>
      </c>
    </row>
    <row r="26" spans="2:16">
      <c r="B26" s="316" t="s">
        <v>782</v>
      </c>
      <c r="C26" s="317">
        <v>0.3</v>
      </c>
      <c r="D26" s="317">
        <v>0.4</v>
      </c>
      <c r="E26" s="317">
        <v>0.2</v>
      </c>
      <c r="F26" s="318">
        <v>0.1</v>
      </c>
      <c r="G26" s="319"/>
      <c r="H26" s="319"/>
      <c r="I26" t="s">
        <v>12</v>
      </c>
      <c r="J26" s="117" t="s">
        <v>42</v>
      </c>
      <c r="P26" t="str">
        <f>IF(AND('Selector Sheet '!A40=TRUE,'Selector Sheet '!B40&lt;&gt;""),O26&amp;"||"&amp;'Selector Sheet '!B40,"")</f>
        <v/>
      </c>
    </row>
    <row r="27" spans="2:16">
      <c r="B27" s="320" t="s">
        <v>783</v>
      </c>
      <c r="C27" s="317">
        <v>0.3</v>
      </c>
      <c r="D27" s="317">
        <v>0.4</v>
      </c>
      <c r="E27" s="317">
        <v>0.2</v>
      </c>
      <c r="F27" s="318">
        <v>0.1</v>
      </c>
      <c r="G27" s="319"/>
      <c r="H27" s="319"/>
      <c r="I27" t="s">
        <v>12</v>
      </c>
      <c r="J27" s="122" t="s">
        <v>43</v>
      </c>
      <c r="P27" t="str">
        <f>IF(AND('Selector Sheet '!A41=TRUE,'Selector Sheet '!B41&lt;&gt;""),O27&amp;"||"&amp;'Selector Sheet '!B41,"")</f>
        <v/>
      </c>
    </row>
    <row r="28" spans="2:16">
      <c r="B28" s="320" t="s">
        <v>784</v>
      </c>
      <c r="C28" s="317">
        <v>0.2</v>
      </c>
      <c r="D28" s="317">
        <v>0.5</v>
      </c>
      <c r="E28" s="317">
        <v>0.2</v>
      </c>
      <c r="F28" s="318">
        <v>0.1</v>
      </c>
      <c r="G28" s="319"/>
      <c r="H28" s="319"/>
      <c r="I28" t="s">
        <v>12</v>
      </c>
      <c r="J28" s="124" t="s">
        <v>44</v>
      </c>
      <c r="P28" t="str">
        <f>IF(AND('Selector Sheet '!A42=TRUE,'Selector Sheet '!B42&lt;&gt;""),O28&amp;"||"&amp;'Selector Sheet '!B42,"")</f>
        <v/>
      </c>
    </row>
    <row r="29" spans="2:16">
      <c r="B29" s="316" t="s">
        <v>785</v>
      </c>
      <c r="C29" s="317">
        <v>0.1</v>
      </c>
      <c r="D29" s="317">
        <v>0.75</v>
      </c>
      <c r="E29" s="317">
        <v>0.05</v>
      </c>
      <c r="F29" s="318">
        <v>0.1</v>
      </c>
      <c r="G29" s="319"/>
      <c r="H29" s="319"/>
      <c r="I29" t="s">
        <v>12</v>
      </c>
      <c r="J29" s="127" t="s">
        <v>45</v>
      </c>
      <c r="P29" t="str">
        <f>IF(AND('Selector Sheet '!A43=TRUE,'Selector Sheet '!B43&lt;&gt;""),O29&amp;"||"&amp;'Selector Sheet '!B43,"")</f>
        <v/>
      </c>
    </row>
    <row r="30" spans="2:10">
      <c r="B30" s="316"/>
      <c r="G30" s="319"/>
      <c r="H30" s="319"/>
      <c r="I30" t="s">
        <v>12</v>
      </c>
      <c r="J30" s="127" t="s">
        <v>46</v>
      </c>
    </row>
    <row r="31" spans="7:10">
      <c r="G31" s="319"/>
      <c r="H31" s="319"/>
      <c r="I31" t="s">
        <v>12</v>
      </c>
      <c r="J31" s="117" t="s">
        <v>48</v>
      </c>
    </row>
    <row r="32" spans="9:10">
      <c r="I32" t="s">
        <v>12</v>
      </c>
      <c r="J32" s="117" t="s">
        <v>49</v>
      </c>
    </row>
    <row r="33" spans="9:10">
      <c r="I33" t="s">
        <v>12</v>
      </c>
      <c r="J33" s="127" t="s">
        <v>50</v>
      </c>
    </row>
    <row r="34" spans="9:10">
      <c r="I34" t="s">
        <v>12</v>
      </c>
      <c r="J34" s="127" t="s">
        <v>565</v>
      </c>
    </row>
    <row r="35" spans="9:10">
      <c r="I35" t="s">
        <v>12</v>
      </c>
      <c r="J35" s="117" t="s">
        <v>52</v>
      </c>
    </row>
    <row r="36" spans="9:10">
      <c r="I36" t="s">
        <v>12</v>
      </c>
      <c r="J36" s="117" t="s">
        <v>53</v>
      </c>
    </row>
    <row r="37" spans="9:10">
      <c r="I37" t="s">
        <v>12</v>
      </c>
      <c r="J37" s="117" t="s">
        <v>54</v>
      </c>
    </row>
    <row r="38" spans="9:10">
      <c r="I38" t="s">
        <v>12</v>
      </c>
      <c r="J38" s="117" t="s">
        <v>55</v>
      </c>
    </row>
    <row r="39" spans="9:10">
      <c r="I39" t="s">
        <v>12</v>
      </c>
      <c r="J39" s="117" t="s">
        <v>56</v>
      </c>
    </row>
    <row r="40" spans="9:10">
      <c r="I40" t="s">
        <v>12</v>
      </c>
      <c r="J40" s="117" t="s">
        <v>57</v>
      </c>
    </row>
    <row r="41" spans="9:10">
      <c r="I41" t="s">
        <v>12</v>
      </c>
      <c r="J41" s="127" t="s">
        <v>59</v>
      </c>
    </row>
    <row r="42" spans="9:10">
      <c r="I42" t="s">
        <v>12</v>
      </c>
      <c r="J42" s="127" t="s">
        <v>565</v>
      </c>
    </row>
    <row r="43" spans="9:10">
      <c r="I43" t="s">
        <v>12</v>
      </c>
      <c r="J43" s="117" t="s">
        <v>58</v>
      </c>
    </row>
    <row r="44" spans="9:10">
      <c r="I44" t="s">
        <v>12</v>
      </c>
      <c r="J44" s="135" t="s">
        <v>60</v>
      </c>
    </row>
    <row r="45" spans="9:10">
      <c r="I45" t="s">
        <v>789</v>
      </c>
      <c r="J45" s="117" t="s">
        <v>63</v>
      </c>
    </row>
    <row r="46" spans="9:10">
      <c r="I46" t="s">
        <v>789</v>
      </c>
      <c r="J46" s="117" t="s">
        <v>64</v>
      </c>
    </row>
    <row r="47" spans="9:10">
      <c r="I47" t="s">
        <v>789</v>
      </c>
      <c r="J47" s="117" t="s">
        <v>65</v>
      </c>
    </row>
    <row r="48" ht="27.6" spans="9:10">
      <c r="I48" t="s">
        <v>789</v>
      </c>
      <c r="J48" s="146" t="s">
        <v>66</v>
      </c>
    </row>
    <row r="49" spans="9:10">
      <c r="I49" t="s">
        <v>67</v>
      </c>
      <c r="J49" s="117" t="s">
        <v>69</v>
      </c>
    </row>
    <row r="50" spans="9:10">
      <c r="I50" t="s">
        <v>67</v>
      </c>
      <c r="J50" s="117" t="s">
        <v>70</v>
      </c>
    </row>
    <row r="51" spans="9:10">
      <c r="I51" t="s">
        <v>67</v>
      </c>
      <c r="J51" s="117" t="s">
        <v>71</v>
      </c>
    </row>
    <row r="52" spans="9:10">
      <c r="I52" t="s">
        <v>67</v>
      </c>
      <c r="J52" s="127" t="s">
        <v>72</v>
      </c>
    </row>
    <row r="53" spans="9:10">
      <c r="I53" t="s">
        <v>67</v>
      </c>
      <c r="J53" s="127" t="s">
        <v>73</v>
      </c>
    </row>
    <row r="54" spans="9:10">
      <c r="I54" t="s">
        <v>67</v>
      </c>
      <c r="J54" s="127" t="s">
        <v>74</v>
      </c>
    </row>
    <row r="55" spans="9:10">
      <c r="I55" t="s">
        <v>67</v>
      </c>
      <c r="J55" s="117" t="s">
        <v>76</v>
      </c>
    </row>
    <row r="56" spans="9:10">
      <c r="I56" t="s">
        <v>67</v>
      </c>
      <c r="J56" s="117" t="s">
        <v>77</v>
      </c>
    </row>
    <row r="57" spans="9:10">
      <c r="I57" t="s">
        <v>67</v>
      </c>
      <c r="J57" s="117" t="s">
        <v>78</v>
      </c>
    </row>
    <row r="58" spans="9:10">
      <c r="I58" t="s">
        <v>67</v>
      </c>
      <c r="J58" s="127" t="s">
        <v>79</v>
      </c>
    </row>
    <row r="59" spans="9:10">
      <c r="I59" t="s">
        <v>67</v>
      </c>
      <c r="J59" s="117" t="s">
        <v>81</v>
      </c>
    </row>
  </sheetData>
  <mergeCells count="1">
    <mergeCell ref="B23:F23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AO1177"/>
  <sheetViews>
    <sheetView zoomScale="55" zoomScaleNormal="55" workbookViewId="0">
      <selection activeCell="A10226" sqref="$A1178:$XFD10226"/>
    </sheetView>
  </sheetViews>
  <sheetFormatPr defaultColWidth="9" defaultRowHeight="13.8"/>
  <cols>
    <col min="1" max="1" width="14.175" customWidth="1"/>
    <col min="2" max="2" width="36.6333333333333" customWidth="1"/>
    <col min="3" max="3" width="45.9083333333333" customWidth="1"/>
    <col min="4" max="5" width="12.55" customWidth="1"/>
    <col min="6" max="7" width="20.6333333333333" customWidth="1"/>
    <col min="8" max="8" width="14.175" customWidth="1"/>
    <col min="9" max="9" width="46.725" customWidth="1"/>
    <col min="10" max="10" width="17.725" customWidth="1"/>
    <col min="13" max="13" width="13.6333333333333" customWidth="1"/>
    <col min="14" max="14" width="36.6333333333333" customWidth="1"/>
    <col min="15" max="15" width="28.55" customWidth="1"/>
    <col min="16" max="16" width="10.45" customWidth="1"/>
    <col min="17" max="17" width="19.55" customWidth="1"/>
    <col min="18" max="18" width="21.175" customWidth="1"/>
    <col min="19" max="19" width="20.3583333333333" customWidth="1"/>
    <col min="24" max="24" width="14.175" customWidth="1"/>
    <col min="26" max="26" width="14.175" customWidth="1"/>
    <col min="27" max="27" width="36.725" customWidth="1"/>
    <col min="28" max="28" width="14.175" customWidth="1"/>
    <col min="29" max="29" width="17.8166666666667" customWidth="1"/>
    <col min="30" max="30" width="28.9083333333333" customWidth="1"/>
    <col min="31" max="31" width="21.175" customWidth="1"/>
    <col min="32" max="32" width="46.725" customWidth="1"/>
    <col min="33" max="33" width="12.55" customWidth="1"/>
    <col min="34" max="34" width="13.175" customWidth="1"/>
    <col min="37" max="37" width="31.9083333333333" customWidth="1"/>
    <col min="38" max="38" width="16.0916666666667" customWidth="1"/>
    <col min="39" max="39" width="16.45" customWidth="1"/>
    <col min="47" max="47" width="36.6333333333333" customWidth="1"/>
    <col min="48" max="48" width="16.3583333333333" customWidth="1"/>
    <col min="49" max="925" width="6.26666666666667" customWidth="1"/>
    <col min="926" max="926" width="10.45" customWidth="1"/>
  </cols>
  <sheetData>
    <row r="1" spans="1:39">
      <c r="A1" s="288" t="s">
        <v>793</v>
      </c>
      <c r="B1" s="289" t="s">
        <v>794</v>
      </c>
      <c r="C1" s="288" t="s">
        <v>795</v>
      </c>
      <c r="D1" s="288" t="s">
        <v>796</v>
      </c>
      <c r="E1" s="288" t="s">
        <v>797</v>
      </c>
      <c r="F1" s="288" t="s">
        <v>798</v>
      </c>
      <c r="G1" s="288" t="s">
        <v>799</v>
      </c>
      <c r="H1" s="288"/>
      <c r="I1" s="296"/>
      <c r="J1" s="297"/>
      <c r="M1" s="288" t="s">
        <v>793</v>
      </c>
      <c r="N1" s="289" t="s">
        <v>794</v>
      </c>
      <c r="O1" s="288" t="s">
        <v>795</v>
      </c>
      <c r="P1" s="288" t="s">
        <v>796</v>
      </c>
      <c r="Q1" s="288" t="s">
        <v>797</v>
      </c>
      <c r="R1" s="288" t="s">
        <v>798</v>
      </c>
      <c r="S1" s="288" t="s">
        <v>799</v>
      </c>
      <c r="X1" s="288" t="s">
        <v>800</v>
      </c>
      <c r="Z1" s="288" t="s">
        <v>793</v>
      </c>
      <c r="AB1" s="296" t="s">
        <v>801</v>
      </c>
      <c r="AC1" s="296" t="s">
        <v>802</v>
      </c>
      <c r="AD1" s="296" t="s">
        <v>803</v>
      </c>
      <c r="AE1" s="296" t="s">
        <v>804</v>
      </c>
      <c r="AF1" s="296" t="s">
        <v>805</v>
      </c>
      <c r="AG1" s="296" t="s">
        <v>806</v>
      </c>
      <c r="AH1" s="296" t="s">
        <v>807</v>
      </c>
      <c r="AI1" s="296" t="s">
        <v>808</v>
      </c>
      <c r="AJ1" s="297"/>
      <c r="AK1" s="63" t="str" cm="1">
        <f t="array" ref="AK1:AK27">'Output Dashboard '!$A$4:$A$30</f>
        <v>Selected Funds </v>
      </c>
      <c r="AL1" s="63" t="s">
        <v>2</v>
      </c>
      <c r="AM1" s="63" t="s">
        <v>809</v>
      </c>
    </row>
    <row r="2" spans="1:39">
      <c r="A2" s="290" t="s">
        <v>810</v>
      </c>
      <c r="B2" s="127" t="s">
        <v>50</v>
      </c>
      <c r="C2" s="291" t="str" cm="1">
        <f t="array" ref="C2:C1175">VLOOKUP($A$2:$A$1175,$AB$1:$AD$477,2,FALSE)</f>
        <v>3M India Ltd</v>
      </c>
      <c r="D2" s="292">
        <v>0.00892981129986536</v>
      </c>
      <c r="E2" s="293">
        <f>_xlfn.IFNA(D2*VLOOKUP($B2,$AK$1:$AM$34,3,FALSE),0)</f>
        <v>0.000744150941655447</v>
      </c>
      <c r="F2" s="291" t="str" cm="1">
        <f t="array" ref="F2:F1175">VLOOKUP($A$2:$A$1175,$AB$1:$AD$477,3,FALSE)</f>
        <v>Industrials</v>
      </c>
      <c r="G2" s="293">
        <f>_xlfn.IFNA(D2*VLOOKUP($B2,$AK$1:$AM$34,3,FALSE),0)</f>
        <v>0.000744150941655447</v>
      </c>
      <c r="H2" s="291"/>
      <c r="J2" s="36"/>
      <c r="M2" s="290" t="s">
        <v>811</v>
      </c>
      <c r="N2" s="298" t="s">
        <v>66</v>
      </c>
      <c r="O2" s="291" t="str" cm="1">
        <f t="array" ref="O2:O377">VLOOKUP($M$2:$M$377,$AB$1:$AD$477,2,FALSE)</f>
        <v>360 ONE WAM Ltd</v>
      </c>
      <c r="P2" s="299">
        <v>0.00329182026520636</v>
      </c>
      <c r="Q2" s="293">
        <f>P2*VLOOKUP(N2,'Selector Sheet '!$B$13:$D$43,2,FALSE)</f>
        <v>0</v>
      </c>
      <c r="R2" s="291" t="str" cm="1">
        <f t="array" ref="R2:R377">VLOOKUP($M$2:$M$377,$AB$1:$AD$477,3,FALSE)</f>
        <v>Financials</v>
      </c>
      <c r="S2" s="293">
        <f>P2*VLOOKUP(N2,'Selector Sheet '!$B$13:$D$43,2,FALSE)</f>
        <v>0</v>
      </c>
      <c r="T2" s="291"/>
      <c r="X2" s="291" t="str" cm="1">
        <f t="array" ref="X2:X444">_xlfn.UNIQUE(Z2:Z1177)</f>
        <v>INE470A01017</v>
      </c>
      <c r="Z2" s="290" t="s">
        <v>810</v>
      </c>
      <c r="AB2" t="s">
        <v>810</v>
      </c>
      <c r="AC2" t="s">
        <v>812</v>
      </c>
      <c r="AD2" t="s">
        <v>813</v>
      </c>
      <c r="AE2">
        <v>71.8638109368528</v>
      </c>
      <c r="AF2">
        <v>23.8427086811207</v>
      </c>
      <c r="AG2">
        <v>4760.674</v>
      </c>
      <c r="AH2">
        <v>422.604919</v>
      </c>
      <c r="AI2">
        <v>342120175900</v>
      </c>
      <c r="AK2" t="str">
        <v>Large Cap</v>
      </c>
      <c r="AL2" s="125" t="str" cm="1">
        <f t="array" ref="AL2:AL34">_xlfn.IFNA(VLOOKUP($AK$2:$AK$34,'Selector Sheet '!$B$14:$D$59,2,FALSE),"")</f>
        <v/>
      </c>
      <c r="AM2" s="302" t="e" cm="1">
        <f t="array" ref="AM2:AM34">_xlfn.IFNA((_xlfn.ANCHORARRAY($AL$2)*1),0)/SUM(_xlfn.ANCHORARRAY($AL$2))</f>
        <v>#VALUE!</v>
      </c>
    </row>
    <row r="3" spans="1:39">
      <c r="A3" s="294" t="s">
        <v>814</v>
      </c>
      <c r="B3" s="127" t="s">
        <v>50</v>
      </c>
      <c r="C3" s="291" t="str">
        <v>ABB India Ltd</v>
      </c>
      <c r="D3" s="295">
        <v>0.010443693136356</v>
      </c>
      <c r="E3" s="293">
        <f t="shared" ref="E3:E65" si="0">_xlfn.IFNA(D3*VLOOKUP($B3,$AK$1:$AM$34,3,FALSE),0)</f>
        <v>0.000870307761363</v>
      </c>
      <c r="F3" s="291" t="str">
        <v>Industrials</v>
      </c>
      <c r="G3" s="293">
        <f t="shared" ref="G3:G65" si="1">_xlfn.IFNA(D3*VLOOKUP($B3,$AK$1:$AM$34,3,FALSE),0)</f>
        <v>0.000870307761363</v>
      </c>
      <c r="H3" s="291"/>
      <c r="J3" s="36"/>
      <c r="M3" s="294" t="s">
        <v>815</v>
      </c>
      <c r="N3" s="300" t="s">
        <v>66</v>
      </c>
      <c r="O3" s="291" t="str">
        <v>Aarti Industries Ltd</v>
      </c>
      <c r="P3" s="301">
        <v>0.00393755895079178</v>
      </c>
      <c r="Q3" s="293">
        <f>P3*VLOOKUP(N3,'Selector Sheet '!$B$13:$D$43,2,FALSE)</f>
        <v>0</v>
      </c>
      <c r="R3" s="291" t="str">
        <v>Materials</v>
      </c>
      <c r="S3" s="293">
        <f>P3*VLOOKUP(N3,'Selector Sheet '!$B$13:$D$43,2,FALSE)</f>
        <v>0</v>
      </c>
      <c r="T3" s="291"/>
      <c r="X3" s="291" t="str">
        <v>INE117A01022</v>
      </c>
      <c r="Z3" s="294" t="s">
        <v>814</v>
      </c>
      <c r="AB3" t="s">
        <v>814</v>
      </c>
      <c r="AC3" t="s">
        <v>816</v>
      </c>
      <c r="AD3" t="s">
        <v>813</v>
      </c>
      <c r="AE3">
        <v>57.1614288944156</v>
      </c>
      <c r="AF3">
        <v>28.7502304147465</v>
      </c>
      <c r="AG3">
        <v>18716.4</v>
      </c>
      <c r="AH3">
        <v>88.32</v>
      </c>
      <c r="AI3">
        <v>1071514698187.5</v>
      </c>
      <c r="AK3" t="str">
        <v>Renaissance Opportunities Fund PMS</v>
      </c>
      <c r="AL3" s="125">
        <v>0.5</v>
      </c>
      <c r="AM3" s="302">
        <v>0.416666666666667</v>
      </c>
    </row>
    <row r="4" spans="1:41">
      <c r="A4" s="290" t="s">
        <v>817</v>
      </c>
      <c r="B4" s="127" t="s">
        <v>50</v>
      </c>
      <c r="C4" s="291" t="str">
        <v>Abbott India Ltd</v>
      </c>
      <c r="D4" s="292">
        <v>0.0195305339731047</v>
      </c>
      <c r="E4" s="293">
        <f t="shared" si="0"/>
        <v>0.00162754449775872</v>
      </c>
      <c r="F4" s="291" t="str">
        <v>Health Care</v>
      </c>
      <c r="G4" s="293">
        <f t="shared" si="1"/>
        <v>0.00162754449775872</v>
      </c>
      <c r="H4" s="291"/>
      <c r="J4" s="36"/>
      <c r="M4" s="290" t="s">
        <v>817</v>
      </c>
      <c r="N4" s="298" t="s">
        <v>66</v>
      </c>
      <c r="O4" s="291" t="str">
        <v>Abbott India Ltd</v>
      </c>
      <c r="P4" s="299">
        <v>0.00481740243751207</v>
      </c>
      <c r="Q4" s="293">
        <f>P4*VLOOKUP(N4,'Selector Sheet '!$B$13:$D$43,2,FALSE)</f>
        <v>0</v>
      </c>
      <c r="R4" s="291" t="str">
        <v>Health Care</v>
      </c>
      <c r="S4" s="293">
        <f>P4*VLOOKUP(N4,'Selector Sheet '!$B$13:$D$43,2,FALSE)</f>
        <v>0</v>
      </c>
      <c r="T4" s="291"/>
      <c r="X4" s="291" t="str">
        <v>INE358A01014</v>
      </c>
      <c r="Z4" s="290" t="s">
        <v>817</v>
      </c>
      <c r="AB4" t="s">
        <v>817</v>
      </c>
      <c r="AC4" t="s">
        <v>818</v>
      </c>
      <c r="AD4" t="s">
        <v>819</v>
      </c>
      <c r="AE4">
        <v>49.8031910098855</v>
      </c>
      <c r="AF4">
        <v>35.6639653859537</v>
      </c>
      <c r="AG4">
        <v>14144.4</v>
      </c>
      <c r="AH4">
        <v>665.62</v>
      </c>
      <c r="AI4">
        <v>704414361300</v>
      </c>
      <c r="AK4" t="str">
        <v>Nippon India Large Cap Fund(G)</v>
      </c>
      <c r="AL4" s="125">
        <v>0.5</v>
      </c>
      <c r="AM4" s="302">
        <v>0.416666666666667</v>
      </c>
      <c r="AO4" s="84"/>
    </row>
    <row r="5" spans="1:39">
      <c r="A5" s="294" t="s">
        <v>820</v>
      </c>
      <c r="B5" s="127" t="s">
        <v>50</v>
      </c>
      <c r="C5" s="291" t="str">
        <v>Aditya Birla Real Estate Ltd</v>
      </c>
      <c r="D5" s="295">
        <v>0.0108818901606451</v>
      </c>
      <c r="E5" s="293">
        <f t="shared" si="0"/>
        <v>0.000906824180053758</v>
      </c>
      <c r="F5" s="291" t="str">
        <v>Materials</v>
      </c>
      <c r="G5" s="293">
        <f t="shared" si="1"/>
        <v>0.000906824180053758</v>
      </c>
      <c r="H5" s="291"/>
      <c r="J5" s="36"/>
      <c r="M5" s="294" t="s">
        <v>821</v>
      </c>
      <c r="N5" s="300" t="s">
        <v>66</v>
      </c>
      <c r="O5" s="291" t="str">
        <v>Aditya Birla Capital Ltd</v>
      </c>
      <c r="P5" s="301">
        <v>0.00330891727983542</v>
      </c>
      <c r="Q5" s="293">
        <f>P5*VLOOKUP(N5,'Selector Sheet '!$B$13:$D$43,2,FALSE)</f>
        <v>0</v>
      </c>
      <c r="R5" s="291" t="str">
        <v>Financials</v>
      </c>
      <c r="S5" s="293">
        <f>P5*VLOOKUP(N5,'Selector Sheet '!$B$13:$D$43,2,FALSE)</f>
        <v>0</v>
      </c>
      <c r="T5" s="291"/>
      <c r="X5" s="291" t="str">
        <v>INE055A01016</v>
      </c>
      <c r="Z5" s="294" t="s">
        <v>820</v>
      </c>
      <c r="AB5" t="s">
        <v>820</v>
      </c>
      <c r="AC5" t="s">
        <v>822</v>
      </c>
      <c r="AD5" t="s">
        <v>823</v>
      </c>
      <c r="AE5" t="s">
        <v>824</v>
      </c>
      <c r="AF5">
        <v>-4.12512996538093</v>
      </c>
      <c r="AG5">
        <v>-1612.8</v>
      </c>
      <c r="AH5">
        <v>-14.596217</v>
      </c>
      <c r="AI5">
        <v>200259184672</v>
      </c>
      <c r="AK5">
        <v>0</v>
      </c>
      <c r="AL5" s="125" t="str">
        <v/>
      </c>
      <c r="AM5" s="302" t="e">
        <v>#VALUE!</v>
      </c>
    </row>
    <row r="6" spans="1:39">
      <c r="A6" s="290" t="s">
        <v>825</v>
      </c>
      <c r="B6" s="127" t="s">
        <v>50</v>
      </c>
      <c r="C6" s="291" t="str">
        <v>Ajanta Pharma Ltd</v>
      </c>
      <c r="D6" s="292">
        <v>0.00902966411314743</v>
      </c>
      <c r="E6" s="293">
        <f t="shared" si="0"/>
        <v>0.000752472009428953</v>
      </c>
      <c r="F6" s="291" t="str">
        <v>Health Care</v>
      </c>
      <c r="G6" s="293">
        <f t="shared" si="1"/>
        <v>0.000752472009428953</v>
      </c>
      <c r="H6" s="291"/>
      <c r="J6" s="36"/>
      <c r="M6" s="290" t="s">
        <v>826</v>
      </c>
      <c r="N6" s="298" t="s">
        <v>66</v>
      </c>
      <c r="O6" s="291" t="str">
        <v>Anthem Biosciences Ltd</v>
      </c>
      <c r="P6" s="299">
        <v>0.000801738194923775</v>
      </c>
      <c r="Q6" s="293">
        <f>P6*VLOOKUP(N6,'Selector Sheet '!$B$13:$D$43,2,FALSE)</f>
        <v>0</v>
      </c>
      <c r="R6" s="291" t="str">
        <v>Health Care</v>
      </c>
      <c r="S6" s="293">
        <f>P6*VLOOKUP(N6,'Selector Sheet '!$B$13:$D$43,2,FALSE)</f>
        <v>0</v>
      </c>
      <c r="T6" s="291"/>
      <c r="X6" s="291" t="str">
        <v>INE031B01049</v>
      </c>
      <c r="Z6" s="290" t="s">
        <v>825</v>
      </c>
      <c r="AB6" t="s">
        <v>825</v>
      </c>
      <c r="AC6" t="s">
        <v>827</v>
      </c>
      <c r="AD6" t="s">
        <v>819</v>
      </c>
      <c r="AE6">
        <v>36.3526386304547</v>
      </c>
      <c r="AF6">
        <v>25.0185860974632</v>
      </c>
      <c r="AG6">
        <v>9203.9</v>
      </c>
      <c r="AH6">
        <v>73.56</v>
      </c>
      <c r="AI6">
        <v>334090352138.4</v>
      </c>
      <c r="AK6">
        <v>0</v>
      </c>
      <c r="AL6" s="125" t="str">
        <v/>
      </c>
      <c r="AM6" s="302" t="e">
        <v>#VALUE!</v>
      </c>
    </row>
    <row r="7" spans="1:39">
      <c r="A7" s="294" t="s">
        <v>828</v>
      </c>
      <c r="B7" s="127" t="s">
        <v>50</v>
      </c>
      <c r="C7" s="291" t="str">
        <v>Angel One Ltd</v>
      </c>
      <c r="D7" s="295">
        <v>0</v>
      </c>
      <c r="E7" s="293">
        <f t="shared" si="0"/>
        <v>0</v>
      </c>
      <c r="F7" s="291" t="str">
        <v>Financials</v>
      </c>
      <c r="G7" s="293">
        <f t="shared" si="1"/>
        <v>0</v>
      </c>
      <c r="H7" s="291"/>
      <c r="J7" s="36"/>
      <c r="M7" s="294" t="s">
        <v>829</v>
      </c>
      <c r="N7" s="300" t="s">
        <v>66</v>
      </c>
      <c r="O7" s="291" t="str">
        <v>Apollo Hospitals Enterprise Lt</v>
      </c>
      <c r="P7" s="301">
        <v>0.0109121480886964</v>
      </c>
      <c r="Q7" s="293">
        <f>P7*VLOOKUP(N7,'Selector Sheet '!$B$13:$D$43,2,FALSE)</f>
        <v>0</v>
      </c>
      <c r="R7" s="291" t="str">
        <v>Health Care</v>
      </c>
      <c r="S7" s="293">
        <f>P7*VLOOKUP(N7,'Selector Sheet '!$B$13:$D$43,2,FALSE)</f>
        <v>0</v>
      </c>
      <c r="T7" s="291"/>
      <c r="X7" s="291" t="str">
        <v>INE732I01013</v>
      </c>
      <c r="Z7" s="294" t="s">
        <v>828</v>
      </c>
      <c r="AB7" t="s">
        <v>828</v>
      </c>
      <c r="AC7" t="s">
        <v>830</v>
      </c>
      <c r="AD7" t="s">
        <v>831</v>
      </c>
      <c r="AE7">
        <v>20.8323721645521</v>
      </c>
      <c r="AF7">
        <v>27.0688421398566</v>
      </c>
      <c r="AG7">
        <v>11720.81</v>
      </c>
      <c r="AH7">
        <v>130.05</v>
      </c>
      <c r="AI7">
        <v>245561456654</v>
      </c>
      <c r="AK7">
        <v>0</v>
      </c>
      <c r="AL7" s="125" t="str">
        <v/>
      </c>
      <c r="AM7" s="302" t="e">
        <v>#VALUE!</v>
      </c>
    </row>
    <row r="8" spans="1:39">
      <c r="A8" s="290" t="s">
        <v>832</v>
      </c>
      <c r="B8" s="127" t="s">
        <v>50</v>
      </c>
      <c r="C8" s="291" t="str">
        <v>APL Apollo Tubes Ltd</v>
      </c>
      <c r="D8" s="292">
        <v>0.00293384418251259</v>
      </c>
      <c r="E8" s="293">
        <f t="shared" si="0"/>
        <v>0.000244487015209382</v>
      </c>
      <c r="F8" s="291" t="str">
        <v>Materials</v>
      </c>
      <c r="G8" s="293">
        <f t="shared" si="1"/>
        <v>0.000244487015209382</v>
      </c>
      <c r="H8" s="291"/>
      <c r="J8" s="36"/>
      <c r="M8" s="290" t="s">
        <v>833</v>
      </c>
      <c r="N8" s="298" t="s">
        <v>66</v>
      </c>
      <c r="O8" s="291" t="str">
        <v>Aptus Value Housing Finance In</v>
      </c>
      <c r="P8" s="299">
        <v>0</v>
      </c>
      <c r="Q8" s="293">
        <f>P8*VLOOKUP(N8,'Selector Sheet '!$B$13:$D$43,2,FALSE)</f>
        <v>0</v>
      </c>
      <c r="R8" s="291" t="str">
        <v>Financials</v>
      </c>
      <c r="S8" s="293">
        <f>P8*VLOOKUP(N8,'Selector Sheet '!$B$13:$D$43,2,FALSE)</f>
        <v>0</v>
      </c>
      <c r="T8" s="291"/>
      <c r="X8" s="291" t="str">
        <v>INE702C01027</v>
      </c>
      <c r="Z8" s="290" t="s">
        <v>832</v>
      </c>
      <c r="AB8" t="s">
        <v>832</v>
      </c>
      <c r="AC8" t="s">
        <v>834</v>
      </c>
      <c r="AD8" t="s">
        <v>823</v>
      </c>
      <c r="AE8">
        <v>58.7646618616546</v>
      </c>
      <c r="AF8">
        <v>19.3786524072932</v>
      </c>
      <c r="AG8">
        <v>7570.6</v>
      </c>
      <c r="AH8">
        <v>27.28</v>
      </c>
      <c r="AI8">
        <v>444899628548.4</v>
      </c>
      <c r="AK8">
        <v>0</v>
      </c>
      <c r="AL8" s="125" t="str">
        <v/>
      </c>
      <c r="AM8" s="302" t="e">
        <v>#VALUE!</v>
      </c>
    </row>
    <row r="9" spans="1:39">
      <c r="A9" s="294" t="s">
        <v>835</v>
      </c>
      <c r="B9" s="127" t="s">
        <v>50</v>
      </c>
      <c r="C9" s="291" t="str">
        <v>Arvind Fashions Ltd</v>
      </c>
      <c r="D9" s="295">
        <v>0.00161824726270398</v>
      </c>
      <c r="E9" s="293">
        <f t="shared" si="0"/>
        <v>0.000134853938558665</v>
      </c>
      <c r="F9" s="291" t="str">
        <v>Consumer Discretionary</v>
      </c>
      <c r="G9" s="293">
        <f t="shared" si="1"/>
        <v>0.000134853938558665</v>
      </c>
      <c r="H9" s="291"/>
      <c r="J9" s="36"/>
      <c r="M9" s="294" t="s">
        <v>836</v>
      </c>
      <c r="N9" s="300" t="s">
        <v>66</v>
      </c>
      <c r="O9" s="291" t="str">
        <v>AU Small Finance Bank Ltd</v>
      </c>
      <c r="P9" s="301">
        <v>0.00586062521491952</v>
      </c>
      <c r="Q9" s="293">
        <f>P9*VLOOKUP(N9,'Selector Sheet '!$B$13:$D$43,2,FALSE)</f>
        <v>0</v>
      </c>
      <c r="R9" s="291" t="str">
        <v>Financials</v>
      </c>
      <c r="S9" s="293">
        <f>P9*VLOOKUP(N9,'Selector Sheet '!$B$13:$D$43,2,FALSE)</f>
        <v>0</v>
      </c>
      <c r="T9" s="291"/>
      <c r="X9" s="291" t="str">
        <v>INE955V01021</v>
      </c>
      <c r="Z9" s="294" t="s">
        <v>835</v>
      </c>
      <c r="AB9" t="s">
        <v>835</v>
      </c>
      <c r="AC9" t="s">
        <v>837</v>
      </c>
      <c r="AD9" t="s">
        <v>838</v>
      </c>
      <c r="AE9" t="s">
        <v>824</v>
      </c>
      <c r="AF9">
        <v>-3.62883274417086</v>
      </c>
      <c r="AG9">
        <v>-355.7</v>
      </c>
      <c r="AH9">
        <v>-2.67</v>
      </c>
      <c r="AI9">
        <v>69394381655.65</v>
      </c>
      <c r="AK9" t="str">
        <v>Large -Mid Cap </v>
      </c>
      <c r="AL9" s="125" t="str">
        <v/>
      </c>
      <c r="AM9" s="302" t="e">
        <v>#VALUE!</v>
      </c>
    </row>
    <row r="10" spans="1:39">
      <c r="A10" s="290" t="s">
        <v>839</v>
      </c>
      <c r="B10" s="127" t="s">
        <v>50</v>
      </c>
      <c r="C10" s="291" t="str">
        <v>Bajaj Auto Ltd</v>
      </c>
      <c r="D10" s="292">
        <v>0.00843449625899496</v>
      </c>
      <c r="E10" s="293">
        <f t="shared" si="0"/>
        <v>0.00070287468824958</v>
      </c>
      <c r="F10" s="291" t="str">
        <v>Consumer Discretionary</v>
      </c>
      <c r="G10" s="293">
        <f t="shared" si="1"/>
        <v>0.00070287468824958</v>
      </c>
      <c r="H10" s="291"/>
      <c r="J10" s="36"/>
      <c r="M10" s="290" t="s">
        <v>840</v>
      </c>
      <c r="N10" s="298" t="s">
        <v>66</v>
      </c>
      <c r="O10" s="291" t="str">
        <v>Avenue Supermarts Ltd</v>
      </c>
      <c r="P10" s="299">
        <v>0.0060445568839605</v>
      </c>
      <c r="Q10" s="293">
        <f>P10*VLOOKUP(N10,'Selector Sheet '!$B$13:$D$43,2,FALSE)</f>
        <v>0</v>
      </c>
      <c r="R10" s="291" t="str">
        <v>Consumer Staples</v>
      </c>
      <c r="S10" s="293">
        <f>P10*VLOOKUP(N10,'Selector Sheet '!$B$13:$D$43,2,FALSE)</f>
        <v>0</v>
      </c>
      <c r="T10" s="291"/>
      <c r="X10" s="291" t="str">
        <v>INE917I01010</v>
      </c>
      <c r="Z10" s="290" t="s">
        <v>839</v>
      </c>
      <c r="AB10" t="s">
        <v>839</v>
      </c>
      <c r="AC10" t="s">
        <v>841</v>
      </c>
      <c r="AD10" t="s">
        <v>838</v>
      </c>
      <c r="AE10">
        <v>32.7125037393612</v>
      </c>
      <c r="AF10">
        <v>22.8358493963086</v>
      </c>
      <c r="AG10">
        <v>73247.3</v>
      </c>
      <c r="AH10">
        <v>262.437876</v>
      </c>
      <c r="AI10">
        <v>2397426564680</v>
      </c>
      <c r="AK10" t="str">
        <v>SBI Large &amp; Midcap Fund-Reg(G)</v>
      </c>
      <c r="AL10" s="125">
        <v>0.1</v>
      </c>
      <c r="AM10" s="302">
        <v>0.0833333333333333</v>
      </c>
    </row>
    <row r="11" spans="1:39">
      <c r="A11" s="294" t="s">
        <v>842</v>
      </c>
      <c r="B11" s="127" t="s">
        <v>50</v>
      </c>
      <c r="C11" s="291" t="str">
        <v>Bajaj Finance Ltd</v>
      </c>
      <c r="D11" s="295">
        <v>0.0117791408565004</v>
      </c>
      <c r="E11" s="293">
        <f t="shared" si="0"/>
        <v>0.000981595071375033</v>
      </c>
      <c r="F11" s="291" t="str">
        <v>Financials</v>
      </c>
      <c r="G11" s="293">
        <f t="shared" si="1"/>
        <v>0.000981595071375033</v>
      </c>
      <c r="H11" s="291"/>
      <c r="J11" s="36"/>
      <c r="M11" s="294" t="s">
        <v>843</v>
      </c>
      <c r="N11" s="300" t="s">
        <v>66</v>
      </c>
      <c r="O11" s="291" t="str">
        <v>Axis Bank Ltd</v>
      </c>
      <c r="P11" s="301">
        <v>0.0145607854726565</v>
      </c>
      <c r="Q11" s="293">
        <f>P11*VLOOKUP(N11,'Selector Sheet '!$B$13:$D$43,2,FALSE)</f>
        <v>0</v>
      </c>
      <c r="R11" s="291" t="str">
        <v>Financials</v>
      </c>
      <c r="S11" s="293">
        <f>P11*VLOOKUP(N11,'Selector Sheet '!$B$13:$D$43,2,FALSE)</f>
        <v>0</v>
      </c>
      <c r="T11" s="291"/>
      <c r="X11" s="291" t="str">
        <v>INE296A01032</v>
      </c>
      <c r="Z11" s="294" t="s">
        <v>842</v>
      </c>
      <c r="AB11" t="s">
        <v>842</v>
      </c>
      <c r="AC11" t="s">
        <v>844</v>
      </c>
      <c r="AD11" t="s">
        <v>831</v>
      </c>
      <c r="AE11">
        <v>33.8848809322886</v>
      </c>
      <c r="AF11">
        <v>19.1914075823606</v>
      </c>
      <c r="AG11">
        <v>166378.2</v>
      </c>
      <c r="AH11">
        <v>26.894</v>
      </c>
      <c r="AI11">
        <v>5663079305676</v>
      </c>
      <c r="AK11" t="str">
        <v>Canara Rob Emerg Equities Fund-Reg(G)</v>
      </c>
      <c r="AL11" s="125">
        <v>0.1</v>
      </c>
      <c r="AM11" s="302">
        <v>0.0833333333333333</v>
      </c>
    </row>
    <row r="12" spans="1:39">
      <c r="A12" s="290" t="s">
        <v>845</v>
      </c>
      <c r="B12" s="127" t="s">
        <v>50</v>
      </c>
      <c r="C12" s="291" t="str">
        <v>Bata India Ltd</v>
      </c>
      <c r="D12" s="292">
        <v>0.00952762879751691</v>
      </c>
      <c r="E12" s="293">
        <f t="shared" si="0"/>
        <v>0.000793969066459742</v>
      </c>
      <c r="F12" s="291" t="str">
        <v>Consumer Discretionary</v>
      </c>
      <c r="G12" s="293">
        <f t="shared" si="1"/>
        <v>0.000793969066459742</v>
      </c>
      <c r="H12" s="291"/>
      <c r="J12" s="36"/>
      <c r="M12" s="290" t="s">
        <v>842</v>
      </c>
      <c r="N12" s="298" t="s">
        <v>66</v>
      </c>
      <c r="O12" s="291" t="str">
        <v>Bajaj Finance Ltd</v>
      </c>
      <c r="P12" s="299">
        <v>0.0197403522433742</v>
      </c>
      <c r="Q12" s="293">
        <f>P12*VLOOKUP(N12,'Selector Sheet '!$B$13:$D$43,2,FALSE)</f>
        <v>0</v>
      </c>
      <c r="R12" s="291" t="str">
        <v>Financials</v>
      </c>
      <c r="S12" s="293">
        <f>P12*VLOOKUP(N12,'Selector Sheet '!$B$13:$D$43,2,FALSE)</f>
        <v>0</v>
      </c>
      <c r="T12" s="291"/>
      <c r="X12" s="291" t="str">
        <v>INE176A01028</v>
      </c>
      <c r="Z12" s="290" t="s">
        <v>845</v>
      </c>
      <c r="AB12" t="s">
        <v>845</v>
      </c>
      <c r="AC12" t="s">
        <v>846</v>
      </c>
      <c r="AD12" t="s">
        <v>838</v>
      </c>
      <c r="AE12">
        <v>42.6622600533181</v>
      </c>
      <c r="AF12">
        <v>21.320554343698</v>
      </c>
      <c r="AG12">
        <v>3306.56</v>
      </c>
      <c r="AH12">
        <v>25.73</v>
      </c>
      <c r="AI12">
        <v>141084680658</v>
      </c>
      <c r="AK12">
        <v>0</v>
      </c>
      <c r="AL12" s="125" t="str">
        <v/>
      </c>
      <c r="AM12" s="302" t="e">
        <v>#VALUE!</v>
      </c>
    </row>
    <row r="13" spans="1:39">
      <c r="A13" s="294" t="s">
        <v>847</v>
      </c>
      <c r="B13" s="127" t="s">
        <v>50</v>
      </c>
      <c r="C13" s="291" t="str">
        <v>Berger Paints India Ltd</v>
      </c>
      <c r="D13" s="295">
        <v>0.00125550050041668</v>
      </c>
      <c r="E13" s="293">
        <f t="shared" si="0"/>
        <v>0.00010462504170139</v>
      </c>
      <c r="F13" s="291" t="str">
        <v>Materials</v>
      </c>
      <c r="G13" s="293">
        <f t="shared" si="1"/>
        <v>0.00010462504170139</v>
      </c>
      <c r="H13" s="291"/>
      <c r="J13" s="36"/>
      <c r="M13" s="294" t="s">
        <v>848</v>
      </c>
      <c r="N13" s="300" t="s">
        <v>66</v>
      </c>
      <c r="O13" s="291" t="str">
        <v>Bajaj Finserv Ltd</v>
      </c>
      <c r="P13" s="301">
        <v>0.00596733497700764</v>
      </c>
      <c r="Q13" s="293">
        <f>P13*VLOOKUP(N13,'Selector Sheet '!$B$13:$D$43,2,FALSE)</f>
        <v>0</v>
      </c>
      <c r="R13" s="291" t="str">
        <v>Financials</v>
      </c>
      <c r="S13" s="293">
        <f>P13*VLOOKUP(N13,'Selector Sheet '!$B$13:$D$43,2,FALSE)</f>
        <v>0</v>
      </c>
      <c r="T13" s="291"/>
      <c r="X13" s="291" t="str">
        <v>INE463A01038</v>
      </c>
      <c r="Z13" s="294" t="s">
        <v>847</v>
      </c>
      <c r="AB13" t="s">
        <v>847</v>
      </c>
      <c r="AC13" t="s">
        <v>849</v>
      </c>
      <c r="AD13" t="s">
        <v>823</v>
      </c>
      <c r="AE13">
        <v>52.9792514243145</v>
      </c>
      <c r="AF13">
        <v>20.469831536616</v>
      </c>
      <c r="AG13">
        <v>11804</v>
      </c>
      <c r="AH13">
        <v>10.13</v>
      </c>
      <c r="AI13">
        <v>625094485760.85</v>
      </c>
      <c r="AK13">
        <v>0</v>
      </c>
      <c r="AL13" s="125" t="str">
        <v/>
      </c>
      <c r="AM13" s="302" t="e">
        <v>#VALUE!</v>
      </c>
    </row>
    <row r="14" spans="1:39">
      <c r="A14" s="290" t="s">
        <v>850</v>
      </c>
      <c r="B14" s="127" t="s">
        <v>50</v>
      </c>
      <c r="C14" s="291" t="str">
        <v>Bharat Electronics Ltd</v>
      </c>
      <c r="D14" s="292">
        <v>0.0339375536794975</v>
      </c>
      <c r="E14" s="293">
        <f t="shared" si="0"/>
        <v>0.00282812947329146</v>
      </c>
      <c r="F14" s="291" t="str">
        <v>Industrials</v>
      </c>
      <c r="G14" s="293">
        <f t="shared" si="1"/>
        <v>0.00282812947329146</v>
      </c>
      <c r="H14" s="291"/>
      <c r="J14" s="36"/>
      <c r="M14" s="290" t="s">
        <v>850</v>
      </c>
      <c r="N14" s="298" t="s">
        <v>66</v>
      </c>
      <c r="O14" s="291" t="str">
        <v>Bharat Electronics Ltd</v>
      </c>
      <c r="P14" s="299">
        <v>0.0061181201704989</v>
      </c>
      <c r="Q14" s="293">
        <f>P14*VLOOKUP(N14,'Selector Sheet '!$B$13:$D$43,2,FALSE)</f>
        <v>0</v>
      </c>
      <c r="R14" s="291" t="str">
        <v>Industrials</v>
      </c>
      <c r="S14" s="293">
        <f>P14*VLOOKUP(N14,'Selector Sheet '!$B$13:$D$43,2,FALSE)</f>
        <v>0</v>
      </c>
      <c r="T14" s="291"/>
      <c r="X14" s="291" t="str">
        <v>INE263A01024</v>
      </c>
      <c r="Z14" s="290" t="s">
        <v>850</v>
      </c>
      <c r="AB14" t="s">
        <v>850</v>
      </c>
      <c r="AC14" t="s">
        <v>851</v>
      </c>
      <c r="AD14" t="s">
        <v>813</v>
      </c>
      <c r="AE14">
        <v>53.1662071144188</v>
      </c>
      <c r="AF14">
        <v>29.3189378838116</v>
      </c>
      <c r="AG14">
        <v>53214.4</v>
      </c>
      <c r="AH14">
        <v>7.28</v>
      </c>
      <c r="AI14">
        <v>2829249895764.45</v>
      </c>
      <c r="AK14" t="str">
        <v>Mid/Small cap</v>
      </c>
      <c r="AL14" s="125" t="str">
        <v/>
      </c>
      <c r="AM14" s="302" t="e">
        <v>#VALUE!</v>
      </c>
    </row>
    <row r="15" spans="1:39">
      <c r="A15" s="294" t="s">
        <v>852</v>
      </c>
      <c r="B15" s="127" t="s">
        <v>50</v>
      </c>
      <c r="C15" s="291" t="str">
        <v>Bharat Forge Ltd</v>
      </c>
      <c r="D15" s="295">
        <v>0.00632867545444742</v>
      </c>
      <c r="E15" s="293">
        <f t="shared" si="0"/>
        <v>0.000527389621203952</v>
      </c>
      <c r="F15" s="291" t="str">
        <v>Consumer Discretionary</v>
      </c>
      <c r="G15" s="293">
        <f t="shared" si="1"/>
        <v>0.000527389621203952</v>
      </c>
      <c r="H15" s="291"/>
      <c r="J15" s="36"/>
      <c r="M15" s="294" t="s">
        <v>853</v>
      </c>
      <c r="N15" s="300" t="s">
        <v>66</v>
      </c>
      <c r="O15" s="291" t="str">
        <v>Bharat Petroleum Corp Ltd</v>
      </c>
      <c r="P15" s="301">
        <v>0.00512622752480359</v>
      </c>
      <c r="Q15" s="293">
        <f>P15*VLOOKUP(N15,'Selector Sheet '!$B$13:$D$43,2,FALSE)</f>
        <v>0</v>
      </c>
      <c r="R15" s="291" t="str">
        <v>Energy</v>
      </c>
      <c r="S15" s="293">
        <f>P15*VLOOKUP(N15,'Selector Sheet '!$B$13:$D$43,2,FALSE)</f>
        <v>0</v>
      </c>
      <c r="T15" s="291"/>
      <c r="X15" s="291" t="str">
        <v>INE465A01025</v>
      </c>
      <c r="Z15" s="294" t="s">
        <v>852</v>
      </c>
      <c r="AB15" t="s">
        <v>852</v>
      </c>
      <c r="AC15" t="s">
        <v>854</v>
      </c>
      <c r="AD15" t="s">
        <v>838</v>
      </c>
      <c r="AE15">
        <v>59.2768079800499</v>
      </c>
      <c r="AF15">
        <v>11.4610401985738</v>
      </c>
      <c r="AG15">
        <v>9411.53</v>
      </c>
      <c r="AH15">
        <v>20.05</v>
      </c>
      <c r="AI15">
        <v>568208339132</v>
      </c>
      <c r="AK15" t="str">
        <v>No funds selected</v>
      </c>
      <c r="AL15" s="125" t="str">
        <v/>
      </c>
      <c r="AM15" s="302" t="e">
        <v>#VALUE!</v>
      </c>
    </row>
    <row r="16" spans="1:39">
      <c r="A16" s="290" t="s">
        <v>855</v>
      </c>
      <c r="B16" s="127" t="s">
        <v>50</v>
      </c>
      <c r="C16" s="291" t="str">
        <v>Bharti Airtel Ltd</v>
      </c>
      <c r="D16" s="292">
        <v>0.0154154223599642</v>
      </c>
      <c r="E16" s="293">
        <f t="shared" si="0"/>
        <v>0.00128461852999702</v>
      </c>
      <c r="F16" s="291" t="str">
        <v>Communication Services</v>
      </c>
      <c r="G16" s="293">
        <f t="shared" si="1"/>
        <v>0.00128461852999702</v>
      </c>
      <c r="H16" s="291"/>
      <c r="J16" s="36"/>
      <c r="M16" s="290" t="s">
        <v>855</v>
      </c>
      <c r="N16" s="298" t="s">
        <v>66</v>
      </c>
      <c r="O16" s="291" t="str">
        <v>Bharti Airtel Ltd</v>
      </c>
      <c r="P16" s="299">
        <v>0.0264760131425463</v>
      </c>
      <c r="Q16" s="293">
        <f>P16*VLOOKUP(N16,'Selector Sheet '!$B$13:$D$43,2,FALSE)</f>
        <v>0</v>
      </c>
      <c r="R16" s="291" t="str">
        <v>Communication Services</v>
      </c>
      <c r="S16" s="293">
        <f>P16*VLOOKUP(N16,'Selector Sheet '!$B$13:$D$43,2,FALSE)</f>
        <v>0</v>
      </c>
      <c r="T16" s="291"/>
      <c r="X16" s="291" t="str">
        <v>INE397D01024</v>
      </c>
      <c r="Z16" s="290" t="s">
        <v>855</v>
      </c>
      <c r="AB16" t="s">
        <v>855</v>
      </c>
      <c r="AC16" t="s">
        <v>856</v>
      </c>
      <c r="AD16" t="s">
        <v>857</v>
      </c>
      <c r="AE16">
        <v>30.8241840270666</v>
      </c>
      <c r="AF16">
        <v>33.9797616020359</v>
      </c>
      <c r="AG16">
        <v>335561</v>
      </c>
      <c r="AH16">
        <v>58</v>
      </c>
      <c r="AI16">
        <v>11286222346497.9</v>
      </c>
      <c r="AK16">
        <v>0</v>
      </c>
      <c r="AL16" s="125" t="str">
        <v/>
      </c>
      <c r="AM16" s="302" t="e">
        <v>#VALUE!</v>
      </c>
    </row>
    <row r="17" spans="1:39">
      <c r="A17" s="294" t="s">
        <v>858</v>
      </c>
      <c r="B17" s="127" t="s">
        <v>50</v>
      </c>
      <c r="C17" s="291" t="str">
        <v>Bharti Hexacom Ltd</v>
      </c>
      <c r="D17" s="295">
        <v>0.0048441784383276</v>
      </c>
      <c r="E17" s="293">
        <f t="shared" si="0"/>
        <v>0.0004036815365273</v>
      </c>
      <c r="F17" s="291" t="str">
        <v>Communication Services</v>
      </c>
      <c r="G17" s="293">
        <f t="shared" si="1"/>
        <v>0.0004036815365273</v>
      </c>
      <c r="H17" s="291"/>
      <c r="J17" s="36"/>
      <c r="M17" s="294" t="s">
        <v>859</v>
      </c>
      <c r="N17" s="300" t="s">
        <v>66</v>
      </c>
      <c r="O17" s="291" t="str">
        <v>Biocon Ltd</v>
      </c>
      <c r="P17" s="301">
        <v>0</v>
      </c>
      <c r="Q17" s="293">
        <f>P17*VLOOKUP(N17,'Selector Sheet '!$B$13:$D$43,2,FALSE)</f>
        <v>0</v>
      </c>
      <c r="R17" s="291" t="str">
        <v>Health Care</v>
      </c>
      <c r="S17" s="293">
        <f>P17*VLOOKUP(N17,'Selector Sheet '!$B$13:$D$43,2,FALSE)</f>
        <v>0</v>
      </c>
      <c r="T17" s="291"/>
      <c r="X17" s="291" t="str">
        <v>INE343G01021</v>
      </c>
      <c r="Z17" s="294" t="s">
        <v>858</v>
      </c>
      <c r="AB17" t="s">
        <v>858</v>
      </c>
      <c r="AC17" t="s">
        <v>860</v>
      </c>
      <c r="AD17" t="s">
        <v>857</v>
      </c>
      <c r="AE17">
        <v>61.2008751393059</v>
      </c>
      <c r="AF17">
        <v>23.9520958083832</v>
      </c>
      <c r="AG17">
        <v>14936</v>
      </c>
      <c r="AH17">
        <v>29.87</v>
      </c>
      <c r="AI17">
        <v>840900000000</v>
      </c>
      <c r="AK17" t="str">
        <v>Multicap</v>
      </c>
      <c r="AL17" s="125" t="str">
        <v/>
      </c>
      <c r="AM17" s="302" t="e">
        <v>#VALUE!</v>
      </c>
    </row>
    <row r="18" spans="1:39">
      <c r="A18" s="290" t="s">
        <v>859</v>
      </c>
      <c r="B18" s="127" t="s">
        <v>50</v>
      </c>
      <c r="C18" s="291" t="str">
        <v>Biocon Ltd</v>
      </c>
      <c r="D18" s="292">
        <v>0.000898041283723548</v>
      </c>
      <c r="E18" s="293">
        <f t="shared" si="0"/>
        <v>7.4836773643629e-5</v>
      </c>
      <c r="F18" s="291" t="str">
        <v>Health Care</v>
      </c>
      <c r="G18" s="293">
        <f t="shared" si="1"/>
        <v>7.4836773643629e-5</v>
      </c>
      <c r="H18" s="291"/>
      <c r="J18" s="36"/>
      <c r="M18" s="290" t="s">
        <v>861</v>
      </c>
      <c r="N18" s="298" t="s">
        <v>66</v>
      </c>
      <c r="O18" s="291" t="str">
        <v>Brigade Enterprises Ltd</v>
      </c>
      <c r="P18" s="299">
        <v>0.00550442568379987</v>
      </c>
      <c r="Q18" s="293">
        <f>P18*VLOOKUP(N18,'Selector Sheet '!$B$13:$D$43,2,FALSE)</f>
        <v>0</v>
      </c>
      <c r="R18" s="291" t="str">
        <v>Real Estate</v>
      </c>
      <c r="S18" s="293">
        <f>P18*VLOOKUP(N18,'Selector Sheet '!$B$13:$D$43,2,FALSE)</f>
        <v>0</v>
      </c>
      <c r="T18" s="291"/>
      <c r="X18" s="291" t="str">
        <v>INE376G01013</v>
      </c>
      <c r="Z18" s="290" t="s">
        <v>859</v>
      </c>
      <c r="AB18" t="s">
        <v>859</v>
      </c>
      <c r="AC18" t="s">
        <v>862</v>
      </c>
      <c r="AD18" t="s">
        <v>819</v>
      </c>
      <c r="AE18">
        <v>112.909592498672</v>
      </c>
      <c r="AF18" t="s">
        <v>824</v>
      </c>
      <c r="AG18">
        <v>10133</v>
      </c>
      <c r="AH18">
        <v>8.46</v>
      </c>
      <c r="AI18">
        <v>485585192232</v>
      </c>
      <c r="AK18" t="str">
        <v>No funds selected</v>
      </c>
      <c r="AL18" s="125" t="str">
        <v/>
      </c>
      <c r="AM18" s="302" t="e">
        <v>#VALUE!</v>
      </c>
    </row>
    <row r="19" spans="1:39">
      <c r="A19" s="294" t="s">
        <v>863</v>
      </c>
      <c r="B19" s="127" t="s">
        <v>50</v>
      </c>
      <c r="C19" s="291" t="str">
        <v>Blue Dart Express Ltd</v>
      </c>
      <c r="D19" s="295">
        <v>0.00410843075427355</v>
      </c>
      <c r="E19" s="293">
        <f t="shared" si="0"/>
        <v>0.000342369229522796</v>
      </c>
      <c r="F19" s="291" t="str">
        <v>Industrials</v>
      </c>
      <c r="G19" s="293">
        <f t="shared" si="1"/>
        <v>0.000342369229522796</v>
      </c>
      <c r="H19" s="291"/>
      <c r="J19" s="36"/>
      <c r="M19" s="294" t="s">
        <v>864</v>
      </c>
      <c r="N19" s="300" t="s">
        <v>66</v>
      </c>
      <c r="O19" s="291" t="str">
        <v>Britannia Industries Ltd</v>
      </c>
      <c r="P19" s="301">
        <v>0.00396395105019175</v>
      </c>
      <c r="Q19" s="293">
        <f>P19*VLOOKUP(N19,'Selector Sheet '!$B$13:$D$43,2,FALSE)</f>
        <v>0</v>
      </c>
      <c r="R19" s="291" t="str">
        <v>Consumer Staples</v>
      </c>
      <c r="S19" s="293">
        <f>P19*VLOOKUP(N19,'Selector Sheet '!$B$13:$D$43,2,FALSE)</f>
        <v>0</v>
      </c>
      <c r="T19" s="291"/>
      <c r="X19" s="291" t="str">
        <v>INE233B01017</v>
      </c>
      <c r="Z19" s="294" t="s">
        <v>863</v>
      </c>
      <c r="AB19" t="s">
        <v>863</v>
      </c>
      <c r="AC19" t="s">
        <v>865</v>
      </c>
      <c r="AD19" t="s">
        <v>813</v>
      </c>
      <c r="AE19">
        <v>56.3618956438487</v>
      </c>
      <c r="AF19" t="s">
        <v>824</v>
      </c>
      <c r="AG19">
        <v>2524.2</v>
      </c>
      <c r="AH19">
        <v>106.38</v>
      </c>
      <c r="AI19">
        <v>139686347458</v>
      </c>
      <c r="AK19">
        <v>0</v>
      </c>
      <c r="AL19" s="125" t="str">
        <v/>
      </c>
      <c r="AM19" s="302" t="e">
        <v>#VALUE!</v>
      </c>
    </row>
    <row r="20" spans="1:39">
      <c r="A20" s="290" t="s">
        <v>866</v>
      </c>
      <c r="B20" s="127" t="s">
        <v>50</v>
      </c>
      <c r="C20" s="291" t="str">
        <v>BSE Ltd</v>
      </c>
      <c r="D20" s="292">
        <v>0.00213758130232451</v>
      </c>
      <c r="E20" s="293">
        <f t="shared" si="0"/>
        <v>0.000178131775193709</v>
      </c>
      <c r="F20" s="291" t="str">
        <v>Financials</v>
      </c>
      <c r="G20" s="293">
        <f t="shared" si="1"/>
        <v>0.000178131775193709</v>
      </c>
      <c r="H20" s="291"/>
      <c r="J20" s="36"/>
      <c r="M20" s="290" t="s">
        <v>867</v>
      </c>
      <c r="N20" s="298" t="s">
        <v>66</v>
      </c>
      <c r="O20" s="291" t="str">
        <v>Carraro India Ltd</v>
      </c>
      <c r="P20" s="299">
        <v>0.0010440436217312</v>
      </c>
      <c r="Q20" s="293">
        <f>P20*VLOOKUP(N20,'Selector Sheet '!$B$13:$D$43,2,FALSE)</f>
        <v>0</v>
      </c>
      <c r="R20" s="291" t="str">
        <v>Industrials</v>
      </c>
      <c r="S20" s="293">
        <f>P20*VLOOKUP(N20,'Selector Sheet '!$B$13:$D$43,2,FALSE)</f>
        <v>0</v>
      </c>
      <c r="T20" s="291"/>
      <c r="X20" s="291" t="str">
        <v>INE118H01025</v>
      </c>
      <c r="Z20" s="290" t="s">
        <v>866</v>
      </c>
      <c r="AB20" t="s">
        <v>866</v>
      </c>
      <c r="AC20" t="s">
        <v>868</v>
      </c>
      <c r="AD20" t="s">
        <v>831</v>
      </c>
      <c r="AE20">
        <v>77.7061090882117</v>
      </c>
      <c r="AF20">
        <v>34.3227172593392</v>
      </c>
      <c r="AG20">
        <v>13258.9</v>
      </c>
      <c r="AH20">
        <v>32.6533676666667</v>
      </c>
      <c r="AI20">
        <v>1026410016302.1</v>
      </c>
      <c r="AK20">
        <v>0</v>
      </c>
      <c r="AL20" s="125" t="str">
        <v/>
      </c>
      <c r="AM20" s="302" t="e">
        <v>#VALUE!</v>
      </c>
    </row>
    <row r="21" spans="1:39">
      <c r="A21" s="294" t="s">
        <v>869</v>
      </c>
      <c r="B21" s="127" t="s">
        <v>50</v>
      </c>
      <c r="C21" s="291" t="str">
        <v>Carborundum Universal Ltd</v>
      </c>
      <c r="D21" s="295">
        <v>0.00231790578471225</v>
      </c>
      <c r="E21" s="293">
        <f t="shared" si="0"/>
        <v>0.000193158815392687</v>
      </c>
      <c r="F21" s="291" t="str">
        <v>Materials</v>
      </c>
      <c r="G21" s="293">
        <f t="shared" si="1"/>
        <v>0.000193158815392687</v>
      </c>
      <c r="H21" s="291"/>
      <c r="J21" s="36"/>
      <c r="M21" s="294" t="s">
        <v>870</v>
      </c>
      <c r="N21" s="300" t="s">
        <v>66</v>
      </c>
      <c r="O21" s="291" t="str">
        <v>CG Power &amp; Industrial Solution</v>
      </c>
      <c r="P21" s="301">
        <v>0.00587827727666274</v>
      </c>
      <c r="Q21" s="293">
        <f>P21*VLOOKUP(N21,'Selector Sheet '!$B$13:$D$43,2,FALSE)</f>
        <v>0</v>
      </c>
      <c r="R21" s="291" t="str">
        <v>Industrials</v>
      </c>
      <c r="S21" s="293">
        <f>P21*VLOOKUP(N21,'Selector Sheet '!$B$13:$D$43,2,FALSE)</f>
        <v>0</v>
      </c>
      <c r="T21" s="291"/>
      <c r="X21" s="291" t="str">
        <v>INE120A01034</v>
      </c>
      <c r="Z21" s="294" t="s">
        <v>869</v>
      </c>
      <c r="AB21" t="s">
        <v>869</v>
      </c>
      <c r="AC21" t="s">
        <v>871</v>
      </c>
      <c r="AD21" t="s">
        <v>823</v>
      </c>
      <c r="AE21">
        <v>55.4589209109736</v>
      </c>
      <c r="AF21">
        <v>8.7984528567794</v>
      </c>
      <c r="AG21">
        <v>2927.39</v>
      </c>
      <c r="AH21">
        <v>15.58</v>
      </c>
      <c r="AI21">
        <v>164535613537.9</v>
      </c>
      <c r="AK21">
        <v>0</v>
      </c>
      <c r="AL21" s="125" t="str">
        <v/>
      </c>
      <c r="AM21" s="302" t="e">
        <v>#VALUE!</v>
      </c>
    </row>
    <row r="22" spans="1:39">
      <c r="A22" s="290" t="s">
        <v>872</v>
      </c>
      <c r="B22" s="127" t="s">
        <v>50</v>
      </c>
      <c r="C22" s="291" t="str">
        <v>Cello World Ltd</v>
      </c>
      <c r="D22" s="292">
        <v>0.00362291978572987</v>
      </c>
      <c r="E22" s="293">
        <f t="shared" si="0"/>
        <v>0.000301909982144156</v>
      </c>
      <c r="F22" s="291" t="str">
        <v>Consumer Discretionary</v>
      </c>
      <c r="G22" s="293">
        <f t="shared" si="1"/>
        <v>0.000301909982144156</v>
      </c>
      <c r="H22" s="291"/>
      <c r="J22" s="36"/>
      <c r="M22" s="290" t="s">
        <v>873</v>
      </c>
      <c r="N22" s="298" t="s">
        <v>66</v>
      </c>
      <c r="O22" s="291" t="str">
        <v>Cholamandalam Financial Holdin</v>
      </c>
      <c r="P22" s="299">
        <v>0.00879772346878899</v>
      </c>
      <c r="Q22" s="293">
        <f>P22*VLOOKUP(N22,'Selector Sheet '!$B$13:$D$43,2,FALSE)</f>
        <v>0</v>
      </c>
      <c r="R22" s="291" t="str">
        <v>Financials</v>
      </c>
      <c r="S22" s="293">
        <f>P22*VLOOKUP(N22,'Selector Sheet '!$B$13:$D$43,2,FALSE)</f>
        <v>0</v>
      </c>
      <c r="T22" s="291"/>
      <c r="X22" s="291" t="str">
        <v>INE0LMW01024</v>
      </c>
      <c r="Z22" s="290" t="s">
        <v>872</v>
      </c>
      <c r="AB22" t="s">
        <v>872</v>
      </c>
      <c r="AC22" t="s">
        <v>874</v>
      </c>
      <c r="AD22" t="s">
        <v>838</v>
      </c>
      <c r="AE22">
        <v>34.4838709677419</v>
      </c>
      <c r="AF22">
        <v>20.4313517328859</v>
      </c>
      <c r="AG22">
        <v>3388.152</v>
      </c>
      <c r="AH22">
        <v>15.5</v>
      </c>
      <c r="AI22">
        <v>118063050673</v>
      </c>
      <c r="AK22">
        <v>0</v>
      </c>
      <c r="AL22" s="125" t="str">
        <v/>
      </c>
      <c r="AM22" s="302" t="e">
        <v>#VALUE!</v>
      </c>
    </row>
    <row r="23" spans="1:39">
      <c r="A23" s="294" t="s">
        <v>875</v>
      </c>
      <c r="B23" s="127" t="s">
        <v>50</v>
      </c>
      <c r="C23" s="291" t="str">
        <v>Central Depository Services In</v>
      </c>
      <c r="D23" s="295">
        <v>0.00467208076633138</v>
      </c>
      <c r="E23" s="293">
        <f t="shared" si="0"/>
        <v>0.000389340063860948</v>
      </c>
      <c r="F23" s="291" t="str">
        <v>Financials</v>
      </c>
      <c r="G23" s="293">
        <f t="shared" si="1"/>
        <v>0.000389340063860948</v>
      </c>
      <c r="H23" s="291"/>
      <c r="J23" s="36"/>
      <c r="M23" s="294" t="s">
        <v>876</v>
      </c>
      <c r="N23" s="300" t="s">
        <v>66</v>
      </c>
      <c r="O23" s="291" t="str">
        <v>Cholamandalam Investment and F</v>
      </c>
      <c r="P23" s="301">
        <v>0.00480208001013532</v>
      </c>
      <c r="Q23" s="293">
        <f>P23*VLOOKUP(N23,'Selector Sheet '!$B$13:$D$43,2,FALSE)</f>
        <v>0</v>
      </c>
      <c r="R23" s="291" t="str">
        <v>Financials</v>
      </c>
      <c r="S23" s="293">
        <f>P23*VLOOKUP(N23,'Selector Sheet '!$B$13:$D$43,2,FALSE)</f>
        <v>0</v>
      </c>
      <c r="T23" s="291"/>
      <c r="X23" s="291" t="str">
        <v>INE736A01011</v>
      </c>
      <c r="Z23" s="294" t="s">
        <v>875</v>
      </c>
      <c r="AB23" t="s">
        <v>875</v>
      </c>
      <c r="AC23" t="s">
        <v>877</v>
      </c>
      <c r="AD23" t="s">
        <v>831</v>
      </c>
      <c r="AE23">
        <v>62.8849186972966</v>
      </c>
      <c r="AF23">
        <v>32.673210537955</v>
      </c>
      <c r="AG23">
        <v>5266.412</v>
      </c>
      <c r="AH23">
        <v>25.2</v>
      </c>
      <c r="AI23">
        <v>331202300000</v>
      </c>
      <c r="AK23">
        <v>0</v>
      </c>
      <c r="AL23" s="125" t="str">
        <v/>
      </c>
      <c r="AM23" s="302" t="e">
        <v>#VALUE!</v>
      </c>
    </row>
    <row r="24" spans="1:39">
      <c r="A24" s="290" t="s">
        <v>870</v>
      </c>
      <c r="B24" s="127" t="s">
        <v>50</v>
      </c>
      <c r="C24" s="291" t="str">
        <v>CG Power &amp; Industrial Solution</v>
      </c>
      <c r="D24" s="292">
        <v>0.00508000845114948</v>
      </c>
      <c r="E24" s="293">
        <f t="shared" si="0"/>
        <v>0.00042333403759579</v>
      </c>
      <c r="F24" s="291" t="str">
        <v>Industrials</v>
      </c>
      <c r="G24" s="293">
        <f t="shared" si="1"/>
        <v>0.00042333403759579</v>
      </c>
      <c r="H24" s="291"/>
      <c r="J24" s="36"/>
      <c r="M24" s="290" t="s">
        <v>878</v>
      </c>
      <c r="N24" s="298" t="s">
        <v>66</v>
      </c>
      <c r="O24" s="291" t="str">
        <v>Cipla Ltd/India</v>
      </c>
      <c r="P24" s="299">
        <v>0.0105082535935841</v>
      </c>
      <c r="Q24" s="293">
        <f>P24*VLOOKUP(N24,'Selector Sheet '!$B$13:$D$43,2,FALSE)</f>
        <v>0</v>
      </c>
      <c r="R24" s="291" t="str">
        <v>Health Care</v>
      </c>
      <c r="S24" s="293">
        <f>P24*VLOOKUP(N24,'Selector Sheet '!$B$13:$D$43,2,FALSE)</f>
        <v>0</v>
      </c>
      <c r="T24" s="291"/>
      <c r="X24" s="291" t="str">
        <v>INE067A01029</v>
      </c>
      <c r="Z24" s="290" t="s">
        <v>870</v>
      </c>
      <c r="AB24" t="s">
        <v>870</v>
      </c>
      <c r="AC24" t="s">
        <v>879</v>
      </c>
      <c r="AD24" t="s">
        <v>813</v>
      </c>
      <c r="AE24">
        <v>105.877742946708</v>
      </c>
      <c r="AF24">
        <v>28.4082379809339</v>
      </c>
      <c r="AG24">
        <v>9746</v>
      </c>
      <c r="AH24">
        <v>6.38</v>
      </c>
      <c r="AI24">
        <v>1063609490289.5</v>
      </c>
      <c r="AK24">
        <v>0</v>
      </c>
      <c r="AL24" s="125" t="str">
        <v/>
      </c>
      <c r="AM24" s="302" t="e">
        <v>#VALUE!</v>
      </c>
    </row>
    <row r="25" spans="1:39">
      <c r="A25" s="294" t="s">
        <v>876</v>
      </c>
      <c r="B25" s="127" t="s">
        <v>50</v>
      </c>
      <c r="C25" s="291" t="str">
        <v>Cholamandalam Investment and F</v>
      </c>
      <c r="D25" s="295">
        <v>0.0194052766754024</v>
      </c>
      <c r="E25" s="293">
        <f t="shared" si="0"/>
        <v>0.00161710638961687</v>
      </c>
      <c r="F25" s="291" t="str">
        <v>Financials</v>
      </c>
      <c r="G25" s="293">
        <f t="shared" si="1"/>
        <v>0.00161710638961687</v>
      </c>
      <c r="H25" s="291"/>
      <c r="J25" s="36"/>
      <c r="M25" s="294" t="s">
        <v>880</v>
      </c>
      <c r="N25" s="300" t="s">
        <v>66</v>
      </c>
      <c r="O25" s="291" t="str">
        <v>Coal India Ltd</v>
      </c>
      <c r="P25" s="301">
        <v>0.00419499918341625</v>
      </c>
      <c r="Q25" s="293">
        <f>P25*VLOOKUP(N25,'Selector Sheet '!$B$13:$D$43,2,FALSE)</f>
        <v>0</v>
      </c>
      <c r="R25" s="291" t="str">
        <v>Energy</v>
      </c>
      <c r="S25" s="293">
        <f>P25*VLOOKUP(N25,'Selector Sheet '!$B$13:$D$43,2,FALSE)</f>
        <v>0</v>
      </c>
      <c r="T25" s="291"/>
      <c r="X25" s="291" t="str">
        <v>INE121A01024</v>
      </c>
      <c r="Z25" s="294" t="s">
        <v>876</v>
      </c>
      <c r="AB25" t="s">
        <v>876</v>
      </c>
      <c r="AC25" t="s">
        <v>881</v>
      </c>
      <c r="AD25" t="s">
        <v>831</v>
      </c>
      <c r="AE25">
        <v>30.0295736511423</v>
      </c>
      <c r="AF25">
        <v>19.7064717177435</v>
      </c>
      <c r="AG25">
        <v>42627</v>
      </c>
      <c r="AH25">
        <v>50.72</v>
      </c>
      <c r="AI25">
        <v>1281244372391.7</v>
      </c>
      <c r="AK25">
        <v>0</v>
      </c>
      <c r="AL25" s="125" t="str">
        <v/>
      </c>
      <c r="AM25" s="302" t="e">
        <v>#VALUE!</v>
      </c>
    </row>
    <row r="26" spans="1:39">
      <c r="A26" s="290" t="s">
        <v>882</v>
      </c>
      <c r="B26" s="127" t="s">
        <v>50</v>
      </c>
      <c r="C26" s="291" t="str">
        <v>Coforge Ltd</v>
      </c>
      <c r="D26" s="292">
        <v>0.0091233018099206</v>
      </c>
      <c r="E26" s="293">
        <f t="shared" si="0"/>
        <v>0.000760275150826717</v>
      </c>
      <c r="F26" s="291" t="str">
        <v>Information Technology</v>
      </c>
      <c r="G26" s="293">
        <f t="shared" si="1"/>
        <v>0.000760275150826717</v>
      </c>
      <c r="H26" s="291"/>
      <c r="J26" s="36"/>
      <c r="M26" s="290" t="s">
        <v>882</v>
      </c>
      <c r="N26" s="298" t="s">
        <v>66</v>
      </c>
      <c r="O26" s="291" t="str">
        <v>Coforge Ltd</v>
      </c>
      <c r="P26" s="299">
        <v>0.00593647123043446</v>
      </c>
      <c r="Q26" s="293">
        <f>P26*VLOOKUP(N26,'Selector Sheet '!$B$13:$D$43,2,FALSE)</f>
        <v>0</v>
      </c>
      <c r="R26" s="291" t="str">
        <v>Information Technology</v>
      </c>
      <c r="S26" s="293">
        <f>P26*VLOOKUP(N26,'Selector Sheet '!$B$13:$D$43,2,FALSE)</f>
        <v>0</v>
      </c>
      <c r="T26" s="291"/>
      <c r="X26" s="291" t="str">
        <v>INE591G01025</v>
      </c>
      <c r="Z26" s="290" t="s">
        <v>882</v>
      </c>
      <c r="AB26" t="s">
        <v>882</v>
      </c>
      <c r="AC26" t="s">
        <v>883</v>
      </c>
      <c r="AD26" t="s">
        <v>884</v>
      </c>
      <c r="AE26">
        <v>29.0438651869754</v>
      </c>
      <c r="AF26">
        <v>15.9812004748003</v>
      </c>
      <c r="AG26">
        <v>8121</v>
      </c>
      <c r="AH26">
        <v>24.602</v>
      </c>
      <c r="AI26">
        <v>556046341326</v>
      </c>
      <c r="AK26">
        <v>0</v>
      </c>
      <c r="AL26" s="125" t="str">
        <v/>
      </c>
      <c r="AM26" s="302" t="e">
        <v>#VALUE!</v>
      </c>
    </row>
    <row r="27" spans="1:39">
      <c r="A27" s="294" t="s">
        <v>885</v>
      </c>
      <c r="B27" s="127" t="s">
        <v>50</v>
      </c>
      <c r="C27" s="291" t="str">
        <v>Computer Age Management Servic</v>
      </c>
      <c r="D27" s="295">
        <v>0.00220517265125963</v>
      </c>
      <c r="E27" s="293">
        <f t="shared" si="0"/>
        <v>0.000183764387604969</v>
      </c>
      <c r="F27" s="291" t="str">
        <v>Industrials</v>
      </c>
      <c r="G27" s="293">
        <f t="shared" si="1"/>
        <v>0.000183764387604969</v>
      </c>
      <c r="H27" s="291"/>
      <c r="J27" s="36"/>
      <c r="M27" s="294" t="s">
        <v>886</v>
      </c>
      <c r="N27" s="300" t="s">
        <v>66</v>
      </c>
      <c r="O27" s="291" t="str">
        <v>Coromandel International Ltd</v>
      </c>
      <c r="P27" s="301">
        <v>0.00439093863227901</v>
      </c>
      <c r="Q27" s="293">
        <f>P27*VLOOKUP(N27,'Selector Sheet '!$B$13:$D$43,2,FALSE)</f>
        <v>0</v>
      </c>
      <c r="R27" s="291" t="str">
        <v>Materials</v>
      </c>
      <c r="S27" s="293">
        <f>P27*VLOOKUP(N27,'Selector Sheet '!$B$13:$D$43,2,FALSE)</f>
        <v>0</v>
      </c>
      <c r="T27" s="291"/>
      <c r="X27" s="291" t="str">
        <v>INE596I01012</v>
      </c>
      <c r="Z27" s="294" t="s">
        <v>885</v>
      </c>
      <c r="AB27" t="s">
        <v>885</v>
      </c>
      <c r="AC27" t="s">
        <v>887</v>
      </c>
      <c r="AD27" t="s">
        <v>813</v>
      </c>
      <c r="AE27">
        <v>40.5796033033422</v>
      </c>
      <c r="AF27">
        <v>46.2541808964664</v>
      </c>
      <c r="AG27">
        <v>4701.938</v>
      </c>
      <c r="AH27">
        <v>95.41</v>
      </c>
      <c r="AI27">
        <v>191551455393.9</v>
      </c>
      <c r="AK27">
        <v>0</v>
      </c>
      <c r="AL27" s="125" t="str">
        <v/>
      </c>
      <c r="AM27" s="302" t="e">
        <v>#VALUE!</v>
      </c>
    </row>
    <row r="28" spans="1:39">
      <c r="A28" s="290" t="s">
        <v>888</v>
      </c>
      <c r="B28" s="127" t="s">
        <v>50</v>
      </c>
      <c r="C28" s="291" t="str">
        <v>Container Corp Of India Ltd</v>
      </c>
      <c r="D28" s="292">
        <v>0.00150996412136133</v>
      </c>
      <c r="E28" s="293">
        <f t="shared" si="0"/>
        <v>0.000125830343446777</v>
      </c>
      <c r="F28" s="291" t="str">
        <v>Industrials</v>
      </c>
      <c r="G28" s="293">
        <f t="shared" si="1"/>
        <v>0.000125830343446777</v>
      </c>
      <c r="H28" s="291"/>
      <c r="J28" s="36"/>
      <c r="M28" s="290" t="s">
        <v>889</v>
      </c>
      <c r="N28" s="298" t="s">
        <v>66</v>
      </c>
      <c r="O28" s="291" t="str">
        <v>Craftsman Automation Ltd</v>
      </c>
      <c r="P28" s="299">
        <v>0.00596498188994621</v>
      </c>
      <c r="Q28" s="293">
        <f>P28*VLOOKUP(N28,'Selector Sheet '!$B$13:$D$43,2,FALSE)</f>
        <v>0</v>
      </c>
      <c r="R28" s="291" t="str">
        <v>Industrials</v>
      </c>
      <c r="S28" s="293">
        <f>P28*VLOOKUP(N28,'Selector Sheet '!$B$13:$D$43,2,FALSE)</f>
        <v>0</v>
      </c>
      <c r="T28" s="291"/>
      <c r="X28" s="291" t="str">
        <v>INE111A01025</v>
      </c>
      <c r="Z28" s="290" t="s">
        <v>888</v>
      </c>
      <c r="AB28" t="s">
        <v>888</v>
      </c>
      <c r="AC28" t="s">
        <v>890</v>
      </c>
      <c r="AD28" t="s">
        <v>813</v>
      </c>
      <c r="AE28">
        <v>31.6762149967778</v>
      </c>
      <c r="AF28">
        <v>10.649330259385</v>
      </c>
      <c r="AG28">
        <v>12887.5</v>
      </c>
      <c r="AH28">
        <v>16.9212136</v>
      </c>
      <c r="AI28">
        <v>408227213160</v>
      </c>
      <c r="AL28" s="125" t="str">
        <v/>
      </c>
      <c r="AM28" s="302" t="e">
        <v>#VALUE!</v>
      </c>
    </row>
    <row r="29" spans="1:39">
      <c r="A29" s="294" t="s">
        <v>891</v>
      </c>
      <c r="B29" s="127" t="s">
        <v>50</v>
      </c>
      <c r="C29" s="291" t="str">
        <v>CreditAccess Grameen Ltd</v>
      </c>
      <c r="D29" s="295">
        <v>0.00975688753790903</v>
      </c>
      <c r="E29" s="293">
        <f t="shared" si="0"/>
        <v>0.000813073961492419</v>
      </c>
      <c r="F29" s="291" t="str">
        <v>Financials</v>
      </c>
      <c r="G29" s="293">
        <f t="shared" si="1"/>
        <v>0.000813073961492419</v>
      </c>
      <c r="H29" s="291"/>
      <c r="J29" s="36"/>
      <c r="M29" s="294" t="s">
        <v>892</v>
      </c>
      <c r="N29" s="300" t="s">
        <v>66</v>
      </c>
      <c r="O29" s="291" t="str">
        <v>Dixon Technologies India Ltd</v>
      </c>
      <c r="P29" s="301">
        <v>0.00415386315644865</v>
      </c>
      <c r="Q29" s="293">
        <f>P29*VLOOKUP(N29,'Selector Sheet '!$B$13:$D$43,2,FALSE)</f>
        <v>0</v>
      </c>
      <c r="R29" s="291" t="str">
        <v>Consumer Discretionary</v>
      </c>
      <c r="S29" s="293">
        <f>P29*VLOOKUP(N29,'Selector Sheet '!$B$13:$D$43,2,FALSE)</f>
        <v>0</v>
      </c>
      <c r="T29" s="291"/>
      <c r="X29" s="291" t="str">
        <v>INE741K01010</v>
      </c>
      <c r="Z29" s="294" t="s">
        <v>891</v>
      </c>
      <c r="AB29" t="s">
        <v>891</v>
      </c>
      <c r="AC29" t="s">
        <v>893</v>
      </c>
      <c r="AD29" t="s">
        <v>831</v>
      </c>
      <c r="AE29">
        <v>39.6758703481393</v>
      </c>
      <c r="AF29">
        <v>7.85748875310052</v>
      </c>
      <c r="AG29">
        <v>5314</v>
      </c>
      <c r="AH29">
        <v>33.32</v>
      </c>
      <c r="AI29">
        <v>211185613320</v>
      </c>
      <c r="AL29" s="125" t="str">
        <v/>
      </c>
      <c r="AM29" s="302" t="e">
        <v>#VALUE!</v>
      </c>
    </row>
    <row r="30" spans="1:39">
      <c r="A30" s="290" t="s">
        <v>894</v>
      </c>
      <c r="B30" s="127" t="s">
        <v>50</v>
      </c>
      <c r="C30" s="291" t="str">
        <v>Crompton Greaves Consumer Elec</v>
      </c>
      <c r="D30" s="292">
        <v>0.00913071063583456</v>
      </c>
      <c r="E30" s="293">
        <f t="shared" si="0"/>
        <v>0.000760892552986213</v>
      </c>
      <c r="F30" s="291" t="str">
        <v>Consumer Discretionary</v>
      </c>
      <c r="G30" s="293">
        <f t="shared" si="1"/>
        <v>0.000760892552986213</v>
      </c>
      <c r="H30" s="291"/>
      <c r="J30" s="36"/>
      <c r="M30" s="290" t="s">
        <v>895</v>
      </c>
      <c r="N30" s="298" t="s">
        <v>66</v>
      </c>
      <c r="O30" s="291" t="str">
        <v>Dr Reddy's Laboratories Ltd</v>
      </c>
      <c r="P30" s="299">
        <v>0.00621154007210719</v>
      </c>
      <c r="Q30" s="293">
        <f>P30*VLOOKUP(N30,'Selector Sheet '!$B$13:$D$43,2,FALSE)</f>
        <v>0</v>
      </c>
      <c r="R30" s="291" t="str">
        <v>Health Care</v>
      </c>
      <c r="S30" s="293">
        <f>P30*VLOOKUP(N30,'Selector Sheet '!$B$13:$D$43,2,FALSE)</f>
        <v>0</v>
      </c>
      <c r="T30" s="291"/>
      <c r="X30" s="291" t="str">
        <v>INE299U01018</v>
      </c>
      <c r="Z30" s="290" t="s">
        <v>894</v>
      </c>
      <c r="AB30" t="s">
        <v>894</v>
      </c>
      <c r="AC30" t="s">
        <v>896</v>
      </c>
      <c r="AD30" t="s">
        <v>838</v>
      </c>
      <c r="AE30">
        <v>37.939813401964</v>
      </c>
      <c r="AF30">
        <v>17.4013067803905</v>
      </c>
      <c r="AG30">
        <v>5559.5</v>
      </c>
      <c r="AH30">
        <v>8.64</v>
      </c>
      <c r="AI30">
        <v>211054984881.4</v>
      </c>
      <c r="AL30" s="125" t="str">
        <v/>
      </c>
      <c r="AM30" s="302" t="e">
        <v>#VALUE!</v>
      </c>
    </row>
    <row r="31" spans="1:39">
      <c r="A31" s="294" t="s">
        <v>897</v>
      </c>
      <c r="B31" s="127" t="s">
        <v>50</v>
      </c>
      <c r="C31" s="291" t="str">
        <v>Cummins India Ltd</v>
      </c>
      <c r="D31" s="295">
        <v>0.000647644102358726</v>
      </c>
      <c r="E31" s="293">
        <f t="shared" si="0"/>
        <v>5.39703418632272e-5</v>
      </c>
      <c r="F31" s="291" t="str">
        <v>Industrials</v>
      </c>
      <c r="G31" s="293">
        <f t="shared" si="1"/>
        <v>5.39703418632272e-5</v>
      </c>
      <c r="H31" s="291"/>
      <c r="J31" s="36"/>
      <c r="M31" s="294" t="s">
        <v>898</v>
      </c>
      <c r="N31" s="300" t="s">
        <v>66</v>
      </c>
      <c r="O31" s="291" t="str">
        <v>Ellenbarrie Industrial Gases L</v>
      </c>
      <c r="P31" s="301">
        <v>0</v>
      </c>
      <c r="Q31" s="293">
        <f>P31*VLOOKUP(N31,'Selector Sheet '!$B$13:$D$43,2,FALSE)</f>
        <v>0</v>
      </c>
      <c r="R31" s="291" t="str">
        <v>Materials</v>
      </c>
      <c r="S31" s="293">
        <f>P31*VLOOKUP(N31,'Selector Sheet '!$B$13:$D$43,2,FALSE)</f>
        <v>0</v>
      </c>
      <c r="T31" s="291"/>
      <c r="X31" s="291" t="str">
        <v>INE298A01020</v>
      </c>
      <c r="Z31" s="294" t="s">
        <v>897</v>
      </c>
      <c r="AB31" t="s">
        <v>897</v>
      </c>
      <c r="AC31" t="s">
        <v>899</v>
      </c>
      <c r="AD31" t="s">
        <v>813</v>
      </c>
      <c r="AE31">
        <v>53.1157317924896</v>
      </c>
      <c r="AF31">
        <v>28.2203966213528</v>
      </c>
      <c r="AG31">
        <v>19999.4</v>
      </c>
      <c r="AH31">
        <v>72.15</v>
      </c>
      <c r="AI31">
        <v>1062313560000</v>
      </c>
      <c r="AL31" s="125" t="str">
        <v/>
      </c>
      <c r="AM31" s="302" t="e">
        <v>#VALUE!</v>
      </c>
    </row>
    <row r="32" spans="1:39">
      <c r="A32" s="290" t="s">
        <v>900</v>
      </c>
      <c r="B32" s="127" t="s">
        <v>50</v>
      </c>
      <c r="C32" s="291" t="str">
        <v>Deepak Nitrite Ltd</v>
      </c>
      <c r="D32" s="292">
        <v>0.00130464218989145</v>
      </c>
      <c r="E32" s="293">
        <f t="shared" si="0"/>
        <v>0.000108720182490954</v>
      </c>
      <c r="F32" s="291" t="str">
        <v>Materials</v>
      </c>
      <c r="G32" s="293">
        <f t="shared" si="1"/>
        <v>0.000108720182490954</v>
      </c>
      <c r="H32" s="291"/>
      <c r="J32" s="36"/>
      <c r="M32" s="290" t="s">
        <v>901</v>
      </c>
      <c r="N32" s="298" t="s">
        <v>66</v>
      </c>
      <c r="O32" s="291" t="str">
        <v>Eternal Ltd</v>
      </c>
      <c r="P32" s="299">
        <v>0.00603917058168367</v>
      </c>
      <c r="Q32" s="293">
        <f>P32*VLOOKUP(N32,'Selector Sheet '!$B$13:$D$43,2,FALSE)</f>
        <v>0</v>
      </c>
      <c r="R32" s="291" t="str">
        <v>Consumer Discretionary</v>
      </c>
      <c r="S32" s="293">
        <f>P32*VLOOKUP(N32,'Selector Sheet '!$B$13:$D$43,2,FALSE)</f>
        <v>0</v>
      </c>
      <c r="T32" s="291"/>
      <c r="X32" s="291" t="str">
        <v>INE288B01029</v>
      </c>
      <c r="Z32" s="290" t="s">
        <v>900</v>
      </c>
      <c r="AB32" t="s">
        <v>900</v>
      </c>
      <c r="AC32" t="s">
        <v>902</v>
      </c>
      <c r="AD32" t="s">
        <v>823</v>
      </c>
      <c r="AE32">
        <v>35.5545784199555</v>
      </c>
      <c r="AF32">
        <v>13.6911172877748</v>
      </c>
      <c r="AG32">
        <v>6972.4</v>
      </c>
      <c r="AH32">
        <v>51.12</v>
      </c>
      <c r="AI32">
        <v>247901171669.55</v>
      </c>
      <c r="AL32" s="125" t="str">
        <v/>
      </c>
      <c r="AM32" s="302" t="e">
        <v>#VALUE!</v>
      </c>
    </row>
    <row r="33" spans="1:39">
      <c r="A33" s="294" t="s">
        <v>903</v>
      </c>
      <c r="B33" s="127" t="s">
        <v>50</v>
      </c>
      <c r="C33" s="291" t="str">
        <v>Devyani International Ltd</v>
      </c>
      <c r="D33" s="295">
        <v>0.000681745053329868</v>
      </c>
      <c r="E33" s="293">
        <f t="shared" si="0"/>
        <v>5.6812087777489e-5</v>
      </c>
      <c r="F33" s="291" t="str">
        <v>Consumer Discretionary</v>
      </c>
      <c r="G33" s="293">
        <f t="shared" si="1"/>
        <v>5.6812087777489e-5</v>
      </c>
      <c r="H33" s="291"/>
      <c r="J33" s="36"/>
      <c r="M33" s="294" t="s">
        <v>904</v>
      </c>
      <c r="N33" s="300" t="s">
        <v>66</v>
      </c>
      <c r="O33" s="291" t="str">
        <v>Fortis Healthcare Ltd</v>
      </c>
      <c r="P33" s="301">
        <v>0.00802558257491031</v>
      </c>
      <c r="Q33" s="293">
        <f>P33*VLOOKUP(N33,'Selector Sheet '!$B$13:$D$43,2,FALSE)</f>
        <v>0</v>
      </c>
      <c r="R33" s="291" t="str">
        <v>Health Care</v>
      </c>
      <c r="S33" s="293">
        <f>P33*VLOOKUP(N33,'Selector Sheet '!$B$13:$D$43,2,FALSE)</f>
        <v>0</v>
      </c>
      <c r="T33" s="291"/>
      <c r="X33" s="291" t="str">
        <v>INE872J01023</v>
      </c>
      <c r="Z33" s="294" t="s">
        <v>903</v>
      </c>
      <c r="AB33" t="s">
        <v>903</v>
      </c>
      <c r="AC33" t="s">
        <v>905</v>
      </c>
      <c r="AD33" t="s">
        <v>838</v>
      </c>
      <c r="AE33">
        <v>1937.62493133545</v>
      </c>
      <c r="AF33">
        <v>0.851002874657759</v>
      </c>
      <c r="AG33">
        <v>91.49</v>
      </c>
      <c r="AH33">
        <v>0.08</v>
      </c>
      <c r="AI33">
        <v>190962599477.91</v>
      </c>
      <c r="AL33" s="125" t="str">
        <v/>
      </c>
      <c r="AM33" s="302" t="e">
        <v>#VALUE!</v>
      </c>
    </row>
    <row r="34" spans="1:39">
      <c r="A34" s="290" t="s">
        <v>892</v>
      </c>
      <c r="B34" s="127" t="s">
        <v>50</v>
      </c>
      <c r="C34" s="291" t="str">
        <v>Dixon Technologies India Ltd</v>
      </c>
      <c r="D34" s="292">
        <v>0.0358004135252035</v>
      </c>
      <c r="E34" s="293">
        <f t="shared" si="0"/>
        <v>0.00298336779376696</v>
      </c>
      <c r="F34" s="291" t="str">
        <v>Consumer Discretionary</v>
      </c>
      <c r="G34" s="293">
        <f t="shared" si="1"/>
        <v>0.00298336779376696</v>
      </c>
      <c r="H34" s="291"/>
      <c r="J34" s="36"/>
      <c r="M34" s="290" t="s">
        <v>906</v>
      </c>
      <c r="N34" s="298" t="s">
        <v>66</v>
      </c>
      <c r="O34" s="291" t="str">
        <v>GAIL India Ltd</v>
      </c>
      <c r="P34" s="299">
        <v>0.00803254020774976</v>
      </c>
      <c r="Q34" s="293">
        <f>P34*VLOOKUP(N34,'Selector Sheet '!$B$13:$D$43,2,FALSE)</f>
        <v>0</v>
      </c>
      <c r="R34" s="291" t="str">
        <v>Utilities</v>
      </c>
      <c r="S34" s="293">
        <f>P34*VLOOKUP(N34,'Selector Sheet '!$B$13:$D$43,2,FALSE)</f>
        <v>0</v>
      </c>
      <c r="T34" s="291"/>
      <c r="X34" s="291" t="str">
        <v>INE935N01020</v>
      </c>
      <c r="Z34" s="290" t="s">
        <v>892</v>
      </c>
      <c r="AB34" t="s">
        <v>892</v>
      </c>
      <c r="AC34" t="s">
        <v>907</v>
      </c>
      <c r="AD34" t="s">
        <v>838</v>
      </c>
      <c r="AE34">
        <v>92.3487961012881</v>
      </c>
      <c r="AF34">
        <v>46.5686868364842</v>
      </c>
      <c r="AG34">
        <v>10955.4</v>
      </c>
      <c r="AH34">
        <v>181.832365</v>
      </c>
      <c r="AI34">
        <v>1015948123096</v>
      </c>
      <c r="AL34" s="125" t="str">
        <v/>
      </c>
      <c r="AM34" s="302" t="e">
        <v>#VALUE!</v>
      </c>
    </row>
    <row r="35" spans="1:35">
      <c r="A35" s="294" t="s">
        <v>908</v>
      </c>
      <c r="B35" s="127" t="s">
        <v>50</v>
      </c>
      <c r="C35" s="291" t="str">
        <v>Doms Industries Ltd</v>
      </c>
      <c r="D35" s="295">
        <v>0.000929555212016861</v>
      </c>
      <c r="E35" s="293">
        <f t="shared" si="0"/>
        <v>7.74629343347384e-5</v>
      </c>
      <c r="F35" s="291" t="str">
        <v>Industrials</v>
      </c>
      <c r="G35" s="293">
        <f t="shared" si="1"/>
        <v>7.74629343347384e-5</v>
      </c>
      <c r="H35" s="291"/>
      <c r="J35" s="36"/>
      <c r="M35" s="294" t="s">
        <v>909</v>
      </c>
      <c r="N35" s="300" t="s">
        <v>66</v>
      </c>
      <c r="O35" s="291" t="str">
        <v>GE Vernova T&amp;D India Ltd</v>
      </c>
      <c r="P35" s="301">
        <v>0.00443803946133256</v>
      </c>
      <c r="Q35" s="293">
        <f>P35*VLOOKUP(N35,'Selector Sheet '!$B$13:$D$43,2,FALSE)</f>
        <v>0</v>
      </c>
      <c r="R35" s="291" t="str">
        <v>Industrials</v>
      </c>
      <c r="S35" s="293">
        <f>P35*VLOOKUP(N35,'Selector Sheet '!$B$13:$D$43,2,FALSE)</f>
        <v>0</v>
      </c>
      <c r="T35" s="291"/>
      <c r="X35" s="291" t="str">
        <v>INE321T01012</v>
      </c>
      <c r="Z35" s="294" t="s">
        <v>908</v>
      </c>
      <c r="AB35" t="s">
        <v>908</v>
      </c>
      <c r="AC35" t="s">
        <v>910</v>
      </c>
      <c r="AD35" t="s">
        <v>813</v>
      </c>
      <c r="AE35">
        <v>75.332936342419</v>
      </c>
      <c r="AF35">
        <v>22.2689323956178</v>
      </c>
      <c r="AG35">
        <v>2023.367</v>
      </c>
      <c r="AH35">
        <v>33.34</v>
      </c>
      <c r="AI35">
        <v>152422940997.6</v>
      </c>
    </row>
    <row r="36" spans="1:35">
      <c r="A36" s="290" t="s">
        <v>911</v>
      </c>
      <c r="B36" s="127" t="s">
        <v>50</v>
      </c>
      <c r="C36" s="291" t="str">
        <v>Dr Lal PathLabs Ltd</v>
      </c>
      <c r="D36" s="292">
        <v>0.00240850245785354</v>
      </c>
      <c r="E36" s="293">
        <f t="shared" si="0"/>
        <v>0.000200708538154462</v>
      </c>
      <c r="F36" s="291" t="str">
        <v>Health Care</v>
      </c>
      <c r="G36" s="293">
        <f t="shared" si="1"/>
        <v>0.000200708538154462</v>
      </c>
      <c r="H36" s="291"/>
      <c r="J36" s="36"/>
      <c r="M36" s="290" t="s">
        <v>912</v>
      </c>
      <c r="N36" s="298" t="s">
        <v>66</v>
      </c>
      <c r="O36" s="291" t="str">
        <v>GlaxoSmithKline Pharmaceutical</v>
      </c>
      <c r="P36" s="299">
        <v>0.00265815971752761</v>
      </c>
      <c r="Q36" s="293">
        <f>P36*VLOOKUP(N36,'Selector Sheet '!$B$13:$D$43,2,FALSE)</f>
        <v>0</v>
      </c>
      <c r="R36" s="291" t="str">
        <v>Health Care</v>
      </c>
      <c r="S36" s="293">
        <f>P36*VLOOKUP(N36,'Selector Sheet '!$B$13:$D$43,2,FALSE)</f>
        <v>0</v>
      </c>
      <c r="T36" s="291"/>
      <c r="X36" s="291" t="str">
        <v>INE600L01024</v>
      </c>
      <c r="Z36" s="290" t="s">
        <v>911</v>
      </c>
      <c r="AB36" t="s">
        <v>911</v>
      </c>
      <c r="AC36" t="s">
        <v>913</v>
      </c>
      <c r="AD36" t="s">
        <v>819</v>
      </c>
      <c r="AE36">
        <v>55.3370131373849</v>
      </c>
      <c r="AF36" t="s">
        <v>824</v>
      </c>
      <c r="AG36">
        <v>4871.38</v>
      </c>
      <c r="AH36">
        <v>58.48</v>
      </c>
      <c r="AI36">
        <v>284384346246</v>
      </c>
    </row>
    <row r="37" spans="1:35">
      <c r="A37" s="294" t="s">
        <v>914</v>
      </c>
      <c r="B37" s="127" t="s">
        <v>50</v>
      </c>
      <c r="C37" s="291" t="str">
        <v>EIH Ltd</v>
      </c>
      <c r="D37" s="295">
        <v>0.0180932295733983</v>
      </c>
      <c r="E37" s="293">
        <f t="shared" si="0"/>
        <v>0.00150776913111652</v>
      </c>
      <c r="F37" s="291" t="str">
        <v>Consumer Discretionary</v>
      </c>
      <c r="G37" s="293">
        <f t="shared" si="1"/>
        <v>0.00150776913111652</v>
      </c>
      <c r="H37" s="291"/>
      <c r="J37" s="36"/>
      <c r="M37" s="294" t="s">
        <v>915</v>
      </c>
      <c r="N37" s="300" t="s">
        <v>66</v>
      </c>
      <c r="O37" s="291" t="str">
        <v>Glenmark Pharmaceuticals Ltd</v>
      </c>
      <c r="P37" s="301">
        <v>0.00266935447059063</v>
      </c>
      <c r="Q37" s="293">
        <f>P37*VLOOKUP(N37,'Selector Sheet '!$B$13:$D$43,2,FALSE)</f>
        <v>0</v>
      </c>
      <c r="R37" s="291" t="str">
        <v>Health Care</v>
      </c>
      <c r="S37" s="293">
        <f>P37*VLOOKUP(N37,'Selector Sheet '!$B$13:$D$43,2,FALSE)</f>
        <v>0</v>
      </c>
      <c r="T37" s="291"/>
      <c r="X37" s="291" t="str">
        <v>INE230A01023</v>
      </c>
      <c r="Z37" s="294" t="s">
        <v>914</v>
      </c>
      <c r="AB37" t="s">
        <v>914</v>
      </c>
      <c r="AC37" t="s">
        <v>916</v>
      </c>
      <c r="AD37" t="s">
        <v>838</v>
      </c>
      <c r="AE37">
        <v>33.248730964467</v>
      </c>
      <c r="AF37">
        <v>17.2921314248291</v>
      </c>
      <c r="AG37">
        <v>7394.45</v>
      </c>
      <c r="AH37">
        <v>11.82</v>
      </c>
      <c r="AI37">
        <v>245768123526</v>
      </c>
    </row>
    <row r="38" spans="1:35">
      <c r="A38" s="290" t="s">
        <v>901</v>
      </c>
      <c r="B38" s="127" t="s">
        <v>50</v>
      </c>
      <c r="C38" s="291" t="str">
        <v>Eternal Ltd</v>
      </c>
      <c r="D38" s="292">
        <v>0.03062346412896</v>
      </c>
      <c r="E38" s="293">
        <f t="shared" si="0"/>
        <v>0.00255195534408</v>
      </c>
      <c r="F38" s="291" t="str">
        <v>Consumer Discretionary</v>
      </c>
      <c r="G38" s="293">
        <f t="shared" si="1"/>
        <v>0.00255195534408</v>
      </c>
      <c r="H38" s="291"/>
      <c r="J38" s="36"/>
      <c r="M38" s="290" t="s">
        <v>917</v>
      </c>
      <c r="N38" s="298" t="s">
        <v>66</v>
      </c>
      <c r="O38" s="291" t="str">
        <v>Granules India Ltd</v>
      </c>
      <c r="P38" s="299">
        <v>0.00820352598917037</v>
      </c>
      <c r="Q38" s="293">
        <f>P38*VLOOKUP(N38,'Selector Sheet '!$B$13:$D$43,2,FALSE)</f>
        <v>0</v>
      </c>
      <c r="R38" s="291" t="str">
        <v>Health Care</v>
      </c>
      <c r="S38" s="293">
        <f>P38*VLOOKUP(N38,'Selector Sheet '!$B$13:$D$43,2,FALSE)</f>
        <v>0</v>
      </c>
      <c r="T38" s="291"/>
      <c r="X38" s="291" t="str">
        <v>INE758T01015</v>
      </c>
      <c r="Z38" s="290" t="s">
        <v>901</v>
      </c>
      <c r="AB38" t="s">
        <v>901</v>
      </c>
      <c r="AC38" t="s">
        <v>918</v>
      </c>
      <c r="AD38" t="s">
        <v>838</v>
      </c>
      <c r="AE38">
        <v>937.794135598575</v>
      </c>
      <c r="AF38">
        <v>1.16134545172066</v>
      </c>
      <c r="AG38">
        <v>5270</v>
      </c>
      <c r="AH38">
        <v>0.6</v>
      </c>
      <c r="AI38">
        <v>3077014303795.95</v>
      </c>
    </row>
    <row r="39" spans="1:35">
      <c r="A39" s="294" t="s">
        <v>909</v>
      </c>
      <c r="B39" s="127" t="s">
        <v>50</v>
      </c>
      <c r="C39" s="291" t="str">
        <v>GE Vernova T&amp;D India Ltd</v>
      </c>
      <c r="D39" s="295">
        <v>0.00615926265016223</v>
      </c>
      <c r="E39" s="293">
        <f t="shared" si="0"/>
        <v>0.000513271887513519</v>
      </c>
      <c r="F39" s="291" t="str">
        <v>Industrials</v>
      </c>
      <c r="G39" s="293">
        <f t="shared" si="1"/>
        <v>0.000513271887513519</v>
      </c>
      <c r="H39" s="291"/>
      <c r="J39" s="36"/>
      <c r="M39" s="294" t="s">
        <v>919</v>
      </c>
      <c r="N39" s="300" t="s">
        <v>66</v>
      </c>
      <c r="O39" s="291" t="str">
        <v>HCL Technologies Ltd</v>
      </c>
      <c r="P39" s="301">
        <v>0.0112779241369266</v>
      </c>
      <c r="Q39" s="293">
        <f>P39*VLOOKUP(N39,'Selector Sheet '!$B$13:$D$43,2,FALSE)</f>
        <v>0</v>
      </c>
      <c r="R39" s="291" t="str">
        <v>Information Technology</v>
      </c>
      <c r="S39" s="293">
        <f>P39*VLOOKUP(N39,'Selector Sheet '!$B$13:$D$43,2,FALSE)</f>
        <v>0</v>
      </c>
      <c r="T39" s="291"/>
      <c r="X39" s="291" t="str">
        <v>INE200A01026</v>
      </c>
      <c r="Z39" s="294" t="s">
        <v>909</v>
      </c>
      <c r="AB39" t="s">
        <v>909</v>
      </c>
      <c r="AC39" t="s">
        <v>920</v>
      </c>
      <c r="AD39" t="s">
        <v>813</v>
      </c>
      <c r="AE39">
        <v>120.574499059606</v>
      </c>
      <c r="AF39">
        <v>40.339516917823</v>
      </c>
      <c r="AG39">
        <v>6083.3</v>
      </c>
      <c r="AH39">
        <v>23.76</v>
      </c>
      <c r="AI39">
        <v>733534915794.75</v>
      </c>
    </row>
    <row r="40" spans="1:35">
      <c r="A40" s="290" t="s">
        <v>921</v>
      </c>
      <c r="B40" s="127" t="s">
        <v>50</v>
      </c>
      <c r="C40" s="291" t="str">
        <v>Global Health Ltd/India</v>
      </c>
      <c r="D40" s="292">
        <v>0.0112106729550078</v>
      </c>
      <c r="E40" s="293">
        <f t="shared" si="0"/>
        <v>0.00093422274625065</v>
      </c>
      <c r="F40" s="291" t="str">
        <v>Health Care</v>
      </c>
      <c r="G40" s="293">
        <f t="shared" si="1"/>
        <v>0.00093422274625065</v>
      </c>
      <c r="H40" s="291"/>
      <c r="J40" s="36"/>
      <c r="M40" s="290" t="s">
        <v>922</v>
      </c>
      <c r="N40" s="298" t="s">
        <v>66</v>
      </c>
      <c r="O40" s="291" t="str">
        <v>HDB Financial Services Ltd</v>
      </c>
      <c r="P40" s="299">
        <v>0.00119656431464983</v>
      </c>
      <c r="Q40" s="293">
        <f>P40*VLOOKUP(N40,'Selector Sheet '!$B$13:$D$43,2,FALSE)</f>
        <v>0</v>
      </c>
      <c r="R40" s="291" t="str">
        <v>Financials</v>
      </c>
      <c r="S40" s="293">
        <f>P40*VLOOKUP(N40,'Selector Sheet '!$B$13:$D$43,2,FALSE)</f>
        <v>0</v>
      </c>
      <c r="T40" s="291"/>
      <c r="X40" s="291" t="str">
        <v>INE474Q01031</v>
      </c>
      <c r="Z40" s="290" t="s">
        <v>921</v>
      </c>
      <c r="AB40" t="s">
        <v>921</v>
      </c>
      <c r="AC40" t="s">
        <v>923</v>
      </c>
      <c r="AD40" t="s">
        <v>819</v>
      </c>
      <c r="AE40">
        <v>68.8128772635815</v>
      </c>
      <c r="AF40" t="s">
        <v>824</v>
      </c>
      <c r="AG40">
        <v>4814.37</v>
      </c>
      <c r="AH40">
        <v>17.92</v>
      </c>
      <c r="AI40">
        <v>367554762576</v>
      </c>
    </row>
    <row r="41" spans="1:35">
      <c r="A41" s="294" t="s">
        <v>922</v>
      </c>
      <c r="B41" s="127" t="s">
        <v>50</v>
      </c>
      <c r="C41" s="291" t="str">
        <v>HDB Financial Services Ltd</v>
      </c>
      <c r="D41" s="295">
        <v>0.00132112320728379</v>
      </c>
      <c r="E41" s="293">
        <f t="shared" si="0"/>
        <v>0.000110093600606982</v>
      </c>
      <c r="F41" s="291" t="str">
        <v>Financials</v>
      </c>
      <c r="G41" s="293">
        <f t="shared" si="1"/>
        <v>0.000110093600606982</v>
      </c>
      <c r="H41" s="291"/>
      <c r="J41" s="36"/>
      <c r="M41" s="294" t="s">
        <v>924</v>
      </c>
      <c r="N41" s="300" t="s">
        <v>66</v>
      </c>
      <c r="O41" s="291" t="str">
        <v>HDFC Bank Ltd</v>
      </c>
      <c r="P41" s="301">
        <v>0.0542650566829357</v>
      </c>
      <c r="Q41" s="293">
        <f>P41*VLOOKUP(N41,'Selector Sheet '!$B$13:$D$43,2,FALSE)</f>
        <v>0</v>
      </c>
      <c r="R41" s="291" t="str">
        <v>Financials</v>
      </c>
      <c r="S41" s="293">
        <f>P41*VLOOKUP(N41,'Selector Sheet '!$B$13:$D$43,2,FALSE)</f>
        <v>0</v>
      </c>
      <c r="T41" s="291"/>
      <c r="X41" s="291" t="str">
        <v>INE756I01012</v>
      </c>
      <c r="Z41" s="294" t="s">
        <v>922</v>
      </c>
      <c r="AB41" t="s">
        <v>922</v>
      </c>
      <c r="AC41" t="s">
        <v>925</v>
      </c>
      <c r="AD41" t="s">
        <v>831</v>
      </c>
      <c r="AE41">
        <v>28.1551099345632</v>
      </c>
      <c r="AF41">
        <v>14.7208317575736</v>
      </c>
      <c r="AG41">
        <v>21759.2</v>
      </c>
      <c r="AH41">
        <v>27.4</v>
      </c>
      <c r="AI41">
        <v>639969251544.15</v>
      </c>
    </row>
    <row r="42" spans="1:35">
      <c r="A42" s="290" t="s">
        <v>926</v>
      </c>
      <c r="B42" s="127" t="s">
        <v>50</v>
      </c>
      <c r="C42" s="291" t="str">
        <v>HDFC Asset Management Co Ltd</v>
      </c>
      <c r="D42" s="292">
        <v>0.00821165615278081</v>
      </c>
      <c r="E42" s="293">
        <f t="shared" si="0"/>
        <v>0.000684304679398401</v>
      </c>
      <c r="F42" s="291" t="str">
        <v>Financials</v>
      </c>
      <c r="G42" s="293">
        <f t="shared" si="1"/>
        <v>0.000684304679398401</v>
      </c>
      <c r="H42" s="291"/>
      <c r="J42" s="36"/>
      <c r="M42" s="290" t="s">
        <v>927</v>
      </c>
      <c r="N42" s="298" t="s">
        <v>66</v>
      </c>
      <c r="O42" s="291" t="str">
        <v>HDFC Life Insurance Co Ltd</v>
      </c>
      <c r="P42" s="299">
        <v>0.00956556470192418</v>
      </c>
      <c r="Q42" s="293">
        <f>P42*VLOOKUP(N42,'Selector Sheet '!$B$13:$D$43,2,FALSE)</f>
        <v>0</v>
      </c>
      <c r="R42" s="291" t="str">
        <v>Financials</v>
      </c>
      <c r="S42" s="293">
        <f>P42*VLOOKUP(N42,'Selector Sheet '!$B$13:$D$43,2,FALSE)</f>
        <v>0</v>
      </c>
      <c r="T42" s="291"/>
      <c r="X42" s="291" t="str">
        <v>INE127D01025</v>
      </c>
      <c r="Z42" s="290" t="s">
        <v>926</v>
      </c>
      <c r="AB42" t="s">
        <v>926</v>
      </c>
      <c r="AC42" t="s">
        <v>928</v>
      </c>
      <c r="AD42" t="s">
        <v>831</v>
      </c>
      <c r="AE42">
        <v>49.1576936436263</v>
      </c>
      <c r="AF42">
        <v>32.360276224926</v>
      </c>
      <c r="AG42">
        <v>24601.9</v>
      </c>
      <c r="AH42">
        <v>115.16</v>
      </c>
      <c r="AI42">
        <v>1211106737277</v>
      </c>
    </row>
    <row r="43" spans="1:35">
      <c r="A43" s="294" t="s">
        <v>924</v>
      </c>
      <c r="B43" s="127" t="s">
        <v>50</v>
      </c>
      <c r="C43" s="291" t="str">
        <v>HDFC Bank Ltd</v>
      </c>
      <c r="D43" s="295">
        <v>8.78491846090029e-5</v>
      </c>
      <c r="E43" s="293">
        <f t="shared" si="0"/>
        <v>7.32076538408357e-6</v>
      </c>
      <c r="F43" s="291" t="str">
        <v>Financials</v>
      </c>
      <c r="G43" s="293">
        <f t="shared" si="1"/>
        <v>7.32076538408357e-6</v>
      </c>
      <c r="H43" s="291"/>
      <c r="J43" s="36"/>
      <c r="M43" s="294" t="s">
        <v>929</v>
      </c>
      <c r="N43" s="300" t="s">
        <v>66</v>
      </c>
      <c r="O43" s="291" t="str">
        <v>Hero MotoCorp Ltd</v>
      </c>
      <c r="P43" s="301">
        <v>0.00169888977052781</v>
      </c>
      <c r="Q43" s="293">
        <f>P43*VLOOKUP(N43,'Selector Sheet '!$B$13:$D$43,2,FALSE)</f>
        <v>0</v>
      </c>
      <c r="R43" s="291" t="str">
        <v>Consumer Discretionary</v>
      </c>
      <c r="S43" s="293">
        <f>P43*VLOOKUP(N43,'Selector Sheet '!$B$13:$D$43,2,FALSE)</f>
        <v>0</v>
      </c>
      <c r="T43" s="291"/>
      <c r="X43" s="291" t="str">
        <v>INE040A01034</v>
      </c>
      <c r="Z43" s="294" t="s">
        <v>924</v>
      </c>
      <c r="AB43" t="s">
        <v>924</v>
      </c>
      <c r="AC43" t="s">
        <v>930</v>
      </c>
      <c r="AD43" t="s">
        <v>831</v>
      </c>
      <c r="AE43">
        <v>21.849827293505</v>
      </c>
      <c r="AF43">
        <v>13.8590837529472</v>
      </c>
      <c r="AG43">
        <v>707922.5</v>
      </c>
      <c r="AH43">
        <v>92.81</v>
      </c>
      <c r="AI43">
        <v>15488407973015.7</v>
      </c>
    </row>
    <row r="44" spans="1:35">
      <c r="A44" s="290" t="s">
        <v>929</v>
      </c>
      <c r="B44" s="127" t="s">
        <v>50</v>
      </c>
      <c r="C44" s="291" t="str">
        <v>Hero MotoCorp Ltd</v>
      </c>
      <c r="D44" s="292">
        <v>0.00162131176914383</v>
      </c>
      <c r="E44" s="293">
        <f t="shared" si="0"/>
        <v>0.000135109314095319</v>
      </c>
      <c r="F44" s="291" t="str">
        <v>Consumer Discretionary</v>
      </c>
      <c r="G44" s="293">
        <f t="shared" si="1"/>
        <v>0.000135109314095319</v>
      </c>
      <c r="H44" s="291"/>
      <c r="J44" s="36"/>
      <c r="M44" s="290" t="s">
        <v>931</v>
      </c>
      <c r="N44" s="298" t="s">
        <v>66</v>
      </c>
      <c r="O44" s="291" t="str">
        <v>Hindalco Industries Ltd</v>
      </c>
      <c r="P44" s="299">
        <v>0.00787428923969482</v>
      </c>
      <c r="Q44" s="293">
        <f>P44*VLOOKUP(N44,'Selector Sheet '!$B$13:$D$43,2,FALSE)</f>
        <v>0</v>
      </c>
      <c r="R44" s="291" t="str">
        <v>Materials</v>
      </c>
      <c r="S44" s="293">
        <f>P44*VLOOKUP(N44,'Selector Sheet '!$B$13:$D$43,2,FALSE)</f>
        <v>0</v>
      </c>
      <c r="T44" s="291"/>
      <c r="X44" s="291" t="str">
        <v>INE158A01026</v>
      </c>
      <c r="Z44" s="290" t="s">
        <v>929</v>
      </c>
      <c r="AB44" t="s">
        <v>929</v>
      </c>
      <c r="AC44" t="s">
        <v>932</v>
      </c>
      <c r="AD44" t="s">
        <v>838</v>
      </c>
      <c r="AE44">
        <v>23.1852845375582</v>
      </c>
      <c r="AF44">
        <v>23.686049807741</v>
      </c>
      <c r="AG44">
        <v>43784.8</v>
      </c>
      <c r="AH44">
        <v>218.96</v>
      </c>
      <c r="AI44">
        <v>1015674501469</v>
      </c>
    </row>
    <row r="45" spans="1:35">
      <c r="A45" s="294" t="s">
        <v>933</v>
      </c>
      <c r="B45" s="127" t="s">
        <v>50</v>
      </c>
      <c r="C45" s="291" t="str">
        <v>Hindustan Zinc Ltd</v>
      </c>
      <c r="D45" s="295">
        <v>0.000767840854943913</v>
      </c>
      <c r="E45" s="293">
        <f t="shared" si="0"/>
        <v>6.39867379119927e-5</v>
      </c>
      <c r="F45" s="291" t="str">
        <v>Materials</v>
      </c>
      <c r="G45" s="293">
        <f t="shared" si="1"/>
        <v>6.39867379119927e-5</v>
      </c>
      <c r="H45" s="291"/>
      <c r="J45" s="36"/>
      <c r="M45" s="294" t="s">
        <v>934</v>
      </c>
      <c r="N45" s="300" t="s">
        <v>66</v>
      </c>
      <c r="O45" s="291" t="str">
        <v>Hindustan Unilever Ltd</v>
      </c>
      <c r="P45" s="301">
        <v>0.00716634618949876</v>
      </c>
      <c r="Q45" s="293">
        <f>P45*VLOOKUP(N45,'Selector Sheet '!$B$13:$D$43,2,FALSE)</f>
        <v>0</v>
      </c>
      <c r="R45" s="291" t="str">
        <v>Consumer Staples</v>
      </c>
      <c r="S45" s="293">
        <f>P45*VLOOKUP(N45,'Selector Sheet '!$B$13:$D$43,2,FALSE)</f>
        <v>0</v>
      </c>
      <c r="T45" s="291"/>
      <c r="X45" s="291" t="str">
        <v>INE267A01025</v>
      </c>
      <c r="Z45" s="294" t="s">
        <v>933</v>
      </c>
      <c r="AB45" t="s">
        <v>933</v>
      </c>
      <c r="AC45" t="s">
        <v>935</v>
      </c>
      <c r="AD45" t="s">
        <v>823</v>
      </c>
      <c r="AE45">
        <v>17.6164953487436</v>
      </c>
      <c r="AF45" t="s">
        <v>824</v>
      </c>
      <c r="AG45">
        <v>103530</v>
      </c>
      <c r="AH45">
        <v>24.5</v>
      </c>
      <c r="AI45">
        <v>1805056276800</v>
      </c>
    </row>
    <row r="46" spans="1:35">
      <c r="A46" s="290" t="s">
        <v>936</v>
      </c>
      <c r="B46" s="127" t="s">
        <v>50</v>
      </c>
      <c r="C46" s="291" t="str">
        <v>ICICI Bank Ltd</v>
      </c>
      <c r="D46" s="292">
        <v>0.0672852074814301</v>
      </c>
      <c r="E46" s="293">
        <f t="shared" si="0"/>
        <v>0.00560710062345251</v>
      </c>
      <c r="F46" s="291" t="str">
        <v>Financials</v>
      </c>
      <c r="G46" s="293">
        <f t="shared" si="1"/>
        <v>0.00560710062345251</v>
      </c>
      <c r="H46" s="291"/>
      <c r="J46" s="36"/>
      <c r="M46" s="290" t="s">
        <v>933</v>
      </c>
      <c r="N46" s="298" t="s">
        <v>66</v>
      </c>
      <c r="O46" s="291" t="str">
        <v>Hindustan Zinc Ltd</v>
      </c>
      <c r="P46" s="299">
        <v>0.00227859348465841</v>
      </c>
      <c r="Q46" s="293">
        <f>P46*VLOOKUP(N46,'Selector Sheet '!$B$13:$D$43,2,FALSE)</f>
        <v>0</v>
      </c>
      <c r="R46" s="291" t="str">
        <v>Materials</v>
      </c>
      <c r="S46" s="293">
        <f>P46*VLOOKUP(N46,'Selector Sheet '!$B$13:$D$43,2,FALSE)</f>
        <v>0</v>
      </c>
      <c r="T46" s="291"/>
      <c r="X46" s="291" t="str">
        <v>INE090A01021</v>
      </c>
      <c r="Z46" s="290" t="s">
        <v>936</v>
      </c>
      <c r="AB46" t="s">
        <v>936</v>
      </c>
      <c r="AC46" t="s">
        <v>937</v>
      </c>
      <c r="AD46" t="s">
        <v>831</v>
      </c>
      <c r="AE46">
        <v>19.3808511477417</v>
      </c>
      <c r="AF46">
        <v>17.5622554301506</v>
      </c>
      <c r="AG46">
        <v>510291.955</v>
      </c>
      <c r="AH46">
        <v>72.41</v>
      </c>
      <c r="AI46">
        <v>10346886559298.7</v>
      </c>
    </row>
    <row r="47" spans="1:35">
      <c r="A47" s="294" t="s">
        <v>938</v>
      </c>
      <c r="B47" s="127" t="s">
        <v>50</v>
      </c>
      <c r="C47" s="291" t="str">
        <v>Indian Bank</v>
      </c>
      <c r="D47" s="295">
        <v>0.00509191814859069</v>
      </c>
      <c r="E47" s="293">
        <f t="shared" si="0"/>
        <v>0.000424326512382557</v>
      </c>
      <c r="F47" s="291" t="str">
        <v>Financials</v>
      </c>
      <c r="G47" s="293">
        <f t="shared" si="1"/>
        <v>0.000424326512382557</v>
      </c>
      <c r="H47" s="291"/>
      <c r="J47" s="36"/>
      <c r="M47" s="294" t="s">
        <v>939</v>
      </c>
      <c r="N47" s="300" t="s">
        <v>66</v>
      </c>
      <c r="O47" s="291" t="str">
        <v>Housing &amp; Urban Development Co</v>
      </c>
      <c r="P47" s="301">
        <v>0.00304666142717826</v>
      </c>
      <c r="Q47" s="293">
        <f>P47*VLOOKUP(N47,'Selector Sheet '!$B$13:$D$43,2,FALSE)</f>
        <v>0</v>
      </c>
      <c r="R47" s="291" t="str">
        <v>Financials</v>
      </c>
      <c r="S47" s="293">
        <f>P47*VLOOKUP(N47,'Selector Sheet '!$B$13:$D$43,2,FALSE)</f>
        <v>0</v>
      </c>
      <c r="T47" s="291"/>
      <c r="X47" s="291" t="str">
        <v>INE562A01011</v>
      </c>
      <c r="Z47" s="294" t="s">
        <v>938</v>
      </c>
      <c r="AB47" t="s">
        <v>938</v>
      </c>
      <c r="AC47" t="s">
        <v>940</v>
      </c>
      <c r="AD47" t="s">
        <v>831</v>
      </c>
      <c r="AE47">
        <v>8.0821672048798</v>
      </c>
      <c r="AF47">
        <v>17.0937691705846</v>
      </c>
      <c r="AG47">
        <v>112614.7</v>
      </c>
      <c r="AH47">
        <v>83.61</v>
      </c>
      <c r="AI47">
        <v>910210910160.75</v>
      </c>
    </row>
    <row r="48" spans="1:35">
      <c r="A48" s="290" t="s">
        <v>941</v>
      </c>
      <c r="B48" s="127" t="s">
        <v>50</v>
      </c>
      <c r="C48" s="291" t="str">
        <v>ITC Hotels Ltd</v>
      </c>
      <c r="D48" s="292">
        <v>0.00708638739155439</v>
      </c>
      <c r="E48" s="293">
        <f t="shared" si="0"/>
        <v>0.000590532282629532</v>
      </c>
      <c r="F48" s="291" t="str">
        <v>Consumer Discretionary</v>
      </c>
      <c r="G48" s="293">
        <f t="shared" si="1"/>
        <v>0.000590532282629532</v>
      </c>
      <c r="H48" s="291"/>
      <c r="J48" s="36"/>
      <c r="M48" s="290" t="s">
        <v>936</v>
      </c>
      <c r="N48" s="298" t="s">
        <v>66</v>
      </c>
      <c r="O48" s="291" t="str">
        <v>ICICI Bank Ltd</v>
      </c>
      <c r="P48" s="299">
        <v>0.0487713801509946</v>
      </c>
      <c r="Q48" s="293">
        <f>P48*VLOOKUP(N48,'Selector Sheet '!$B$13:$D$43,2,FALSE)</f>
        <v>0</v>
      </c>
      <c r="R48" s="291" t="str">
        <v>Financials</v>
      </c>
      <c r="S48" s="293">
        <f>P48*VLOOKUP(N48,'Selector Sheet '!$B$13:$D$43,2,FALSE)</f>
        <v>0</v>
      </c>
      <c r="T48" s="291"/>
      <c r="X48" s="291" t="str">
        <v>INE379A01028</v>
      </c>
      <c r="Z48" s="290" t="s">
        <v>941</v>
      </c>
      <c r="AB48" t="s">
        <v>941</v>
      </c>
      <c r="AC48" t="s">
        <v>942</v>
      </c>
      <c r="AD48" t="s">
        <v>838</v>
      </c>
      <c r="AE48">
        <v>75.4950801661757</v>
      </c>
      <c r="AF48">
        <v>11.7771676803503</v>
      </c>
      <c r="AG48">
        <v>6345.7</v>
      </c>
      <c r="AH48">
        <v>3.05</v>
      </c>
      <c r="AI48">
        <v>479490094900.92</v>
      </c>
    </row>
    <row r="49" spans="1:35">
      <c r="A49" s="294" t="s">
        <v>943</v>
      </c>
      <c r="B49" s="127" t="s">
        <v>50</v>
      </c>
      <c r="C49" s="291" t="str">
        <v>JK Cement Ltd</v>
      </c>
      <c r="D49" s="295">
        <v>0.0119346244418592</v>
      </c>
      <c r="E49" s="293">
        <f t="shared" si="0"/>
        <v>0.0009945520368216</v>
      </c>
      <c r="F49" s="291" t="str">
        <v>Materials</v>
      </c>
      <c r="G49" s="293">
        <f t="shared" si="1"/>
        <v>0.0009945520368216</v>
      </c>
      <c r="H49" s="291"/>
      <c r="J49" s="36"/>
      <c r="M49" s="294" t="s">
        <v>938</v>
      </c>
      <c r="N49" s="300" t="s">
        <v>66</v>
      </c>
      <c r="O49" s="291" t="str">
        <v>Indian Bank</v>
      </c>
      <c r="P49" s="301">
        <v>0.00457881035407401</v>
      </c>
      <c r="Q49" s="293">
        <f>P49*VLOOKUP(N49,'Selector Sheet '!$B$13:$D$43,2,FALSE)</f>
        <v>0</v>
      </c>
      <c r="R49" s="291" t="str">
        <v>Financials</v>
      </c>
      <c r="S49" s="293">
        <f>P49*VLOOKUP(N49,'Selector Sheet '!$B$13:$D$43,2,FALSE)</f>
        <v>0</v>
      </c>
      <c r="T49" s="291"/>
      <c r="X49" s="291" t="str">
        <v>INE823G01014</v>
      </c>
      <c r="Z49" s="294" t="s">
        <v>943</v>
      </c>
      <c r="AB49" t="s">
        <v>943</v>
      </c>
      <c r="AC49" t="s">
        <v>944</v>
      </c>
      <c r="AD49" t="s">
        <v>823</v>
      </c>
      <c r="AE49">
        <v>64.8600143575018</v>
      </c>
      <c r="AF49">
        <v>15.0333620807045</v>
      </c>
      <c r="AG49">
        <v>8611.2</v>
      </c>
      <c r="AH49">
        <v>111.44</v>
      </c>
      <c r="AI49">
        <v>558495590432</v>
      </c>
    </row>
    <row r="50" spans="1:35">
      <c r="A50" s="290" t="s">
        <v>945</v>
      </c>
      <c r="B50" s="127" t="s">
        <v>50</v>
      </c>
      <c r="C50" s="291" t="str">
        <v>KPR Mill Ltd</v>
      </c>
      <c r="D50" s="292">
        <v>0.00522299135506647</v>
      </c>
      <c r="E50" s="293">
        <f t="shared" si="0"/>
        <v>0.000435249279588872</v>
      </c>
      <c r="F50" s="291" t="str">
        <v>Consumer Discretionary</v>
      </c>
      <c r="G50" s="293">
        <f t="shared" si="1"/>
        <v>0.000435249279588872</v>
      </c>
      <c r="H50" s="291"/>
      <c r="J50" s="36"/>
      <c r="M50" s="290" t="s">
        <v>946</v>
      </c>
      <c r="N50" s="298" t="s">
        <v>66</v>
      </c>
      <c r="O50" s="291" t="str">
        <v>Indian Energy Exchange Ltd</v>
      </c>
      <c r="P50" s="299">
        <v>0</v>
      </c>
      <c r="Q50" s="293">
        <f>P50*VLOOKUP(N50,'Selector Sheet '!$B$13:$D$43,2,FALSE)</f>
        <v>0</v>
      </c>
      <c r="R50" s="291" t="str">
        <v>Financials</v>
      </c>
      <c r="S50" s="293">
        <f>P50*VLOOKUP(N50,'Selector Sheet '!$B$13:$D$43,2,FALSE)</f>
        <v>0</v>
      </c>
      <c r="T50" s="291"/>
      <c r="X50" s="291" t="str">
        <v>INE930H01031</v>
      </c>
      <c r="Z50" s="290" t="s">
        <v>945</v>
      </c>
      <c r="AB50" t="s">
        <v>945</v>
      </c>
      <c r="AC50" t="s">
        <v>947</v>
      </c>
      <c r="AD50" t="s">
        <v>838</v>
      </c>
      <c r="AE50">
        <v>40.9685524354691</v>
      </c>
      <c r="AF50">
        <v>17.4164523734994</v>
      </c>
      <c r="AG50">
        <v>8151.1</v>
      </c>
      <c r="AH50">
        <v>23.85</v>
      </c>
      <c r="AI50">
        <v>333986459400</v>
      </c>
    </row>
    <row r="51" spans="1:35">
      <c r="A51" s="294" t="s">
        <v>948</v>
      </c>
      <c r="B51" s="127" t="s">
        <v>50</v>
      </c>
      <c r="C51" s="291" t="str">
        <v>Kajaria Ceramics Ltd</v>
      </c>
      <c r="D51" s="295">
        <v>0.00276558986342051</v>
      </c>
      <c r="E51" s="293">
        <f t="shared" si="0"/>
        <v>0.000230465821951709</v>
      </c>
      <c r="F51" s="291" t="str">
        <v>Industrials</v>
      </c>
      <c r="G51" s="293">
        <f t="shared" si="1"/>
        <v>0.000230465821951709</v>
      </c>
      <c r="H51" s="291"/>
      <c r="J51" s="36"/>
      <c r="M51" s="294" t="s">
        <v>949</v>
      </c>
      <c r="N51" s="300" t="s">
        <v>66</v>
      </c>
      <c r="O51" s="291" t="str">
        <v>Indiqube Spaces Ltd</v>
      </c>
      <c r="P51" s="301">
        <v>0.000872041556862126</v>
      </c>
      <c r="Q51" s="293">
        <f>P51*VLOOKUP(N51,'Selector Sheet '!$B$13:$D$43,2,FALSE)</f>
        <v>0</v>
      </c>
      <c r="R51" s="291" t="str">
        <v>Real Estate</v>
      </c>
      <c r="S51" s="293">
        <f>P51*VLOOKUP(N51,'Selector Sheet '!$B$13:$D$43,2,FALSE)</f>
        <v>0</v>
      </c>
      <c r="T51" s="291"/>
      <c r="X51" s="291" t="str">
        <v>INE217B01036</v>
      </c>
      <c r="Z51" s="294" t="s">
        <v>948</v>
      </c>
      <c r="AB51" t="s">
        <v>948</v>
      </c>
      <c r="AC51" t="s">
        <v>950</v>
      </c>
      <c r="AD51" t="s">
        <v>813</v>
      </c>
      <c r="AE51">
        <v>59.8558150890262</v>
      </c>
      <c r="AF51">
        <v>10.9814265221876</v>
      </c>
      <c r="AG51">
        <v>2943.5</v>
      </c>
      <c r="AH51">
        <v>18.48</v>
      </c>
      <c r="AI51">
        <v>204967510001</v>
      </c>
    </row>
    <row r="52" spans="1:35">
      <c r="A52" s="290" t="s">
        <v>951</v>
      </c>
      <c r="B52" s="127" t="s">
        <v>50</v>
      </c>
      <c r="C52" s="291" t="str">
        <v>Kaynes Technology India Ltd</v>
      </c>
      <c r="D52" s="292">
        <v>0.0113494211258878</v>
      </c>
      <c r="E52" s="293">
        <f t="shared" si="0"/>
        <v>0.000945785093823983</v>
      </c>
      <c r="F52" s="291" t="str">
        <v>Information Technology</v>
      </c>
      <c r="G52" s="293">
        <f t="shared" si="1"/>
        <v>0.000945785093823983</v>
      </c>
      <c r="H52" s="291"/>
      <c r="J52" s="36"/>
      <c r="M52" s="290" t="s">
        <v>952</v>
      </c>
      <c r="N52" s="298" t="s">
        <v>66</v>
      </c>
      <c r="O52" s="291" t="str">
        <v>Indus Towers Ltd</v>
      </c>
      <c r="P52" s="299">
        <v>0.00469083606035407</v>
      </c>
      <c r="Q52" s="293">
        <f>P52*VLOOKUP(N52,'Selector Sheet '!$B$13:$D$43,2,FALSE)</f>
        <v>0</v>
      </c>
      <c r="R52" s="291" t="str">
        <v>Communication Services</v>
      </c>
      <c r="S52" s="293">
        <f>P52*VLOOKUP(N52,'Selector Sheet '!$B$13:$D$43,2,FALSE)</f>
        <v>0</v>
      </c>
      <c r="T52" s="291"/>
      <c r="X52" s="291" t="str">
        <v>INE918Z01012</v>
      </c>
      <c r="Z52" s="290" t="s">
        <v>951</v>
      </c>
      <c r="AB52" t="s">
        <v>951</v>
      </c>
      <c r="AC52" t="s">
        <v>953</v>
      </c>
      <c r="AD52" t="s">
        <v>884</v>
      </c>
      <c r="AE52">
        <v>136.277843266852</v>
      </c>
      <c r="AF52">
        <v>11.0165118340035</v>
      </c>
      <c r="AG52">
        <v>2934.33</v>
      </c>
      <c r="AH52">
        <v>45.788808</v>
      </c>
      <c r="AI52">
        <v>417812260320</v>
      </c>
    </row>
    <row r="53" spans="1:35">
      <c r="A53" s="294" t="s">
        <v>954</v>
      </c>
      <c r="B53" s="127" t="s">
        <v>50</v>
      </c>
      <c r="C53" s="291" t="str">
        <v>KNR Constructions Ltd</v>
      </c>
      <c r="D53" s="295">
        <v>0.00230871617919404</v>
      </c>
      <c r="E53" s="293">
        <f t="shared" si="0"/>
        <v>0.000192393014932837</v>
      </c>
      <c r="F53" s="291" t="str">
        <v>Industrials</v>
      </c>
      <c r="G53" s="293">
        <f t="shared" si="1"/>
        <v>0.000192393014932837</v>
      </c>
      <c r="H53" s="291"/>
      <c r="J53" s="36"/>
      <c r="M53" s="294" t="s">
        <v>955</v>
      </c>
      <c r="N53" s="300" t="s">
        <v>66</v>
      </c>
      <c r="O53" s="291" t="str">
        <v>Infosys Ltd</v>
      </c>
      <c r="P53" s="301">
        <v>0.0250071630393595</v>
      </c>
      <c r="Q53" s="293">
        <f>P53*VLOOKUP(N53,'Selector Sheet '!$B$13:$D$43,2,FALSE)</f>
        <v>0</v>
      </c>
      <c r="R53" s="291" t="str">
        <v>Information Technology</v>
      </c>
      <c r="S53" s="293">
        <f>P53*VLOOKUP(N53,'Selector Sheet '!$B$13:$D$43,2,FALSE)</f>
        <v>0</v>
      </c>
      <c r="T53" s="291"/>
      <c r="X53" s="291" t="str">
        <v>INE634I01029</v>
      </c>
      <c r="Z53" s="294" t="s">
        <v>954</v>
      </c>
      <c r="AB53" t="s">
        <v>954</v>
      </c>
      <c r="AC53" t="s">
        <v>956</v>
      </c>
      <c r="AD53" t="s">
        <v>813</v>
      </c>
      <c r="AE53">
        <v>5.64261666179573</v>
      </c>
      <c r="AF53">
        <v>24.7519145646276</v>
      </c>
      <c r="AG53">
        <v>10018.741</v>
      </c>
      <c r="AH53">
        <v>35.62</v>
      </c>
      <c r="AI53">
        <v>56525342254</v>
      </c>
    </row>
    <row r="54" spans="1:35">
      <c r="A54" s="290" t="s">
        <v>957</v>
      </c>
      <c r="B54" s="127" t="s">
        <v>50</v>
      </c>
      <c r="C54" s="291" t="str">
        <v>KPIT Technologies Ltd</v>
      </c>
      <c r="D54" s="292">
        <v>0.0348890653169646</v>
      </c>
      <c r="E54" s="293">
        <f t="shared" si="0"/>
        <v>0.00290742210974705</v>
      </c>
      <c r="F54" s="291" t="str">
        <v>Information Technology</v>
      </c>
      <c r="G54" s="293">
        <f t="shared" si="1"/>
        <v>0.00290742210974705</v>
      </c>
      <c r="H54" s="291"/>
      <c r="J54" s="36"/>
      <c r="M54" s="290" t="s">
        <v>958</v>
      </c>
      <c r="N54" s="298" t="s">
        <v>66</v>
      </c>
      <c r="O54" s="291" t="str">
        <v>InterGlobe Aviation Ltd</v>
      </c>
      <c r="P54" s="299">
        <v>0.00665962726209745</v>
      </c>
      <c r="Q54" s="293">
        <f>P54*VLOOKUP(N54,'Selector Sheet '!$B$13:$D$43,2,FALSE)</f>
        <v>0</v>
      </c>
      <c r="R54" s="291" t="str">
        <v>Industrials</v>
      </c>
      <c r="S54" s="293">
        <f>P54*VLOOKUP(N54,'Selector Sheet '!$B$13:$D$43,2,FALSE)</f>
        <v>0</v>
      </c>
      <c r="T54" s="291"/>
      <c r="X54" s="291" t="str">
        <v>INE04I401011</v>
      </c>
      <c r="Z54" s="290" t="s">
        <v>957</v>
      </c>
      <c r="AB54" t="s">
        <v>957</v>
      </c>
      <c r="AC54" t="s">
        <v>959</v>
      </c>
      <c r="AD54" t="s">
        <v>884</v>
      </c>
      <c r="AE54">
        <v>39.6055609440672</v>
      </c>
      <c r="AF54">
        <v>33.1987878251077</v>
      </c>
      <c r="AG54">
        <v>8396</v>
      </c>
      <c r="AH54">
        <v>30.93</v>
      </c>
      <c r="AI54">
        <v>335826164800</v>
      </c>
    </row>
    <row r="55" spans="1:35">
      <c r="A55" s="294" t="s">
        <v>960</v>
      </c>
      <c r="B55" s="127" t="s">
        <v>50</v>
      </c>
      <c r="C55" s="291" t="str">
        <v>Linde India Ltd</v>
      </c>
      <c r="D55" s="295">
        <v>0.00121698086774619</v>
      </c>
      <c r="E55" s="293">
        <f t="shared" si="0"/>
        <v>0.000101415072312183</v>
      </c>
      <c r="F55" s="291" t="str">
        <v>Materials</v>
      </c>
      <c r="G55" s="293">
        <f t="shared" si="1"/>
        <v>0.000101415072312183</v>
      </c>
      <c r="H55" s="291"/>
      <c r="J55" s="36"/>
      <c r="M55" s="294" t="s">
        <v>961</v>
      </c>
      <c r="N55" s="300" t="s">
        <v>66</v>
      </c>
      <c r="O55" s="291" t="str">
        <v>ITC Ltd</v>
      </c>
      <c r="P55" s="301">
        <v>0.0168355170802108</v>
      </c>
      <c r="Q55" s="293">
        <f>P55*VLOOKUP(N55,'Selector Sheet '!$B$13:$D$43,2,FALSE)</f>
        <v>0</v>
      </c>
      <c r="R55" s="291" t="str">
        <v>Consumer Staples</v>
      </c>
      <c r="S55" s="293">
        <f>P55*VLOOKUP(N55,'Selector Sheet '!$B$13:$D$43,2,FALSE)</f>
        <v>0</v>
      </c>
      <c r="T55" s="291"/>
      <c r="X55" s="291" t="str">
        <v>INE473A01011</v>
      </c>
      <c r="Z55" s="294" t="s">
        <v>960</v>
      </c>
      <c r="AB55" t="s">
        <v>960</v>
      </c>
      <c r="AC55" t="s">
        <v>962</v>
      </c>
      <c r="AD55" t="s">
        <v>823</v>
      </c>
      <c r="AE55">
        <v>117.316707294206</v>
      </c>
      <c r="AF55">
        <v>12.4813813118313</v>
      </c>
      <c r="AG55">
        <v>4548.45</v>
      </c>
      <c r="AH55">
        <v>53.33</v>
      </c>
      <c r="AI55">
        <v>533580741199.5</v>
      </c>
    </row>
    <row r="56" spans="1:35">
      <c r="A56" s="290" t="s">
        <v>963</v>
      </c>
      <c r="B56" s="127" t="s">
        <v>50</v>
      </c>
      <c r="C56" s="291" t="str">
        <v>LTIMindtree Ltd</v>
      </c>
      <c r="D56" s="292">
        <v>0.00190104680526358</v>
      </c>
      <c r="E56" s="293">
        <f t="shared" si="0"/>
        <v>0.000158420567105298</v>
      </c>
      <c r="F56" s="291" t="str">
        <v>Information Technology</v>
      </c>
      <c r="G56" s="293">
        <f t="shared" si="1"/>
        <v>0.000158420567105298</v>
      </c>
      <c r="H56" s="291"/>
      <c r="J56" s="36"/>
      <c r="M56" s="290" t="s">
        <v>964</v>
      </c>
      <c r="N56" s="298" t="s">
        <v>66</v>
      </c>
      <c r="O56" s="291" t="str">
        <v>JSW Energy Ltd</v>
      </c>
      <c r="P56" s="299">
        <v>0.00785155576070931</v>
      </c>
      <c r="Q56" s="293">
        <f>P56*VLOOKUP(N56,'Selector Sheet '!$B$13:$D$43,2,FALSE)</f>
        <v>0</v>
      </c>
      <c r="R56" s="291" t="str">
        <v>Utilities</v>
      </c>
      <c r="S56" s="293">
        <f>P56*VLOOKUP(N56,'Selector Sheet '!$B$13:$D$43,2,FALSE)</f>
        <v>0</v>
      </c>
      <c r="T56" s="291"/>
      <c r="X56" s="291" t="str">
        <v>INE214T01019</v>
      </c>
      <c r="Z56" s="290" t="s">
        <v>963</v>
      </c>
      <c r="AB56" t="s">
        <v>963</v>
      </c>
      <c r="AC56" t="s">
        <v>965</v>
      </c>
      <c r="AD56" t="s">
        <v>884</v>
      </c>
      <c r="AE56">
        <v>32.0320654181671</v>
      </c>
      <c r="AF56">
        <v>22.1334196344398</v>
      </c>
      <c r="AG56">
        <v>45987</v>
      </c>
      <c r="AH56">
        <v>155.361486</v>
      </c>
      <c r="AI56">
        <v>1513355798813</v>
      </c>
    </row>
    <row r="57" spans="1:35">
      <c r="A57" s="294" t="s">
        <v>966</v>
      </c>
      <c r="B57" s="127" t="s">
        <v>50</v>
      </c>
      <c r="C57" s="291" t="str">
        <v>Mahindra &amp; Mahindra Ltd</v>
      </c>
      <c r="D57" s="295">
        <v>0.023650475217084</v>
      </c>
      <c r="E57" s="293">
        <f t="shared" si="0"/>
        <v>0.001970872934757</v>
      </c>
      <c r="F57" s="291" t="str">
        <v>Consumer Discretionary</v>
      </c>
      <c r="G57" s="293">
        <f t="shared" si="1"/>
        <v>0.001970872934757</v>
      </c>
      <c r="H57" s="291"/>
      <c r="J57" s="36"/>
      <c r="M57" s="294" t="s">
        <v>967</v>
      </c>
      <c r="N57" s="300" t="s">
        <v>66</v>
      </c>
      <c r="O57" s="291" t="str">
        <v>Jyoti CNC Automation Ltd</v>
      </c>
      <c r="P57" s="301">
        <v>0.00637480991688451</v>
      </c>
      <c r="Q57" s="293">
        <f>P57*VLOOKUP(N57,'Selector Sheet '!$B$13:$D$43,2,FALSE)</f>
        <v>0</v>
      </c>
      <c r="R57" s="291" t="str">
        <v>Industrials</v>
      </c>
      <c r="S57" s="293">
        <f>P57*VLOOKUP(N57,'Selector Sheet '!$B$13:$D$43,2,FALSE)</f>
        <v>0</v>
      </c>
      <c r="T57" s="291"/>
      <c r="X57" s="291" t="str">
        <v>INE101A01026</v>
      </c>
      <c r="Z57" s="294" t="s">
        <v>966</v>
      </c>
      <c r="AB57" t="s">
        <v>966</v>
      </c>
      <c r="AC57" t="s">
        <v>968</v>
      </c>
      <c r="AD57" t="s">
        <v>838</v>
      </c>
      <c r="AE57">
        <v>29.4081610833567</v>
      </c>
      <c r="AF57">
        <v>18.0536944193235</v>
      </c>
      <c r="AG57">
        <v>129291</v>
      </c>
      <c r="AH57">
        <v>115.91</v>
      </c>
      <c r="AI57">
        <v>4238816726229.7</v>
      </c>
    </row>
    <row r="58" spans="1:35">
      <c r="A58" s="290" t="s">
        <v>969</v>
      </c>
      <c r="B58" s="127" t="s">
        <v>50</v>
      </c>
      <c r="C58" s="291" t="str">
        <v>Mankind Pharma Ltd</v>
      </c>
      <c r="D58" s="292">
        <v>0.00234879741859441</v>
      </c>
      <c r="E58" s="293">
        <f t="shared" si="0"/>
        <v>0.000195733118216201</v>
      </c>
      <c r="F58" s="291" t="str">
        <v>Health Care</v>
      </c>
      <c r="G58" s="293">
        <f t="shared" si="1"/>
        <v>0.000195733118216201</v>
      </c>
      <c r="H58" s="291"/>
      <c r="J58" s="36"/>
      <c r="M58" s="290" t="s">
        <v>951</v>
      </c>
      <c r="N58" s="298" t="s">
        <v>66</v>
      </c>
      <c r="O58" s="291" t="str">
        <v>Kaynes Technology India Ltd</v>
      </c>
      <c r="P58" s="299">
        <v>0.00639143787761428</v>
      </c>
      <c r="Q58" s="293">
        <f>P58*VLOOKUP(N58,'Selector Sheet '!$B$13:$D$43,2,FALSE)</f>
        <v>0</v>
      </c>
      <c r="R58" s="291" t="str">
        <v>Information Technology</v>
      </c>
      <c r="S58" s="293">
        <f>P58*VLOOKUP(N58,'Selector Sheet '!$B$13:$D$43,2,FALSE)</f>
        <v>0</v>
      </c>
      <c r="T58" s="291"/>
      <c r="X58" s="291" t="str">
        <v>INE634S01028</v>
      </c>
      <c r="Z58" s="290" t="s">
        <v>969</v>
      </c>
      <c r="AB58" t="s">
        <v>969</v>
      </c>
      <c r="AC58" t="s">
        <v>970</v>
      </c>
      <c r="AD58" t="s">
        <v>819</v>
      </c>
      <c r="AE58">
        <v>51.2911442158056</v>
      </c>
      <c r="AF58">
        <v>16.8045551303455</v>
      </c>
      <c r="AG58">
        <v>19909.6</v>
      </c>
      <c r="AH58">
        <v>48.25651</v>
      </c>
      <c r="AI58">
        <v>1019233643186</v>
      </c>
    </row>
    <row r="59" spans="1:35">
      <c r="A59" s="294" t="s">
        <v>971</v>
      </c>
      <c r="B59" s="127" t="s">
        <v>50</v>
      </c>
      <c r="C59" s="291" t="str">
        <v>Max Healthcare Institute Ltd</v>
      </c>
      <c r="D59" s="295">
        <v>0.0201847062960786</v>
      </c>
      <c r="E59" s="293">
        <f t="shared" si="0"/>
        <v>0.00168205885800655</v>
      </c>
      <c r="F59" s="291" t="str">
        <v>Health Care</v>
      </c>
      <c r="G59" s="293">
        <f t="shared" si="1"/>
        <v>0.00168205885800655</v>
      </c>
      <c r="H59" s="291"/>
      <c r="J59" s="36"/>
      <c r="M59" s="294" t="s">
        <v>972</v>
      </c>
      <c r="N59" s="300" t="s">
        <v>66</v>
      </c>
      <c r="O59" s="291" t="str">
        <v>Kotak Mahindra Bank Ltd</v>
      </c>
      <c r="P59" s="301">
        <v>0.00280875728945916</v>
      </c>
      <c r="Q59" s="293">
        <f>P59*VLOOKUP(N59,'Selector Sheet '!$B$13:$D$43,2,FALSE)</f>
        <v>0</v>
      </c>
      <c r="R59" s="291" t="str">
        <v>Financials</v>
      </c>
      <c r="S59" s="293">
        <f>P59*VLOOKUP(N59,'Selector Sheet '!$B$13:$D$43,2,FALSE)</f>
        <v>0</v>
      </c>
      <c r="T59" s="291"/>
      <c r="X59" s="291" t="str">
        <v>INE027H01010</v>
      </c>
      <c r="Z59" s="294" t="s">
        <v>971</v>
      </c>
      <c r="AB59" t="s">
        <v>971</v>
      </c>
      <c r="AC59" t="s">
        <v>973</v>
      </c>
      <c r="AD59" t="s">
        <v>819</v>
      </c>
      <c r="AE59">
        <v>110.880754396737</v>
      </c>
      <c r="AF59">
        <v>12.0960075912038</v>
      </c>
      <c r="AG59">
        <v>10758.8</v>
      </c>
      <c r="AH59">
        <v>11.07</v>
      </c>
      <c r="AI59">
        <v>1193261642440.35</v>
      </c>
    </row>
    <row r="60" spans="1:35">
      <c r="A60" s="290" t="s">
        <v>974</v>
      </c>
      <c r="B60" s="127" t="s">
        <v>50</v>
      </c>
      <c r="C60" s="291" t="str">
        <v>Mphasis Ltd</v>
      </c>
      <c r="D60" s="292">
        <v>0.00118558435349272</v>
      </c>
      <c r="E60" s="293">
        <f t="shared" si="0"/>
        <v>9.87986961243933e-5</v>
      </c>
      <c r="F60" s="291" t="str">
        <v>Information Technology</v>
      </c>
      <c r="G60" s="293">
        <f t="shared" si="1"/>
        <v>9.87986961243933e-5</v>
      </c>
      <c r="H60" s="291"/>
      <c r="J60" s="36"/>
      <c r="M60" s="290" t="s">
        <v>975</v>
      </c>
      <c r="N60" s="298" t="s">
        <v>66</v>
      </c>
      <c r="O60" s="291" t="str">
        <v>Larsen &amp; Toubro Ltd</v>
      </c>
      <c r="P60" s="299">
        <v>0.0202646528744338</v>
      </c>
      <c r="Q60" s="293">
        <f>P60*VLOOKUP(N60,'Selector Sheet '!$B$13:$D$43,2,FALSE)</f>
        <v>0</v>
      </c>
      <c r="R60" s="291" t="str">
        <v>Industrials</v>
      </c>
      <c r="S60" s="293">
        <f>P60*VLOOKUP(N60,'Selector Sheet '!$B$13:$D$43,2,FALSE)</f>
        <v>0</v>
      </c>
      <c r="T60" s="291"/>
      <c r="X60" s="291" t="str">
        <v>INE356A01018</v>
      </c>
      <c r="Z60" s="290" t="s">
        <v>974</v>
      </c>
      <c r="AB60" t="s">
        <v>974</v>
      </c>
      <c r="AC60" t="s">
        <v>976</v>
      </c>
      <c r="AD60" t="s">
        <v>884</v>
      </c>
      <c r="AE60">
        <v>30.3104484255035</v>
      </c>
      <c r="AF60">
        <v>18.4784168655305</v>
      </c>
      <c r="AG60">
        <v>17021.39</v>
      </c>
      <c r="AH60">
        <v>89.87</v>
      </c>
      <c r="AI60">
        <v>518246243700</v>
      </c>
    </row>
    <row r="61" spans="1:35">
      <c r="A61" s="294" t="s">
        <v>977</v>
      </c>
      <c r="B61" s="127" t="s">
        <v>50</v>
      </c>
      <c r="C61" s="291" t="str">
        <v>Mrs Bectors Food Specialities</v>
      </c>
      <c r="D61" s="295">
        <v>0.00237544649183698</v>
      </c>
      <c r="E61" s="293">
        <f t="shared" si="0"/>
        <v>0.000197953874319748</v>
      </c>
      <c r="F61" s="291" t="str">
        <v>Consumer Staples</v>
      </c>
      <c r="G61" s="293">
        <f t="shared" si="1"/>
        <v>0.000197953874319748</v>
      </c>
      <c r="H61" s="291"/>
      <c r="J61" s="36"/>
      <c r="M61" s="294" t="s">
        <v>978</v>
      </c>
      <c r="N61" s="300" t="s">
        <v>66</v>
      </c>
      <c r="O61" s="291" t="str">
        <v>Lupin Ltd</v>
      </c>
      <c r="P61" s="301">
        <v>0.00672917232023195</v>
      </c>
      <c r="Q61" s="293">
        <f>P61*VLOOKUP(N61,'Selector Sheet '!$B$13:$D$43,2,FALSE)</f>
        <v>0</v>
      </c>
      <c r="R61" s="291" t="str">
        <v>Health Care</v>
      </c>
      <c r="S61" s="293">
        <f>P61*VLOOKUP(N61,'Selector Sheet '!$B$13:$D$43,2,FALSE)</f>
        <v>0</v>
      </c>
      <c r="T61" s="291"/>
      <c r="X61" s="291" t="str">
        <v>INE495P01012</v>
      </c>
      <c r="Z61" s="294" t="s">
        <v>977</v>
      </c>
      <c r="AB61" t="s">
        <v>977</v>
      </c>
      <c r="AC61" t="s">
        <v>979</v>
      </c>
      <c r="AD61" t="s">
        <v>980</v>
      </c>
      <c r="AE61">
        <v>60.6047523377159</v>
      </c>
      <c r="AF61">
        <v>15.6653248849022</v>
      </c>
      <c r="AG61">
        <v>1432.33</v>
      </c>
      <c r="AH61">
        <v>23.348004</v>
      </c>
      <c r="AI61">
        <v>86878338385</v>
      </c>
    </row>
    <row r="62" spans="1:35">
      <c r="A62" s="290" t="s">
        <v>981</v>
      </c>
      <c r="B62" s="127" t="s">
        <v>50</v>
      </c>
      <c r="C62" s="291" t="str">
        <v>Multi Commodity Exchange of In</v>
      </c>
      <c r="D62" s="292">
        <v>0.0065212501349919</v>
      </c>
      <c r="E62" s="293">
        <f t="shared" si="0"/>
        <v>0.000543437511249325</v>
      </c>
      <c r="F62" s="291" t="str">
        <v>Financials</v>
      </c>
      <c r="G62" s="293">
        <f t="shared" si="1"/>
        <v>0.000543437511249325</v>
      </c>
      <c r="H62" s="291"/>
      <c r="J62" s="36"/>
      <c r="M62" s="290" t="s">
        <v>982</v>
      </c>
      <c r="N62" s="298" t="s">
        <v>66</v>
      </c>
      <c r="O62" s="291" t="str">
        <v>Mahindra &amp; Mahindra Financial</v>
      </c>
      <c r="P62" s="299">
        <v>0</v>
      </c>
      <c r="Q62" s="293">
        <f>P62*VLOOKUP(N62,'Selector Sheet '!$B$13:$D$43,2,FALSE)</f>
        <v>0</v>
      </c>
      <c r="R62" s="291" t="str">
        <v>Financials</v>
      </c>
      <c r="S62" s="293">
        <f>P62*VLOOKUP(N62,'Selector Sheet '!$B$13:$D$43,2,FALSE)</f>
        <v>0</v>
      </c>
      <c r="T62" s="291"/>
      <c r="X62" s="291" t="str">
        <v>INE745G01035</v>
      </c>
      <c r="Z62" s="290" t="s">
        <v>981</v>
      </c>
      <c r="AB62" t="s">
        <v>981</v>
      </c>
      <c r="AC62" t="s">
        <v>983</v>
      </c>
      <c r="AD62" t="s">
        <v>831</v>
      </c>
      <c r="AE62">
        <v>76.0152977599709</v>
      </c>
      <c r="AF62">
        <v>34.3283765063564</v>
      </c>
      <c r="AG62">
        <v>5600.4</v>
      </c>
      <c r="AH62">
        <v>109.82</v>
      </c>
      <c r="AI62">
        <v>425734384412</v>
      </c>
    </row>
    <row r="63" spans="1:35">
      <c r="A63" s="294" t="s">
        <v>984</v>
      </c>
      <c r="B63" s="127" t="s">
        <v>50</v>
      </c>
      <c r="C63" s="291" t="str">
        <v>National Aluminium Co Ltd</v>
      </c>
      <c r="D63" s="295">
        <v>0.00358171919914968</v>
      </c>
      <c r="E63" s="293">
        <f t="shared" si="0"/>
        <v>0.00029847659992914</v>
      </c>
      <c r="F63" s="291" t="str">
        <v>Materials</v>
      </c>
      <c r="G63" s="293">
        <f t="shared" si="1"/>
        <v>0.00029847659992914</v>
      </c>
      <c r="H63" s="291"/>
      <c r="J63" s="36"/>
      <c r="M63" s="294" t="s">
        <v>966</v>
      </c>
      <c r="N63" s="300" t="s">
        <v>66</v>
      </c>
      <c r="O63" s="291" t="str">
        <v>Mahindra &amp; Mahindra Ltd</v>
      </c>
      <c r="P63" s="301">
        <v>0.00803011676260343</v>
      </c>
      <c r="Q63" s="293">
        <f>P63*VLOOKUP(N63,'Selector Sheet '!$B$13:$D$43,2,FALSE)</f>
        <v>0</v>
      </c>
      <c r="R63" s="291" t="str">
        <v>Consumer Discretionary</v>
      </c>
      <c r="S63" s="293">
        <f>P63*VLOOKUP(N63,'Selector Sheet '!$B$13:$D$43,2,FALSE)</f>
        <v>0</v>
      </c>
      <c r="T63" s="291"/>
      <c r="X63" s="291" t="str">
        <v>INE139A01034</v>
      </c>
      <c r="Z63" s="294" t="s">
        <v>984</v>
      </c>
      <c r="AB63" t="s">
        <v>984</v>
      </c>
      <c r="AC63" t="s">
        <v>985</v>
      </c>
      <c r="AD63" t="s">
        <v>823</v>
      </c>
      <c r="AE63">
        <v>6.56520199742444</v>
      </c>
      <c r="AF63">
        <v>32.7267000543277</v>
      </c>
      <c r="AG63">
        <v>52679.4</v>
      </c>
      <c r="AH63">
        <v>28.68</v>
      </c>
      <c r="AI63">
        <v>345819399174.23</v>
      </c>
    </row>
    <row r="64" spans="1:35">
      <c r="A64" s="290" t="s">
        <v>986</v>
      </c>
      <c r="B64" s="127" t="s">
        <v>50</v>
      </c>
      <c r="C64" s="291" t="str">
        <v>Navin Fluorine International L</v>
      </c>
      <c r="D64" s="292">
        <v>0.000892045340089003</v>
      </c>
      <c r="E64" s="293">
        <f t="shared" si="0"/>
        <v>7.43371116740836e-5</v>
      </c>
      <c r="F64" s="291" t="str">
        <v>Materials</v>
      </c>
      <c r="G64" s="293">
        <f t="shared" si="1"/>
        <v>7.43371116740836e-5</v>
      </c>
      <c r="H64" s="291"/>
      <c r="J64" s="36"/>
      <c r="M64" s="290" t="s">
        <v>987</v>
      </c>
      <c r="N64" s="298" t="s">
        <v>66</v>
      </c>
      <c r="O64" s="291" t="str">
        <v>Marico Ltd</v>
      </c>
      <c r="P64" s="299">
        <v>0.00723152904636988</v>
      </c>
      <c r="Q64" s="293">
        <f>P64*VLOOKUP(N64,'Selector Sheet '!$B$13:$D$43,2,FALSE)</f>
        <v>0</v>
      </c>
      <c r="R64" s="291" t="str">
        <v>Consumer Staples</v>
      </c>
      <c r="S64" s="293">
        <f>P64*VLOOKUP(N64,'Selector Sheet '!$B$13:$D$43,2,FALSE)</f>
        <v>0</v>
      </c>
      <c r="T64" s="291"/>
      <c r="X64" s="291" t="str">
        <v>INE048G01026</v>
      </c>
      <c r="Z64" s="290" t="s">
        <v>986</v>
      </c>
      <c r="AB64" t="s">
        <v>986</v>
      </c>
      <c r="AC64" t="s">
        <v>988</v>
      </c>
      <c r="AD64" t="s">
        <v>823</v>
      </c>
      <c r="AE64">
        <v>88.0240549828179</v>
      </c>
      <c r="AF64">
        <v>11.5226896124898</v>
      </c>
      <c r="AG64">
        <v>2885.8</v>
      </c>
      <c r="AH64">
        <v>58.2</v>
      </c>
      <c r="AI64">
        <v>262260811737</v>
      </c>
    </row>
    <row r="65" spans="1:35">
      <c r="A65" s="294" t="s">
        <v>989</v>
      </c>
      <c r="B65" s="127" t="s">
        <v>50</v>
      </c>
      <c r="C65" s="291" t="str">
        <v>Nestle India Ltd</v>
      </c>
      <c r="D65" s="295">
        <v>0.000967386015653616</v>
      </c>
      <c r="E65" s="293">
        <f t="shared" si="0"/>
        <v>8.0615501304468e-5</v>
      </c>
      <c r="F65" s="291" t="str">
        <v>Consumer Staples</v>
      </c>
      <c r="G65" s="293">
        <f t="shared" si="1"/>
        <v>8.0615501304468e-5</v>
      </c>
      <c r="H65" s="291"/>
      <c r="J65" s="36"/>
      <c r="M65" s="294" t="s">
        <v>990</v>
      </c>
      <c r="N65" s="300" t="s">
        <v>66</v>
      </c>
      <c r="O65" s="291" t="str">
        <v>Maruti Suzuki India Ltd</v>
      </c>
      <c r="P65" s="301">
        <v>0.0136823413300691</v>
      </c>
      <c r="Q65" s="293">
        <f>P65*VLOOKUP(N65,'Selector Sheet '!$B$13:$D$43,2,FALSE)</f>
        <v>0</v>
      </c>
      <c r="R65" s="291" t="str">
        <v>Consumer Discretionary</v>
      </c>
      <c r="S65" s="293">
        <f>P65*VLOOKUP(N65,'Selector Sheet '!$B$13:$D$43,2,FALSE)</f>
        <v>0</v>
      </c>
      <c r="T65" s="291"/>
      <c r="X65" s="291" t="str">
        <v>INE239A01024</v>
      </c>
      <c r="Z65" s="294" t="s">
        <v>989</v>
      </c>
      <c r="AB65" t="s">
        <v>989</v>
      </c>
      <c r="AC65" t="s">
        <v>991</v>
      </c>
      <c r="AD65" t="s">
        <v>980</v>
      </c>
      <c r="AE65">
        <v>68.9690441135031</v>
      </c>
      <c r="AF65" t="s">
        <v>824</v>
      </c>
      <c r="AG65">
        <v>32075.9</v>
      </c>
      <c r="AH65">
        <v>16.635</v>
      </c>
      <c r="AI65">
        <v>2212355019336</v>
      </c>
    </row>
    <row r="66" spans="1:35">
      <c r="A66" s="290" t="s">
        <v>992</v>
      </c>
      <c r="B66" s="127" t="s">
        <v>50</v>
      </c>
      <c r="C66" s="291" t="str">
        <v>NTPC Ltd</v>
      </c>
      <c r="D66" s="292">
        <v>0.00224345745585043</v>
      </c>
      <c r="E66" s="293">
        <f t="shared" ref="E66:E129" si="2">_xlfn.IFNA(D66*VLOOKUP($B66,$AK$1:$AM$34,3,FALSE),0)</f>
        <v>0.000186954787987536</v>
      </c>
      <c r="F66" s="291" t="str">
        <v>Utilities</v>
      </c>
      <c r="G66" s="293">
        <f t="shared" ref="G66:G129" si="3">_xlfn.IFNA(D66*VLOOKUP($B66,$AK$1:$AM$34,3,FALSE),0)</f>
        <v>0.000186954787987536</v>
      </c>
      <c r="H66" s="291"/>
      <c r="J66" s="36"/>
      <c r="M66" s="290" t="s">
        <v>971</v>
      </c>
      <c r="N66" s="298" t="s">
        <v>66</v>
      </c>
      <c r="O66" s="291" t="str">
        <v>Max Healthcare Institute Ltd</v>
      </c>
      <c r="P66" s="299">
        <v>0.00421197893457049</v>
      </c>
      <c r="Q66" s="293">
        <f>P66*VLOOKUP(N66,'Selector Sheet '!$B$13:$D$43,2,FALSE)</f>
        <v>0</v>
      </c>
      <c r="R66" s="291" t="str">
        <v>Health Care</v>
      </c>
      <c r="S66" s="293">
        <f>P66*VLOOKUP(N66,'Selector Sheet '!$B$13:$D$43,2,FALSE)</f>
        <v>0</v>
      </c>
      <c r="T66" s="291"/>
      <c r="X66" s="291" t="str">
        <v>INE733E01010</v>
      </c>
      <c r="Z66" s="290" t="s">
        <v>992</v>
      </c>
      <c r="AB66" t="s">
        <v>992</v>
      </c>
      <c r="AC66" t="s">
        <v>993</v>
      </c>
      <c r="AD66" t="s">
        <v>994</v>
      </c>
      <c r="AE66">
        <v>14.090158553445</v>
      </c>
      <c r="AF66">
        <v>13.5868848472635</v>
      </c>
      <c r="AG66">
        <v>234224.6</v>
      </c>
      <c r="AH66">
        <v>24.155158</v>
      </c>
      <c r="AI66">
        <v>3300260318706.9</v>
      </c>
    </row>
    <row r="67" spans="1:35">
      <c r="A67" s="294" t="s">
        <v>995</v>
      </c>
      <c r="B67" s="127" t="s">
        <v>50</v>
      </c>
      <c r="C67" s="291" t="str">
        <v>Oberoi Realty Ltd</v>
      </c>
      <c r="D67" s="295">
        <v>0.0104724517485144</v>
      </c>
      <c r="E67" s="293">
        <f t="shared" si="2"/>
        <v>0.0008727043123762</v>
      </c>
      <c r="F67" s="291" t="str">
        <v>Real Estate</v>
      </c>
      <c r="G67" s="293">
        <f t="shared" si="3"/>
        <v>0.0008727043123762</v>
      </c>
      <c r="H67" s="291"/>
      <c r="J67" s="36"/>
      <c r="M67" s="294" t="s">
        <v>996</v>
      </c>
      <c r="N67" s="300" t="s">
        <v>66</v>
      </c>
      <c r="O67" s="291" t="str">
        <v>Minda Corp Ltd</v>
      </c>
      <c r="P67" s="301">
        <v>0.0063977544701247</v>
      </c>
      <c r="Q67" s="293">
        <f>P67*VLOOKUP(N67,'Selector Sheet '!$B$13:$D$43,2,FALSE)</f>
        <v>0</v>
      </c>
      <c r="R67" s="291" t="str">
        <v>Consumer Discretionary</v>
      </c>
      <c r="S67" s="293">
        <f>P67*VLOOKUP(N67,'Selector Sheet '!$B$13:$D$43,2,FALSE)</f>
        <v>0</v>
      </c>
      <c r="T67" s="291"/>
      <c r="X67" s="291" t="str">
        <v>INE093I01010</v>
      </c>
      <c r="Z67" s="294" t="s">
        <v>995</v>
      </c>
      <c r="AB67" t="s">
        <v>995</v>
      </c>
      <c r="AC67" t="s">
        <v>997</v>
      </c>
      <c r="AD67" t="s">
        <v>998</v>
      </c>
      <c r="AE67">
        <v>26.9596463187694</v>
      </c>
      <c r="AF67">
        <v>15.0630664135816</v>
      </c>
      <c r="AG67">
        <v>22255.137</v>
      </c>
      <c r="AH67">
        <v>61.21</v>
      </c>
      <c r="AI67">
        <v>600016411497.4</v>
      </c>
    </row>
    <row r="68" spans="1:35">
      <c r="A68" s="290" t="s">
        <v>999</v>
      </c>
      <c r="B68" s="127" t="s">
        <v>50</v>
      </c>
      <c r="C68" s="291" t="str">
        <v>Oil India Ltd</v>
      </c>
      <c r="D68" s="292">
        <v>0.00263802342293464</v>
      </c>
      <c r="E68" s="293">
        <f t="shared" si="2"/>
        <v>0.000219835285244553</v>
      </c>
      <c r="F68" s="291" t="str">
        <v>Energy</v>
      </c>
      <c r="G68" s="293">
        <f t="shared" si="3"/>
        <v>0.000219835285244553</v>
      </c>
      <c r="H68" s="291"/>
      <c r="J68" s="36"/>
      <c r="M68" s="290" t="s">
        <v>981</v>
      </c>
      <c r="N68" s="298" t="s">
        <v>66</v>
      </c>
      <c r="O68" s="291" t="str">
        <v>Multi Commodity Exchange of In</v>
      </c>
      <c r="P68" s="299">
        <v>0.0108400857746358</v>
      </c>
      <c r="Q68" s="293">
        <f>P68*VLOOKUP(N68,'Selector Sheet '!$B$13:$D$43,2,FALSE)</f>
        <v>0</v>
      </c>
      <c r="R68" s="291" t="str">
        <v>Financials</v>
      </c>
      <c r="S68" s="293">
        <f>P68*VLOOKUP(N68,'Selector Sheet '!$B$13:$D$43,2,FALSE)</f>
        <v>0</v>
      </c>
      <c r="T68" s="291"/>
      <c r="X68" s="291" t="str">
        <v>INE274J01014</v>
      </c>
      <c r="Z68" s="290" t="s">
        <v>999</v>
      </c>
      <c r="AB68" t="s">
        <v>999</v>
      </c>
      <c r="AC68" t="s">
        <v>1000</v>
      </c>
      <c r="AD68" t="s">
        <v>1001</v>
      </c>
      <c r="AE68">
        <v>9.98261733300223</v>
      </c>
      <c r="AF68">
        <v>13.3547032613773</v>
      </c>
      <c r="AG68">
        <v>65509.3</v>
      </c>
      <c r="AH68">
        <v>40.27</v>
      </c>
      <c r="AI68">
        <v>653896331982</v>
      </c>
    </row>
    <row r="69" spans="1:35">
      <c r="A69" s="294" t="s">
        <v>1002</v>
      </c>
      <c r="B69" s="127" t="s">
        <v>50</v>
      </c>
      <c r="C69" s="291" t="str">
        <v>PB Fintech Ltd</v>
      </c>
      <c r="D69" s="295">
        <v>0.00568021336761114</v>
      </c>
      <c r="E69" s="293">
        <f t="shared" si="2"/>
        <v>0.000473351113967595</v>
      </c>
      <c r="F69" s="291" t="str">
        <v>Financials</v>
      </c>
      <c r="G69" s="293">
        <f t="shared" si="3"/>
        <v>0.000473351113967595</v>
      </c>
      <c r="H69" s="291"/>
      <c r="J69" s="36"/>
      <c r="M69" s="294" t="s">
        <v>1003</v>
      </c>
      <c r="N69" s="300" t="s">
        <v>66</v>
      </c>
      <c r="O69" s="291" t="str">
        <v>Muthoot Finance Ltd</v>
      </c>
      <c r="P69" s="301">
        <v>0.00612661004607602</v>
      </c>
      <c r="Q69" s="293">
        <f>P69*VLOOKUP(N69,'Selector Sheet '!$B$13:$D$43,2,FALSE)</f>
        <v>0</v>
      </c>
      <c r="R69" s="291" t="str">
        <v>Financials</v>
      </c>
      <c r="S69" s="293">
        <f>P69*VLOOKUP(N69,'Selector Sheet '!$B$13:$D$43,2,FALSE)</f>
        <v>0</v>
      </c>
      <c r="T69" s="291"/>
      <c r="X69" s="291" t="str">
        <v>INE417T01026</v>
      </c>
      <c r="Z69" s="294" t="s">
        <v>1002</v>
      </c>
      <c r="AB69" t="s">
        <v>1002</v>
      </c>
      <c r="AC69" t="s">
        <v>1004</v>
      </c>
      <c r="AD69" t="s">
        <v>831</v>
      </c>
      <c r="AE69">
        <v>245.045045045045</v>
      </c>
      <c r="AF69">
        <v>5.73845574890009</v>
      </c>
      <c r="AG69">
        <v>3530.1</v>
      </c>
      <c r="AH69">
        <v>7.77</v>
      </c>
      <c r="AI69">
        <v>874425864928</v>
      </c>
    </row>
    <row r="70" spans="1:35">
      <c r="A70" s="290" t="s">
        <v>1005</v>
      </c>
      <c r="B70" s="127" t="s">
        <v>50</v>
      </c>
      <c r="C70" s="291" t="str">
        <v>Persistent Systems Ltd</v>
      </c>
      <c r="D70" s="292">
        <v>0.0059404733283226</v>
      </c>
      <c r="E70" s="293">
        <f t="shared" si="2"/>
        <v>0.000495039444026883</v>
      </c>
      <c r="F70" s="291" t="str">
        <v>Information Technology</v>
      </c>
      <c r="G70" s="293">
        <f t="shared" si="3"/>
        <v>0.000495039444026883</v>
      </c>
      <c r="H70" s="291"/>
      <c r="J70" s="36"/>
      <c r="M70" s="290" t="s">
        <v>992</v>
      </c>
      <c r="N70" s="298" t="s">
        <v>66</v>
      </c>
      <c r="O70" s="291" t="str">
        <v>NTPC Ltd</v>
      </c>
      <c r="P70" s="299">
        <v>0.0176560096135411</v>
      </c>
      <c r="Q70" s="293">
        <f>P70*VLOOKUP(N70,'Selector Sheet '!$B$13:$D$43,2,FALSE)</f>
        <v>0</v>
      </c>
      <c r="R70" s="291" t="str">
        <v>Utilities</v>
      </c>
      <c r="S70" s="293">
        <f>P70*VLOOKUP(N70,'Selector Sheet '!$B$13:$D$43,2,FALSE)</f>
        <v>0</v>
      </c>
      <c r="T70" s="291"/>
      <c r="X70" s="291" t="str">
        <v>INE262H01021</v>
      </c>
      <c r="Z70" s="290" t="s">
        <v>1005</v>
      </c>
      <c r="AB70" t="s">
        <v>1005</v>
      </c>
      <c r="AC70" t="s">
        <v>1006</v>
      </c>
      <c r="AD70" t="s">
        <v>884</v>
      </c>
      <c r="AE70">
        <v>53.5366348690887</v>
      </c>
      <c r="AF70">
        <v>24.7186647702511</v>
      </c>
      <c r="AG70">
        <v>14001.61</v>
      </c>
      <c r="AH70">
        <v>91.22</v>
      </c>
      <c r="AI70">
        <v>825088200000</v>
      </c>
    </row>
    <row r="71" spans="1:35">
      <c r="A71" s="294" t="s">
        <v>1007</v>
      </c>
      <c r="B71" s="127" t="s">
        <v>50</v>
      </c>
      <c r="C71" s="291" t="str">
        <v>PI Industries Ltd</v>
      </c>
      <c r="D71" s="295">
        <v>0.0155039877702162</v>
      </c>
      <c r="E71" s="293">
        <f t="shared" si="2"/>
        <v>0.00129199898085135</v>
      </c>
      <c r="F71" s="291" t="str">
        <v>Materials</v>
      </c>
      <c r="G71" s="293">
        <f t="shared" si="3"/>
        <v>0.00129199898085135</v>
      </c>
      <c r="H71" s="291"/>
      <c r="J71" s="36"/>
      <c r="M71" s="294" t="s">
        <v>1008</v>
      </c>
      <c r="N71" s="300" t="s">
        <v>66</v>
      </c>
      <c r="O71" s="291" t="str">
        <v>Page Industries Ltd</v>
      </c>
      <c r="P71" s="301">
        <v>0</v>
      </c>
      <c r="Q71" s="293">
        <f>P71*VLOOKUP(N71,'Selector Sheet '!$B$13:$D$43,2,FALSE)</f>
        <v>0</v>
      </c>
      <c r="R71" s="291" t="str">
        <v>Consumer Discretionary</v>
      </c>
      <c r="S71" s="293">
        <f>P71*VLOOKUP(N71,'Selector Sheet '!$B$13:$D$43,2,FALSE)</f>
        <v>0</v>
      </c>
      <c r="T71" s="291"/>
      <c r="X71" s="291" t="str">
        <v>INE603J01030</v>
      </c>
      <c r="Z71" s="294" t="s">
        <v>1007</v>
      </c>
      <c r="AB71" t="s">
        <v>1007</v>
      </c>
      <c r="AC71" t="s">
        <v>1009</v>
      </c>
      <c r="AD71" t="s">
        <v>823</v>
      </c>
      <c r="AE71">
        <v>34.0091082961114</v>
      </c>
      <c r="AF71">
        <v>17.579415501906</v>
      </c>
      <c r="AG71">
        <v>16602</v>
      </c>
      <c r="AH71">
        <v>109.223684</v>
      </c>
      <c r="AI71">
        <v>563572121122.8</v>
      </c>
    </row>
    <row r="72" spans="1:35">
      <c r="A72" s="290" t="s">
        <v>1010</v>
      </c>
      <c r="B72" s="127" t="s">
        <v>50</v>
      </c>
      <c r="C72" s="291" t="str">
        <v>Pidilite Industries Ltd</v>
      </c>
      <c r="D72" s="292">
        <v>0.00672624722095155</v>
      </c>
      <c r="E72" s="293">
        <f t="shared" si="2"/>
        <v>0.000560520601745962</v>
      </c>
      <c r="F72" s="291" t="str">
        <v>Materials</v>
      </c>
      <c r="G72" s="293">
        <f t="shared" si="3"/>
        <v>0.000560520601745962</v>
      </c>
      <c r="H72" s="291"/>
      <c r="J72" s="36"/>
      <c r="M72" s="290" t="s">
        <v>1002</v>
      </c>
      <c r="N72" s="298" t="s">
        <v>66</v>
      </c>
      <c r="O72" s="291" t="str">
        <v>PB Fintech Ltd</v>
      </c>
      <c r="P72" s="299">
        <v>0.00318116263279922</v>
      </c>
      <c r="Q72" s="293">
        <f>P72*VLOOKUP(N72,'Selector Sheet '!$B$13:$D$43,2,FALSE)</f>
        <v>0</v>
      </c>
      <c r="R72" s="291" t="str">
        <v>Financials</v>
      </c>
      <c r="S72" s="293">
        <f>P72*VLOOKUP(N72,'Selector Sheet '!$B$13:$D$43,2,FALSE)</f>
        <v>0</v>
      </c>
      <c r="T72" s="291"/>
      <c r="X72" s="291" t="str">
        <v>INE318A01026</v>
      </c>
      <c r="Z72" s="290" t="s">
        <v>1010</v>
      </c>
      <c r="AB72" t="s">
        <v>1010</v>
      </c>
      <c r="AC72" t="s">
        <v>1011</v>
      </c>
      <c r="AD72" t="s">
        <v>823</v>
      </c>
      <c r="AE72">
        <v>75.7128882326372</v>
      </c>
      <c r="AF72">
        <v>22.8640396616601</v>
      </c>
      <c r="AG72">
        <v>20762.4</v>
      </c>
      <c r="AH72">
        <v>40.82</v>
      </c>
      <c r="AI72">
        <v>1572092674101</v>
      </c>
    </row>
    <row r="73" spans="1:35">
      <c r="A73" s="294" t="s">
        <v>1012</v>
      </c>
      <c r="B73" s="127" t="s">
        <v>50</v>
      </c>
      <c r="C73" s="291" t="str">
        <v>Praj Industries Ltd</v>
      </c>
      <c r="D73" s="295">
        <v>0.0140972814692924</v>
      </c>
      <c r="E73" s="293">
        <f t="shared" si="2"/>
        <v>0.00117477345577437</v>
      </c>
      <c r="F73" s="291" t="str">
        <v>Industrials</v>
      </c>
      <c r="G73" s="293">
        <f t="shared" si="3"/>
        <v>0.00117477345577437</v>
      </c>
      <c r="H73" s="291"/>
      <c r="J73" s="36"/>
      <c r="M73" s="294" t="s">
        <v>1005</v>
      </c>
      <c r="N73" s="300" t="s">
        <v>66</v>
      </c>
      <c r="O73" s="291" t="str">
        <v>Persistent Systems Ltd</v>
      </c>
      <c r="P73" s="301">
        <v>0.006040929533806</v>
      </c>
      <c r="Q73" s="293">
        <f>P73*VLOOKUP(N73,'Selector Sheet '!$B$13:$D$43,2,FALSE)</f>
        <v>0</v>
      </c>
      <c r="R73" s="291" t="str">
        <v>Information Technology</v>
      </c>
      <c r="S73" s="293">
        <f>P73*VLOOKUP(N73,'Selector Sheet '!$B$13:$D$43,2,FALSE)</f>
        <v>0</v>
      </c>
      <c r="T73" s="291"/>
      <c r="X73" s="291" t="str">
        <v>INE074A01025</v>
      </c>
      <c r="Z73" s="294" t="s">
        <v>1012</v>
      </c>
      <c r="AB73" t="s">
        <v>1012</v>
      </c>
      <c r="AC73" t="s">
        <v>1013</v>
      </c>
      <c r="AD73" t="s">
        <v>813</v>
      </c>
      <c r="AE73">
        <v>34.3450871362694</v>
      </c>
      <c r="AF73">
        <v>16.4827234919173</v>
      </c>
      <c r="AG73">
        <v>2189.101</v>
      </c>
      <c r="AH73">
        <v>11.91</v>
      </c>
      <c r="AI73">
        <v>75188743646.4</v>
      </c>
    </row>
    <row r="74" spans="1:35">
      <c r="A74" s="290" t="s">
        <v>1014</v>
      </c>
      <c r="B74" s="127" t="s">
        <v>50</v>
      </c>
      <c r="C74" s="291" t="str">
        <v>Premier Energies Ltd</v>
      </c>
      <c r="D74" s="292">
        <v>0.00161512013544289</v>
      </c>
      <c r="E74" s="293">
        <f t="shared" si="2"/>
        <v>0.000134593344620241</v>
      </c>
      <c r="F74" s="291" t="str">
        <v>Information Technology</v>
      </c>
      <c r="G74" s="293">
        <f t="shared" si="3"/>
        <v>0.000134593344620241</v>
      </c>
      <c r="H74" s="291"/>
      <c r="J74" s="36"/>
      <c r="M74" s="290" t="s">
        <v>1015</v>
      </c>
      <c r="N74" s="298" t="s">
        <v>66</v>
      </c>
      <c r="O74" s="291" t="str">
        <v>PG Electroplast Ltd</v>
      </c>
      <c r="P74" s="299">
        <v>0.00235184406859729</v>
      </c>
      <c r="Q74" s="293">
        <f>P74*VLOOKUP(N74,'Selector Sheet '!$B$13:$D$43,2,FALSE)</f>
        <v>0</v>
      </c>
      <c r="R74" s="291" t="str">
        <v>Information Technology</v>
      </c>
      <c r="S74" s="293">
        <f>P74*VLOOKUP(N74,'Selector Sheet '!$B$13:$D$43,2,FALSE)</f>
        <v>0</v>
      </c>
      <c r="T74" s="291"/>
      <c r="X74" s="291" t="str">
        <v>INE0BS701011</v>
      </c>
      <c r="Z74" s="290" t="s">
        <v>1014</v>
      </c>
      <c r="AB74" t="s">
        <v>1014</v>
      </c>
      <c r="AC74" t="s">
        <v>1016</v>
      </c>
      <c r="AD74" t="s">
        <v>884</v>
      </c>
      <c r="AE74">
        <v>47.751756440281</v>
      </c>
      <c r="AF74">
        <v>43.7326215944941</v>
      </c>
      <c r="AG74">
        <v>9371.32</v>
      </c>
      <c r="AH74">
        <v>21.35</v>
      </c>
      <c r="AI74">
        <v>459564468176</v>
      </c>
    </row>
    <row r="75" spans="1:35">
      <c r="A75" s="294" t="s">
        <v>1017</v>
      </c>
      <c r="B75" s="127" t="s">
        <v>50</v>
      </c>
      <c r="C75" s="291" t="str">
        <v>Radico Khaitan Ltd</v>
      </c>
      <c r="D75" s="295">
        <v>0.00376890848906678</v>
      </c>
      <c r="E75" s="293">
        <f t="shared" si="2"/>
        <v>0.000314075707422232</v>
      </c>
      <c r="F75" s="291" t="str">
        <v>Consumer Staples</v>
      </c>
      <c r="G75" s="293">
        <f t="shared" si="3"/>
        <v>0.000314075707422232</v>
      </c>
      <c r="H75" s="291"/>
      <c r="J75" s="36"/>
      <c r="M75" s="294" t="s">
        <v>1010</v>
      </c>
      <c r="N75" s="300" t="s">
        <v>66</v>
      </c>
      <c r="O75" s="291" t="str">
        <v>Pidilite Industries Ltd</v>
      </c>
      <c r="P75" s="301">
        <v>0.00532062691336369</v>
      </c>
      <c r="Q75" s="293">
        <f>P75*VLOOKUP(N75,'Selector Sheet '!$B$13:$D$43,2,FALSE)</f>
        <v>0</v>
      </c>
      <c r="R75" s="291" t="str">
        <v>Materials</v>
      </c>
      <c r="S75" s="293">
        <f>P75*VLOOKUP(N75,'Selector Sheet '!$B$13:$D$43,2,FALSE)</f>
        <v>0</v>
      </c>
      <c r="T75" s="291"/>
      <c r="X75" s="291" t="str">
        <v>INE944F01028</v>
      </c>
      <c r="Z75" s="294" t="s">
        <v>1017</v>
      </c>
      <c r="AB75" t="s">
        <v>1017</v>
      </c>
      <c r="AC75" t="s">
        <v>1018</v>
      </c>
      <c r="AD75" t="s">
        <v>980</v>
      </c>
      <c r="AE75">
        <v>110.73142603824</v>
      </c>
      <c r="AF75">
        <v>13.309816498638</v>
      </c>
      <c r="AG75">
        <v>3456.113</v>
      </c>
      <c r="AH75">
        <v>25.84</v>
      </c>
      <c r="AI75">
        <v>383035129253.4</v>
      </c>
    </row>
    <row r="76" spans="1:35">
      <c r="A76" s="290" t="s">
        <v>1019</v>
      </c>
      <c r="B76" s="127" t="s">
        <v>50</v>
      </c>
      <c r="C76" s="291" t="str">
        <v>Samvardhana Motherson Internat</v>
      </c>
      <c r="D76" s="292">
        <v>0.00255204503536043</v>
      </c>
      <c r="E76" s="293">
        <f t="shared" si="2"/>
        <v>0.000212670419613369</v>
      </c>
      <c r="F76" s="291" t="str">
        <v>Consumer Discretionary</v>
      </c>
      <c r="G76" s="293">
        <f t="shared" si="3"/>
        <v>0.000212670419613369</v>
      </c>
      <c r="H76" s="291"/>
      <c r="J76" s="36"/>
      <c r="M76" s="290" t="s">
        <v>1020</v>
      </c>
      <c r="N76" s="298" t="s">
        <v>66</v>
      </c>
      <c r="O76" s="291" t="str">
        <v>Power Finance Corp Ltd</v>
      </c>
      <c r="P76" s="299">
        <v>0.00709806757689234</v>
      </c>
      <c r="Q76" s="293">
        <f>P76*VLOOKUP(N76,'Selector Sheet '!$B$13:$D$43,2,FALSE)</f>
        <v>0</v>
      </c>
      <c r="R76" s="291" t="str">
        <v>Financials</v>
      </c>
      <c r="S76" s="293">
        <f>P76*VLOOKUP(N76,'Selector Sheet '!$B$13:$D$43,2,FALSE)</f>
        <v>0</v>
      </c>
      <c r="T76" s="291"/>
      <c r="X76" s="291" t="str">
        <v>INE775A01035</v>
      </c>
      <c r="Z76" s="290" t="s">
        <v>1019</v>
      </c>
      <c r="AB76" t="s">
        <v>1019</v>
      </c>
      <c r="AC76" t="s">
        <v>1021</v>
      </c>
      <c r="AD76" t="s">
        <v>838</v>
      </c>
      <c r="AE76">
        <v>25.8527128332779</v>
      </c>
      <c r="AF76">
        <v>12.4616614674811</v>
      </c>
      <c r="AG76">
        <v>38030</v>
      </c>
      <c r="AH76">
        <v>3.64526533333333</v>
      </c>
      <c r="AI76">
        <v>994616245505.92</v>
      </c>
    </row>
    <row r="77" spans="1:35">
      <c r="A77" s="294" t="s">
        <v>1022</v>
      </c>
      <c r="B77" s="127" t="s">
        <v>50</v>
      </c>
      <c r="C77" s="291" t="str">
        <v>Schaeffler India Ltd</v>
      </c>
      <c r="D77" s="295">
        <v>0.00437088244372871</v>
      </c>
      <c r="E77" s="293">
        <f t="shared" si="2"/>
        <v>0.000364240203644059</v>
      </c>
      <c r="F77" s="291" t="str">
        <v>Industrials</v>
      </c>
      <c r="G77" s="293">
        <f t="shared" si="3"/>
        <v>0.000364240203644059</v>
      </c>
      <c r="H77" s="291"/>
      <c r="J77" s="36"/>
      <c r="M77" s="294" t="s">
        <v>1023</v>
      </c>
      <c r="N77" s="300" t="s">
        <v>66</v>
      </c>
      <c r="O77" s="291" t="str">
        <v>Power Grid Corp of India Ltd</v>
      </c>
      <c r="P77" s="301">
        <v>0.00368327701442252</v>
      </c>
      <c r="Q77" s="293">
        <f>P77*VLOOKUP(N77,'Selector Sheet '!$B$13:$D$43,2,FALSE)</f>
        <v>0</v>
      </c>
      <c r="R77" s="291" t="str">
        <v>Utilities</v>
      </c>
      <c r="S77" s="293">
        <f>P77*VLOOKUP(N77,'Selector Sheet '!$B$13:$D$43,2,FALSE)</f>
        <v>0</v>
      </c>
      <c r="T77" s="291"/>
      <c r="X77" s="291" t="str">
        <v>INE513A01022</v>
      </c>
      <c r="Z77" s="294" t="s">
        <v>1022</v>
      </c>
      <c r="AB77" t="s">
        <v>1022</v>
      </c>
      <c r="AC77" t="s">
        <v>1024</v>
      </c>
      <c r="AD77" t="s">
        <v>813</v>
      </c>
      <c r="AE77">
        <v>65.0130451891888</v>
      </c>
      <c r="AF77">
        <v>18.5183504967563</v>
      </c>
      <c r="AG77">
        <v>9388.6</v>
      </c>
      <c r="AH77">
        <v>60.066408</v>
      </c>
      <c r="AI77">
        <v>610381461717</v>
      </c>
    </row>
    <row r="78" spans="1:35">
      <c r="A78" s="290" t="s">
        <v>1025</v>
      </c>
      <c r="B78" s="127" t="s">
        <v>50</v>
      </c>
      <c r="C78" s="291" t="str">
        <v>Shree Cement Ltd</v>
      </c>
      <c r="D78" s="292">
        <v>0.000575187898372873</v>
      </c>
      <c r="E78" s="293">
        <f t="shared" si="2"/>
        <v>4.79323248644061e-5</v>
      </c>
      <c r="F78" s="291" t="str">
        <v>Materials</v>
      </c>
      <c r="G78" s="293">
        <f t="shared" si="3"/>
        <v>4.79323248644061e-5</v>
      </c>
      <c r="H78" s="291"/>
      <c r="J78" s="36"/>
      <c r="M78" s="290" t="s">
        <v>1014</v>
      </c>
      <c r="N78" s="298" t="s">
        <v>66</v>
      </c>
      <c r="O78" s="291" t="str">
        <v>Premier Energies Ltd</v>
      </c>
      <c r="P78" s="299">
        <v>0.0116589991598385</v>
      </c>
      <c r="Q78" s="293">
        <f>P78*VLOOKUP(N78,'Selector Sheet '!$B$13:$D$43,2,FALSE)</f>
        <v>0</v>
      </c>
      <c r="R78" s="291" t="str">
        <v>Information Technology</v>
      </c>
      <c r="S78" s="293">
        <f>P78*VLOOKUP(N78,'Selector Sheet '!$B$13:$D$43,2,FALSE)</f>
        <v>0</v>
      </c>
      <c r="T78" s="291"/>
      <c r="X78" s="291" t="str">
        <v>INE070A01015</v>
      </c>
      <c r="Z78" s="290" t="s">
        <v>1025</v>
      </c>
      <c r="AB78" t="s">
        <v>1025</v>
      </c>
      <c r="AC78" t="s">
        <v>1026</v>
      </c>
      <c r="AD78" t="s">
        <v>823</v>
      </c>
      <c r="AE78">
        <v>101.918503759882</v>
      </c>
      <c r="AF78">
        <v>5.31606151133493</v>
      </c>
      <c r="AG78">
        <v>11227.7</v>
      </c>
      <c r="AH78">
        <v>311.18</v>
      </c>
      <c r="AI78">
        <v>1144300922820</v>
      </c>
    </row>
    <row r="79" spans="1:35">
      <c r="A79" s="294" t="s">
        <v>1027</v>
      </c>
      <c r="B79" s="127" t="s">
        <v>50</v>
      </c>
      <c r="C79" s="291" t="str">
        <v>Siemens Energy India Ltd</v>
      </c>
      <c r="D79" s="295">
        <v>0.001794184373803</v>
      </c>
      <c r="E79" s="293">
        <f t="shared" si="2"/>
        <v>0.000149515364483583</v>
      </c>
      <c r="F79" s="291" t="str">
        <v>Industrials</v>
      </c>
      <c r="G79" s="293">
        <f t="shared" si="3"/>
        <v>0.000149515364483583</v>
      </c>
      <c r="H79" s="291"/>
      <c r="J79" s="36"/>
      <c r="M79" s="294" t="s">
        <v>1028</v>
      </c>
      <c r="N79" s="300" t="s">
        <v>66</v>
      </c>
      <c r="O79" s="291" t="str">
        <v>Punjab National Bank</v>
      </c>
      <c r="P79" s="301">
        <v>0.00340245444491853</v>
      </c>
      <c r="Q79" s="293">
        <f>P79*VLOOKUP(N79,'Selector Sheet '!$B$13:$D$43,2,FALSE)</f>
        <v>0</v>
      </c>
      <c r="R79" s="291" t="str">
        <v>Financials</v>
      </c>
      <c r="S79" s="293">
        <f>P79*VLOOKUP(N79,'Selector Sheet '!$B$13:$D$43,2,FALSE)</f>
        <v>0</v>
      </c>
      <c r="T79" s="291"/>
      <c r="X79" s="291" t="str">
        <v>INE1NPP01017</v>
      </c>
      <c r="Z79" s="294" t="s">
        <v>1027</v>
      </c>
      <c r="AB79" t="s">
        <v>1027</v>
      </c>
      <c r="AC79" t="s">
        <v>1029</v>
      </c>
      <c r="AD79" t="s">
        <v>813</v>
      </c>
      <c r="AE79" t="s">
        <v>824</v>
      </c>
      <c r="AF79" t="s">
        <v>824</v>
      </c>
      <c r="AG79" t="s">
        <v>824</v>
      </c>
      <c r="AH79" t="s">
        <v>824</v>
      </c>
      <c r="AI79">
        <v>1146494353797</v>
      </c>
    </row>
    <row r="80" spans="1:35">
      <c r="A80" s="290" t="s">
        <v>1030</v>
      </c>
      <c r="B80" s="127" t="s">
        <v>50</v>
      </c>
      <c r="C80" s="291" t="str">
        <v>Siemens Ltd</v>
      </c>
      <c r="D80" s="292">
        <v>0.00168086808395249</v>
      </c>
      <c r="E80" s="293">
        <f t="shared" si="2"/>
        <v>0.000140072340329374</v>
      </c>
      <c r="F80" s="291" t="str">
        <v>Industrials</v>
      </c>
      <c r="G80" s="293">
        <f t="shared" si="3"/>
        <v>0.000140072340329374</v>
      </c>
      <c r="H80" s="291"/>
      <c r="J80" s="36"/>
      <c r="M80" s="290" t="s">
        <v>1031</v>
      </c>
      <c r="N80" s="298" t="s">
        <v>66</v>
      </c>
      <c r="O80" s="291" t="str">
        <v>REC Ltd</v>
      </c>
      <c r="P80" s="299">
        <v>0.00464272676541705</v>
      </c>
      <c r="Q80" s="293">
        <f>P80*VLOOKUP(N80,'Selector Sheet '!$B$13:$D$43,2,FALSE)</f>
        <v>0</v>
      </c>
      <c r="R80" s="291" t="str">
        <v>Financials</v>
      </c>
      <c r="S80" s="293">
        <f>P80*VLOOKUP(N80,'Selector Sheet '!$B$13:$D$43,2,FALSE)</f>
        <v>0</v>
      </c>
      <c r="T80" s="291"/>
      <c r="X80" s="291" t="str">
        <v>INE003A01024</v>
      </c>
      <c r="Z80" s="290" t="s">
        <v>1030</v>
      </c>
      <c r="AB80" t="s">
        <v>1030</v>
      </c>
      <c r="AC80" t="s">
        <v>1032</v>
      </c>
      <c r="AD80" t="s">
        <v>813</v>
      </c>
      <c r="AE80">
        <v>41.454730660442</v>
      </c>
      <c r="AF80">
        <v>19.1015265189602</v>
      </c>
      <c r="AG80">
        <v>27166</v>
      </c>
      <c r="AH80">
        <v>76.283213</v>
      </c>
      <c r="AI80">
        <v>1126159872961.5</v>
      </c>
    </row>
    <row r="81" spans="1:35">
      <c r="A81" s="294" t="s">
        <v>1033</v>
      </c>
      <c r="B81" s="127" t="s">
        <v>50</v>
      </c>
      <c r="C81" s="291" t="str">
        <v>Solar Industries India Ltd</v>
      </c>
      <c r="D81" s="295">
        <v>0.00287687880418309</v>
      </c>
      <c r="E81" s="293">
        <f t="shared" si="2"/>
        <v>0.000239739900348591</v>
      </c>
      <c r="F81" s="291" t="str">
        <v>Materials</v>
      </c>
      <c r="G81" s="293">
        <f t="shared" si="3"/>
        <v>0.000239739900348591</v>
      </c>
      <c r="H81" s="291"/>
      <c r="J81" s="36"/>
      <c r="M81" s="294" t="s">
        <v>1034</v>
      </c>
      <c r="N81" s="300" t="s">
        <v>66</v>
      </c>
      <c r="O81" s="291" t="str">
        <v>Reliance Industries Ltd</v>
      </c>
      <c r="P81" s="301">
        <v>0.0465585167527564</v>
      </c>
      <c r="Q81" s="293">
        <f>P81*VLOOKUP(N81,'Selector Sheet '!$B$13:$D$43,2,FALSE)</f>
        <v>0</v>
      </c>
      <c r="R81" s="291" t="str">
        <v>Energy</v>
      </c>
      <c r="S81" s="293">
        <f>P81*VLOOKUP(N81,'Selector Sheet '!$B$13:$D$43,2,FALSE)</f>
        <v>0</v>
      </c>
      <c r="T81" s="291"/>
      <c r="X81" s="291" t="str">
        <v>INE343H01029</v>
      </c>
      <c r="Z81" s="294" t="s">
        <v>1033</v>
      </c>
      <c r="AB81" t="s">
        <v>1033</v>
      </c>
      <c r="AC81" t="s">
        <v>1035</v>
      </c>
      <c r="AD81" t="s">
        <v>823</v>
      </c>
      <c r="AE81">
        <v>113.368873924429</v>
      </c>
      <c r="AF81">
        <v>31.4469431638832</v>
      </c>
      <c r="AG81">
        <v>12094.4</v>
      </c>
      <c r="AH81">
        <v>133.65</v>
      </c>
      <c r="AI81">
        <v>1371082690846.25</v>
      </c>
    </row>
    <row r="82" spans="1:35">
      <c r="A82" s="290" t="s">
        <v>1036</v>
      </c>
      <c r="B82" s="127" t="s">
        <v>50</v>
      </c>
      <c r="C82" s="291" t="str">
        <v>Sona Blw Precision Forgings Lt</v>
      </c>
      <c r="D82" s="292">
        <v>0.0105126386605507</v>
      </c>
      <c r="E82" s="293">
        <f t="shared" si="2"/>
        <v>0.000876053221712558</v>
      </c>
      <c r="F82" s="291" t="str">
        <v>Consumer Discretionary</v>
      </c>
      <c r="G82" s="293">
        <f t="shared" si="3"/>
        <v>0.000876053221712558</v>
      </c>
      <c r="H82" s="291"/>
      <c r="J82" s="36"/>
      <c r="M82" s="290" t="s">
        <v>1037</v>
      </c>
      <c r="N82" s="298" t="s">
        <v>66</v>
      </c>
      <c r="O82" s="291" t="str">
        <v>Sagility India Ltd</v>
      </c>
      <c r="P82" s="299">
        <v>0.00187569963786459</v>
      </c>
      <c r="Q82" s="293">
        <f>P82*VLOOKUP(N82,'Selector Sheet '!$B$13:$D$43,2,FALSE)</f>
        <v>0</v>
      </c>
      <c r="R82" s="291" t="str">
        <v>Industrials</v>
      </c>
      <c r="S82" s="293">
        <f>P82*VLOOKUP(N82,'Selector Sheet '!$B$13:$D$43,2,FALSE)</f>
        <v>0</v>
      </c>
      <c r="T82" s="291"/>
      <c r="X82" s="291" t="str">
        <v>INE073K01018</v>
      </c>
      <c r="Z82" s="290" t="s">
        <v>1036</v>
      </c>
      <c r="AB82" t="s">
        <v>1036</v>
      </c>
      <c r="AC82" t="s">
        <v>1038</v>
      </c>
      <c r="AD82" t="s">
        <v>838</v>
      </c>
      <c r="AE82">
        <v>45.2973796475318</v>
      </c>
      <c r="AF82">
        <v>14.7625725313557</v>
      </c>
      <c r="AG82">
        <v>6012.13</v>
      </c>
      <c r="AH82">
        <v>9.92</v>
      </c>
      <c r="AI82">
        <v>279370320116.25</v>
      </c>
    </row>
    <row r="83" spans="1:35">
      <c r="A83" s="294" t="s">
        <v>1039</v>
      </c>
      <c r="B83" s="127" t="s">
        <v>50</v>
      </c>
      <c r="C83" s="291" t="str">
        <v>SRF Ltd</v>
      </c>
      <c r="D83" s="295">
        <v>0</v>
      </c>
      <c r="E83" s="293">
        <f t="shared" si="2"/>
        <v>0</v>
      </c>
      <c r="F83" s="291" t="str">
        <v>Materials</v>
      </c>
      <c r="G83" s="293">
        <f t="shared" si="3"/>
        <v>0</v>
      </c>
      <c r="H83" s="291"/>
      <c r="J83" s="36"/>
      <c r="M83" s="294" t="s">
        <v>1022</v>
      </c>
      <c r="N83" s="300" t="s">
        <v>66</v>
      </c>
      <c r="O83" s="291" t="str">
        <v>Schaeffler India Ltd</v>
      </c>
      <c r="P83" s="301">
        <v>0.00379190989749773</v>
      </c>
      <c r="Q83" s="293">
        <f>P83*VLOOKUP(N83,'Selector Sheet '!$B$13:$D$43,2,FALSE)</f>
        <v>0</v>
      </c>
      <c r="R83" s="291" t="str">
        <v>Industrials</v>
      </c>
      <c r="S83" s="293">
        <f>P83*VLOOKUP(N83,'Selector Sheet '!$B$13:$D$43,2,FALSE)</f>
        <v>0</v>
      </c>
      <c r="T83" s="291"/>
      <c r="X83" s="291" t="str">
        <v>INE647A01010</v>
      </c>
      <c r="Z83" s="294" t="s">
        <v>1039</v>
      </c>
      <c r="AB83" t="s">
        <v>1039</v>
      </c>
      <c r="AC83" t="s">
        <v>1040</v>
      </c>
      <c r="AD83" t="s">
        <v>823</v>
      </c>
      <c r="AE83">
        <v>68.0971552410397</v>
      </c>
      <c r="AF83">
        <v>10.3776692351283</v>
      </c>
      <c r="AG83">
        <v>12507.8</v>
      </c>
      <c r="AH83">
        <v>42.2</v>
      </c>
      <c r="AI83">
        <v>851836019602.5</v>
      </c>
    </row>
    <row r="84" spans="1:35">
      <c r="A84" s="290" t="s">
        <v>1041</v>
      </c>
      <c r="B84" s="127" t="s">
        <v>50</v>
      </c>
      <c r="C84" s="291" t="str">
        <v>State Bank of India</v>
      </c>
      <c r="D84" s="292">
        <v>0.00751242032131596</v>
      </c>
      <c r="E84" s="293">
        <f t="shared" si="2"/>
        <v>0.00062603502677633</v>
      </c>
      <c r="F84" s="291" t="str">
        <v>Financials</v>
      </c>
      <c r="G84" s="293">
        <f t="shared" si="3"/>
        <v>0.00062603502677633</v>
      </c>
      <c r="H84" s="291"/>
      <c r="J84" s="36"/>
      <c r="M84" s="290" t="s">
        <v>1042</v>
      </c>
      <c r="N84" s="298" t="s">
        <v>66</v>
      </c>
      <c r="O84" s="291" t="str">
        <v>SJVN Ltd</v>
      </c>
      <c r="P84" s="299">
        <v>0.000609668440730142</v>
      </c>
      <c r="Q84" s="293">
        <f>P84*VLOOKUP(N84,'Selector Sheet '!$B$13:$D$43,2,FALSE)</f>
        <v>0</v>
      </c>
      <c r="R84" s="291" t="str">
        <v>Utilities</v>
      </c>
      <c r="S84" s="293">
        <f>P84*VLOOKUP(N84,'Selector Sheet '!$B$13:$D$43,2,FALSE)</f>
        <v>0</v>
      </c>
      <c r="T84" s="291"/>
      <c r="X84" s="291" t="str">
        <v>INE062A01020</v>
      </c>
      <c r="Z84" s="290" t="s">
        <v>1041</v>
      </c>
      <c r="AB84" t="s">
        <v>1041</v>
      </c>
      <c r="AC84" t="s">
        <v>1043</v>
      </c>
      <c r="AD84" t="s">
        <v>831</v>
      </c>
      <c r="AE84">
        <v>9.33939993026591</v>
      </c>
      <c r="AF84">
        <v>16.5576239249968</v>
      </c>
      <c r="AG84">
        <v>775613.371</v>
      </c>
      <c r="AH84">
        <v>86.91</v>
      </c>
      <c r="AI84">
        <v>7673412399241.8</v>
      </c>
    </row>
    <row r="85" spans="1:35">
      <c r="A85" s="294" t="s">
        <v>1044</v>
      </c>
      <c r="B85" s="127" t="s">
        <v>50</v>
      </c>
      <c r="C85" s="291" t="str">
        <v>Sun Pharmaceutical Industries</v>
      </c>
      <c r="D85" s="295">
        <v>0.00767630683812597</v>
      </c>
      <c r="E85" s="293">
        <f t="shared" si="2"/>
        <v>0.000639692236510497</v>
      </c>
      <c r="F85" s="291" t="str">
        <v>Health Care</v>
      </c>
      <c r="G85" s="293">
        <f t="shared" si="3"/>
        <v>0.000639692236510497</v>
      </c>
      <c r="H85" s="291"/>
      <c r="J85" s="36"/>
      <c r="M85" s="294" t="s">
        <v>1041</v>
      </c>
      <c r="N85" s="300" t="s">
        <v>66</v>
      </c>
      <c r="O85" s="291" t="str">
        <v>State Bank of India</v>
      </c>
      <c r="P85" s="301">
        <v>0.022778093828901</v>
      </c>
      <c r="Q85" s="293">
        <f>P85*VLOOKUP(N85,'Selector Sheet '!$B$13:$D$43,2,FALSE)</f>
        <v>0</v>
      </c>
      <c r="R85" s="291" t="str">
        <v>Financials</v>
      </c>
      <c r="S85" s="293">
        <f>P85*VLOOKUP(N85,'Selector Sheet '!$B$13:$D$43,2,FALSE)</f>
        <v>0</v>
      </c>
      <c r="T85" s="291"/>
      <c r="X85" s="291" t="str">
        <v>INE044A01036</v>
      </c>
      <c r="Z85" s="294" t="s">
        <v>1044</v>
      </c>
      <c r="AB85" t="s">
        <v>1044</v>
      </c>
      <c r="AC85" t="s">
        <v>1045</v>
      </c>
      <c r="AD85" t="s">
        <v>819</v>
      </c>
      <c r="AE85">
        <v>35.8771929824561</v>
      </c>
      <c r="AF85">
        <v>16.0857467691192</v>
      </c>
      <c r="AG85">
        <v>109290.4</v>
      </c>
      <c r="AH85">
        <v>45.6</v>
      </c>
      <c r="AI85">
        <v>3925216255840</v>
      </c>
    </row>
    <row r="86" spans="1:35">
      <c r="A86" s="290" t="s">
        <v>1046</v>
      </c>
      <c r="B86" s="127" t="s">
        <v>50</v>
      </c>
      <c r="C86" s="291" t="str">
        <v>Suzlon Energy Ltd</v>
      </c>
      <c r="D86" s="292">
        <v>0.00896264026540489</v>
      </c>
      <c r="E86" s="293">
        <f t="shared" si="2"/>
        <v>0.000746886688783741</v>
      </c>
      <c r="F86" s="291" t="str">
        <v>Industrials</v>
      </c>
      <c r="G86" s="293">
        <f t="shared" si="3"/>
        <v>0.000746886688783741</v>
      </c>
      <c r="H86" s="291"/>
      <c r="J86" s="36"/>
      <c r="M86" s="290" t="s">
        <v>1044</v>
      </c>
      <c r="N86" s="298" t="s">
        <v>66</v>
      </c>
      <c r="O86" s="291" t="str">
        <v>Sun Pharmaceutical Industries</v>
      </c>
      <c r="P86" s="299">
        <v>0.0173374360227094</v>
      </c>
      <c r="Q86" s="293">
        <f>P86*VLOOKUP(N86,'Selector Sheet '!$B$13:$D$43,2,FALSE)</f>
        <v>0</v>
      </c>
      <c r="R86" s="291" t="str">
        <v>Health Care</v>
      </c>
      <c r="S86" s="293">
        <f>P86*VLOOKUP(N86,'Selector Sheet '!$B$13:$D$43,2,FALSE)</f>
        <v>0</v>
      </c>
      <c r="T86" s="291"/>
      <c r="X86" s="291" t="str">
        <v>INE040H01021</v>
      </c>
      <c r="Z86" s="290" t="s">
        <v>1046</v>
      </c>
      <c r="AB86" t="s">
        <v>1046</v>
      </c>
      <c r="AC86" t="s">
        <v>1047</v>
      </c>
      <c r="AD86" t="s">
        <v>813</v>
      </c>
      <c r="AE86">
        <v>39.6118415029425</v>
      </c>
      <c r="AF86">
        <v>41.3250309444516</v>
      </c>
      <c r="AG86">
        <v>20716.3</v>
      </c>
      <c r="AH86">
        <v>1.52</v>
      </c>
      <c r="AI86">
        <v>824990229782.01</v>
      </c>
    </row>
    <row r="87" spans="1:35">
      <c r="A87" s="294" t="s">
        <v>1048</v>
      </c>
      <c r="B87" s="127" t="s">
        <v>50</v>
      </c>
      <c r="C87" s="291" t="str">
        <v>Swiggy Ltd</v>
      </c>
      <c r="D87" s="295">
        <v>0.0034179344411742</v>
      </c>
      <c r="E87" s="293">
        <f t="shared" si="2"/>
        <v>0.00028482787009785</v>
      </c>
      <c r="F87" s="291" t="str">
        <v>Consumer Discretionary</v>
      </c>
      <c r="G87" s="293">
        <f t="shared" si="3"/>
        <v>0.00028482787009785</v>
      </c>
      <c r="H87" s="291"/>
      <c r="J87" s="36"/>
      <c r="M87" s="294" t="s">
        <v>1046</v>
      </c>
      <c r="N87" s="300" t="s">
        <v>66</v>
      </c>
      <c r="O87" s="291" t="str">
        <v>Suzlon Energy Ltd</v>
      </c>
      <c r="P87" s="301">
        <v>0.00567849158582581</v>
      </c>
      <c r="Q87" s="293">
        <f>P87*VLOOKUP(N87,'Selector Sheet '!$B$13:$D$43,2,FALSE)</f>
        <v>0</v>
      </c>
      <c r="R87" s="291" t="str">
        <v>Industrials</v>
      </c>
      <c r="S87" s="293">
        <f>P87*VLOOKUP(N87,'Selector Sheet '!$B$13:$D$43,2,FALSE)</f>
        <v>0</v>
      </c>
      <c r="T87" s="291"/>
      <c r="X87" s="291" t="str">
        <v>INE00H001014</v>
      </c>
      <c r="Z87" s="294" t="s">
        <v>1048</v>
      </c>
      <c r="AB87" t="s">
        <v>1048</v>
      </c>
      <c r="AC87" t="s">
        <v>1049</v>
      </c>
      <c r="AD87" t="s">
        <v>838</v>
      </c>
      <c r="AE87" t="s">
        <v>824</v>
      </c>
      <c r="AF87">
        <v>-34.6100493988434</v>
      </c>
      <c r="AG87">
        <v>-31167.99</v>
      </c>
      <c r="AH87">
        <v>-13.72</v>
      </c>
      <c r="AI87">
        <v>1002695415273.2</v>
      </c>
    </row>
    <row r="88" spans="1:35">
      <c r="A88" s="290" t="s">
        <v>1050</v>
      </c>
      <c r="B88" s="127" t="s">
        <v>50</v>
      </c>
      <c r="C88" s="291" t="str">
        <v>Syngene International Ltd</v>
      </c>
      <c r="D88" s="292">
        <v>0.00187656597795674</v>
      </c>
      <c r="E88" s="293">
        <f t="shared" si="2"/>
        <v>0.000156380498163062</v>
      </c>
      <c r="F88" s="291" t="str">
        <v>Health Care</v>
      </c>
      <c r="G88" s="293">
        <f t="shared" si="3"/>
        <v>0.000156380498163062</v>
      </c>
      <c r="H88" s="291"/>
      <c r="J88" s="36"/>
      <c r="M88" s="290" t="s">
        <v>1051</v>
      </c>
      <c r="N88" s="298" t="s">
        <v>66</v>
      </c>
      <c r="O88" s="291" t="str">
        <v>Tata Consultancy Services Ltd</v>
      </c>
      <c r="P88" s="299">
        <v>0.0101743419402457</v>
      </c>
      <c r="Q88" s="293">
        <f>P88*VLOOKUP(N88,'Selector Sheet '!$B$13:$D$43,2,FALSE)</f>
        <v>0</v>
      </c>
      <c r="R88" s="291" t="str">
        <v>Information Technology</v>
      </c>
      <c r="S88" s="293">
        <f>P88*VLOOKUP(N88,'Selector Sheet '!$B$13:$D$43,2,FALSE)</f>
        <v>0</v>
      </c>
      <c r="T88" s="291"/>
      <c r="X88" s="291" t="str">
        <v>INE398R01022</v>
      </c>
      <c r="Z88" s="290" t="s">
        <v>1050</v>
      </c>
      <c r="AB88" t="s">
        <v>1050</v>
      </c>
      <c r="AC88" t="s">
        <v>1052</v>
      </c>
      <c r="AD88" t="s">
        <v>819</v>
      </c>
      <c r="AE88">
        <v>54.5587034650177</v>
      </c>
      <c r="AF88">
        <v>11.0455668588474</v>
      </c>
      <c r="AG88">
        <v>4962</v>
      </c>
      <c r="AH88">
        <v>12.35</v>
      </c>
      <c r="AI88">
        <v>271500581196</v>
      </c>
    </row>
    <row r="89" spans="1:35">
      <c r="A89" s="294" t="s">
        <v>1053</v>
      </c>
      <c r="B89" s="127" t="s">
        <v>50</v>
      </c>
      <c r="C89" s="291" t="str">
        <v>Tata Chemicals Ltd</v>
      </c>
      <c r="D89" s="295">
        <v>0.000214910744723557</v>
      </c>
      <c r="E89" s="293">
        <f t="shared" si="2"/>
        <v>1.79092287269631e-5</v>
      </c>
      <c r="F89" s="291" t="str">
        <v>Materials</v>
      </c>
      <c r="G89" s="293">
        <f t="shared" si="3"/>
        <v>1.79092287269631e-5</v>
      </c>
      <c r="H89" s="291"/>
      <c r="J89" s="36"/>
      <c r="M89" s="294" t="s">
        <v>1054</v>
      </c>
      <c r="N89" s="300" t="s">
        <v>66</v>
      </c>
      <c r="O89" s="291" t="str">
        <v>Tata Motors Ltd</v>
      </c>
      <c r="P89" s="301">
        <v>0.00719487248414049</v>
      </c>
      <c r="Q89" s="293">
        <f>P89*VLOOKUP(N89,'Selector Sheet '!$B$13:$D$43,2,FALSE)</f>
        <v>0</v>
      </c>
      <c r="R89" s="291" t="str">
        <v>Consumer Discretionary</v>
      </c>
      <c r="S89" s="293">
        <f>P89*VLOOKUP(N89,'Selector Sheet '!$B$13:$D$43,2,FALSE)</f>
        <v>0</v>
      </c>
      <c r="T89" s="291"/>
      <c r="X89" s="291" t="str">
        <v>INE092A01019</v>
      </c>
      <c r="Z89" s="294" t="s">
        <v>1053</v>
      </c>
      <c r="AB89" t="s">
        <v>1053</v>
      </c>
      <c r="AC89" t="s">
        <v>1055</v>
      </c>
      <c r="AD89" t="s">
        <v>823</v>
      </c>
      <c r="AE89">
        <v>118.997481010601</v>
      </c>
      <c r="AF89">
        <v>1.07220257784875</v>
      </c>
      <c r="AG89">
        <v>2350</v>
      </c>
      <c r="AH89">
        <v>9.23</v>
      </c>
      <c r="AI89">
        <v>240400761734.7</v>
      </c>
    </row>
    <row r="90" spans="1:35">
      <c r="A90" s="290" t="s">
        <v>1051</v>
      </c>
      <c r="B90" s="127" t="s">
        <v>50</v>
      </c>
      <c r="C90" s="291" t="str">
        <v>Tata Consultancy Services Ltd</v>
      </c>
      <c r="D90" s="292">
        <v>0.00129132743777348</v>
      </c>
      <c r="E90" s="293">
        <f t="shared" si="2"/>
        <v>0.000107610619814457</v>
      </c>
      <c r="F90" s="291" t="str">
        <v>Information Technology</v>
      </c>
      <c r="G90" s="293">
        <f t="shared" si="3"/>
        <v>0.000107610619814457</v>
      </c>
      <c r="H90" s="291"/>
      <c r="J90" s="36"/>
      <c r="M90" s="290" t="s">
        <v>1056</v>
      </c>
      <c r="N90" s="298" t="s">
        <v>66</v>
      </c>
      <c r="O90" s="291" t="str">
        <v>Tata Steel Ltd</v>
      </c>
      <c r="P90" s="299">
        <v>0.0105096216674571</v>
      </c>
      <c r="Q90" s="293">
        <f>P90*VLOOKUP(N90,'Selector Sheet '!$B$13:$D$43,2,FALSE)</f>
        <v>0</v>
      </c>
      <c r="R90" s="291" t="str">
        <v>Materials</v>
      </c>
      <c r="S90" s="293">
        <f>P90*VLOOKUP(N90,'Selector Sheet '!$B$13:$D$43,2,FALSE)</f>
        <v>0</v>
      </c>
      <c r="T90" s="291"/>
      <c r="X90" s="291" t="str">
        <v>INE467B01029</v>
      </c>
      <c r="Z90" s="290" t="s">
        <v>1051</v>
      </c>
      <c r="AB90" t="s">
        <v>1051</v>
      </c>
      <c r="AC90" t="s">
        <v>1057</v>
      </c>
      <c r="AD90" t="s">
        <v>884</v>
      </c>
      <c r="AE90">
        <v>22.2020209643454</v>
      </c>
      <c r="AF90">
        <v>50.698645923365</v>
      </c>
      <c r="AG90">
        <v>485530</v>
      </c>
      <c r="AH90">
        <v>134.19</v>
      </c>
      <c r="AI90">
        <v>10939649419424.8</v>
      </c>
    </row>
    <row r="91" spans="1:35">
      <c r="A91" s="294" t="s">
        <v>1058</v>
      </c>
      <c r="B91" s="127" t="s">
        <v>50</v>
      </c>
      <c r="C91" s="291" t="str">
        <v>Tata Consumer Products Ltd</v>
      </c>
      <c r="D91" s="295">
        <v>0.0197501608484285</v>
      </c>
      <c r="E91" s="293">
        <f t="shared" si="2"/>
        <v>0.00164584673736904</v>
      </c>
      <c r="F91" s="291" t="str">
        <v>Consumer Staples</v>
      </c>
      <c r="G91" s="293">
        <f t="shared" si="3"/>
        <v>0.00164584673736904</v>
      </c>
      <c r="H91" s="291"/>
      <c r="J91" s="36"/>
      <c r="M91" s="294" t="s">
        <v>1059</v>
      </c>
      <c r="N91" s="300" t="s">
        <v>66</v>
      </c>
      <c r="O91" s="291" t="str">
        <v>Tech Mahindra Ltd</v>
      </c>
      <c r="P91" s="301">
        <v>0.00476287492171979</v>
      </c>
      <c r="Q91" s="293">
        <f>P91*VLOOKUP(N91,'Selector Sheet '!$B$13:$D$43,2,FALSE)</f>
        <v>0</v>
      </c>
      <c r="R91" s="291" t="str">
        <v>Information Technology</v>
      </c>
      <c r="S91" s="293">
        <f>P91*VLOOKUP(N91,'Selector Sheet '!$B$13:$D$43,2,FALSE)</f>
        <v>0</v>
      </c>
      <c r="T91" s="291"/>
      <c r="X91" s="291" t="str">
        <v>INE192A01025</v>
      </c>
      <c r="Z91" s="294" t="s">
        <v>1058</v>
      </c>
      <c r="AB91" t="s">
        <v>1058</v>
      </c>
      <c r="AC91" t="s">
        <v>1060</v>
      </c>
      <c r="AD91" t="s">
        <v>980</v>
      </c>
      <c r="AE91">
        <v>80.8554910490758</v>
      </c>
      <c r="AF91" t="s">
        <v>824</v>
      </c>
      <c r="AG91">
        <v>12784.7</v>
      </c>
      <c r="AH91">
        <v>12.920364</v>
      </c>
      <c r="AI91">
        <v>1069982843875</v>
      </c>
    </row>
    <row r="92" spans="1:35">
      <c r="A92" s="290" t="s">
        <v>1054</v>
      </c>
      <c r="B92" s="127" t="s">
        <v>50</v>
      </c>
      <c r="C92" s="291" t="str">
        <v>Tata Motors Ltd</v>
      </c>
      <c r="D92" s="292">
        <v>0.00353335635613919</v>
      </c>
      <c r="E92" s="293">
        <f t="shared" si="2"/>
        <v>0.000294446363011599</v>
      </c>
      <c r="F92" s="291" t="str">
        <v>Consumer Discretionary</v>
      </c>
      <c r="G92" s="293">
        <f t="shared" si="3"/>
        <v>0.000294446363011599</v>
      </c>
      <c r="H92" s="291"/>
      <c r="J92" s="36"/>
      <c r="M92" s="290" t="s">
        <v>1061</v>
      </c>
      <c r="N92" s="298" t="s">
        <v>66</v>
      </c>
      <c r="O92" s="291" t="str">
        <v>Federal Bank Ltd</v>
      </c>
      <c r="P92" s="299">
        <v>0.00587414178478401</v>
      </c>
      <c r="Q92" s="293">
        <f>P92*VLOOKUP(N92,'Selector Sheet '!$B$13:$D$43,2,FALSE)</f>
        <v>0</v>
      </c>
      <c r="R92" s="291" t="str">
        <v>Financials</v>
      </c>
      <c r="S92" s="293">
        <f>P92*VLOOKUP(N92,'Selector Sheet '!$B$13:$D$43,2,FALSE)</f>
        <v>0</v>
      </c>
      <c r="T92" s="291"/>
      <c r="X92" s="291" t="str">
        <v>INE155A01022</v>
      </c>
      <c r="Z92" s="290" t="s">
        <v>1054</v>
      </c>
      <c r="AB92" t="s">
        <v>1054</v>
      </c>
      <c r="AC92" t="s">
        <v>1062</v>
      </c>
      <c r="AD92" t="s">
        <v>838</v>
      </c>
      <c r="AE92">
        <v>11.6732492142132</v>
      </c>
      <c r="AF92" t="s">
        <v>824</v>
      </c>
      <c r="AG92">
        <v>278300</v>
      </c>
      <c r="AH92">
        <v>75.594961</v>
      </c>
      <c r="AI92">
        <v>2501169915402.9</v>
      </c>
    </row>
    <row r="93" spans="1:35">
      <c r="A93" s="294" t="s">
        <v>1063</v>
      </c>
      <c r="B93" s="127" t="s">
        <v>50</v>
      </c>
      <c r="C93" s="291" t="str">
        <v>Tata Power Co Ltd/The</v>
      </c>
      <c r="D93" s="295">
        <v>0.0154060174953729</v>
      </c>
      <c r="E93" s="293">
        <f t="shared" si="2"/>
        <v>0.00128383479128107</v>
      </c>
      <c r="F93" s="291" t="str">
        <v>Utilities</v>
      </c>
      <c r="G93" s="293">
        <f t="shared" si="3"/>
        <v>0.00128383479128107</v>
      </c>
      <c r="H93" s="291"/>
      <c r="J93" s="36"/>
      <c r="M93" s="294" t="s">
        <v>1064</v>
      </c>
      <c r="N93" s="300" t="s">
        <v>66</v>
      </c>
      <c r="O93" s="291" t="str">
        <v>Indian Hotels Co Ltd/The</v>
      </c>
      <c r="P93" s="301">
        <v>0.00354446833049309</v>
      </c>
      <c r="Q93" s="293">
        <f>P93*VLOOKUP(N93,'Selector Sheet '!$B$13:$D$43,2,FALSE)</f>
        <v>0</v>
      </c>
      <c r="R93" s="291" t="str">
        <v>Consumer Discretionary</v>
      </c>
      <c r="S93" s="293">
        <f>P93*VLOOKUP(N93,'Selector Sheet '!$B$13:$D$43,2,FALSE)</f>
        <v>0</v>
      </c>
      <c r="T93" s="291"/>
      <c r="X93" s="291" t="str">
        <v>INE245A01021</v>
      </c>
      <c r="Z93" s="294" t="s">
        <v>1063</v>
      </c>
      <c r="AB93" t="s">
        <v>1063</v>
      </c>
      <c r="AC93" t="s">
        <v>1065</v>
      </c>
      <c r="AD93" t="s">
        <v>994</v>
      </c>
      <c r="AE93">
        <v>31.1876011355488</v>
      </c>
      <c r="AF93">
        <v>11.6458511618577</v>
      </c>
      <c r="AG93">
        <v>39710</v>
      </c>
      <c r="AH93">
        <v>12.42</v>
      </c>
      <c r="AI93">
        <v>1237714773530.45</v>
      </c>
    </row>
    <row r="94" spans="1:35">
      <c r="A94" s="290" t="s">
        <v>1066</v>
      </c>
      <c r="B94" s="127" t="s">
        <v>50</v>
      </c>
      <c r="C94" s="291" t="str">
        <v>TCI Express Ltd</v>
      </c>
      <c r="D94" s="292">
        <v>0.00160768391291963</v>
      </c>
      <c r="E94" s="293">
        <f t="shared" si="2"/>
        <v>0.000133973659409969</v>
      </c>
      <c r="F94" s="291" t="str">
        <v>Industrials</v>
      </c>
      <c r="G94" s="293">
        <f t="shared" si="3"/>
        <v>0.000133973659409969</v>
      </c>
      <c r="H94" s="291"/>
      <c r="J94" s="36"/>
      <c r="M94" s="290" t="s">
        <v>1067</v>
      </c>
      <c r="N94" s="298" t="s">
        <v>66</v>
      </c>
      <c r="O94" s="291" t="str">
        <v>Trent Ltd</v>
      </c>
      <c r="P94" s="299">
        <v>0.00341272672531295</v>
      </c>
      <c r="Q94" s="293">
        <f>P94*VLOOKUP(N94,'Selector Sheet '!$B$13:$D$43,2,FALSE)</f>
        <v>0</v>
      </c>
      <c r="R94" s="291" t="str">
        <v>Consumer Discretionary</v>
      </c>
      <c r="S94" s="293">
        <f>P94*VLOOKUP(N94,'Selector Sheet '!$B$13:$D$43,2,FALSE)</f>
        <v>0</v>
      </c>
      <c r="T94" s="291"/>
      <c r="X94" s="291" t="str">
        <v>INE586V01016</v>
      </c>
      <c r="Z94" s="290" t="s">
        <v>1066</v>
      </c>
      <c r="AB94" t="s">
        <v>1066</v>
      </c>
      <c r="AC94" t="s">
        <v>1068</v>
      </c>
      <c r="AD94" t="s">
        <v>813</v>
      </c>
      <c r="AE94">
        <v>32.0235354041085</v>
      </c>
      <c r="AF94">
        <v>11.6836241299936</v>
      </c>
      <c r="AG94">
        <v>858.1</v>
      </c>
      <c r="AH94">
        <v>22.36</v>
      </c>
      <c r="AI94">
        <v>26642267190</v>
      </c>
    </row>
    <row r="95" spans="1:35">
      <c r="A95" s="294" t="s">
        <v>1059</v>
      </c>
      <c r="B95" s="127" t="s">
        <v>50</v>
      </c>
      <c r="C95" s="291" t="str">
        <v>Tech Mahindra Ltd</v>
      </c>
      <c r="D95" s="295">
        <v>0.00235721600525101</v>
      </c>
      <c r="E95" s="293">
        <f t="shared" si="2"/>
        <v>0.000196434667104251</v>
      </c>
      <c r="F95" s="291" t="str">
        <v>Information Technology</v>
      </c>
      <c r="G95" s="293">
        <f t="shared" si="3"/>
        <v>0.000196434667104251</v>
      </c>
      <c r="H95" s="291"/>
      <c r="J95" s="36"/>
      <c r="M95" s="294" t="s">
        <v>1069</v>
      </c>
      <c r="N95" s="300" t="s">
        <v>66</v>
      </c>
      <c r="O95" s="291" t="str">
        <v>TVS Motor Co Ltd</v>
      </c>
      <c r="P95" s="301">
        <v>0.0153810356614722</v>
      </c>
      <c r="Q95" s="293">
        <f>P95*VLOOKUP(N95,'Selector Sheet '!$B$13:$D$43,2,FALSE)</f>
        <v>0</v>
      </c>
      <c r="R95" s="291" t="str">
        <v>Consumer Discretionary</v>
      </c>
      <c r="S95" s="293">
        <f>P95*VLOOKUP(N95,'Selector Sheet '!$B$13:$D$43,2,FALSE)</f>
        <v>0</v>
      </c>
      <c r="T95" s="291"/>
      <c r="X95" s="291" t="str">
        <v>INE669C01036</v>
      </c>
      <c r="Z95" s="294" t="s">
        <v>1059</v>
      </c>
      <c r="AB95" t="s">
        <v>1059</v>
      </c>
      <c r="AC95" t="s">
        <v>1070</v>
      </c>
      <c r="AD95" t="s">
        <v>884</v>
      </c>
      <c r="AE95">
        <v>30.6947907369522</v>
      </c>
      <c r="AF95">
        <v>15.7372910686292</v>
      </c>
      <c r="AG95">
        <v>42515</v>
      </c>
      <c r="AH95">
        <v>48</v>
      </c>
      <c r="AI95">
        <v>1460582645789</v>
      </c>
    </row>
    <row r="96" spans="1:35">
      <c r="A96" s="290" t="s">
        <v>1061</v>
      </c>
      <c r="B96" s="127" t="s">
        <v>50</v>
      </c>
      <c r="C96" s="291" t="str">
        <v>Federal Bank Ltd</v>
      </c>
      <c r="D96" s="292">
        <v>0.0271258212099391</v>
      </c>
      <c r="E96" s="293">
        <f t="shared" si="2"/>
        <v>0.00226048510082826</v>
      </c>
      <c r="F96" s="291" t="str">
        <v>Financials</v>
      </c>
      <c r="G96" s="293">
        <f t="shared" si="3"/>
        <v>0.00226048510082826</v>
      </c>
      <c r="H96" s="291"/>
      <c r="J96" s="36"/>
      <c r="M96" s="290" t="s">
        <v>1071</v>
      </c>
      <c r="N96" s="298" t="s">
        <v>66</v>
      </c>
      <c r="O96" s="291" t="str">
        <v>UltraTech Cement Ltd</v>
      </c>
      <c r="P96" s="299">
        <v>0.00944684716001427</v>
      </c>
      <c r="Q96" s="293">
        <f>P96*VLOOKUP(N96,'Selector Sheet '!$B$13:$D$43,2,FALSE)</f>
        <v>0</v>
      </c>
      <c r="R96" s="291" t="str">
        <v>Materials</v>
      </c>
      <c r="S96" s="293">
        <f>P96*VLOOKUP(N96,'Selector Sheet '!$B$13:$D$43,2,FALSE)</f>
        <v>0</v>
      </c>
      <c r="T96" s="291"/>
      <c r="X96" s="291" t="str">
        <v>INE171A01029</v>
      </c>
      <c r="Z96" s="290" t="s">
        <v>1061</v>
      </c>
      <c r="AB96" t="s">
        <v>1061</v>
      </c>
      <c r="AC96" t="s">
        <v>1072</v>
      </c>
      <c r="AD96" t="s">
        <v>831</v>
      </c>
      <c r="AE96">
        <v>11.598939749602</v>
      </c>
      <c r="AF96">
        <v>12.8669837177243</v>
      </c>
      <c r="AG96">
        <v>41588.458</v>
      </c>
      <c r="AH96">
        <v>16.98</v>
      </c>
      <c r="AI96">
        <v>483890240379</v>
      </c>
    </row>
    <row r="97" spans="1:35">
      <c r="A97" s="294" t="s">
        <v>1064</v>
      </c>
      <c r="B97" s="127" t="s">
        <v>50</v>
      </c>
      <c r="C97" s="291" t="str">
        <v>Indian Hotels Co Ltd/The</v>
      </c>
      <c r="D97" s="295">
        <v>0.0556601882074262</v>
      </c>
      <c r="E97" s="293">
        <f t="shared" si="2"/>
        <v>0.00463834901728552</v>
      </c>
      <c r="F97" s="291" t="str">
        <v>Consumer Discretionary</v>
      </c>
      <c r="G97" s="293">
        <f t="shared" si="3"/>
        <v>0.00463834901728552</v>
      </c>
      <c r="H97" s="291"/>
      <c r="J97" s="36"/>
      <c r="M97" s="294" t="s">
        <v>1073</v>
      </c>
      <c r="N97" s="300" t="s">
        <v>66</v>
      </c>
      <c r="O97" s="291" t="str">
        <v>Union Bank of India Ltd</v>
      </c>
      <c r="P97" s="301">
        <v>0.00224335971925686</v>
      </c>
      <c r="Q97" s="293">
        <f>P97*VLOOKUP(N97,'Selector Sheet '!$B$13:$D$43,2,FALSE)</f>
        <v>0</v>
      </c>
      <c r="R97" s="291" t="str">
        <v>Financials</v>
      </c>
      <c r="S97" s="293">
        <f>P97*VLOOKUP(N97,'Selector Sheet '!$B$13:$D$43,2,FALSE)</f>
        <v>0</v>
      </c>
      <c r="T97" s="291"/>
      <c r="X97" s="291" t="str">
        <v>INE053A01029</v>
      </c>
      <c r="Z97" s="294" t="s">
        <v>1064</v>
      </c>
      <c r="AB97" t="s">
        <v>1064</v>
      </c>
      <c r="AC97" t="s">
        <v>1074</v>
      </c>
      <c r="AD97" t="s">
        <v>838</v>
      </c>
      <c r="AE97">
        <v>58.2425382244053</v>
      </c>
      <c r="AF97">
        <v>18.5046970126146</v>
      </c>
      <c r="AG97">
        <v>19075.9</v>
      </c>
      <c r="AH97">
        <v>13.4</v>
      </c>
      <c r="AI97">
        <v>1110917681562.15</v>
      </c>
    </row>
    <row r="98" spans="1:35">
      <c r="A98" s="290" t="s">
        <v>1075</v>
      </c>
      <c r="B98" s="127" t="s">
        <v>50</v>
      </c>
      <c r="C98" s="291" t="str">
        <v>Thermax Ltd</v>
      </c>
      <c r="D98" s="292">
        <v>0.0011845902479554</v>
      </c>
      <c r="E98" s="293">
        <f t="shared" si="2"/>
        <v>9.87158539962833e-5</v>
      </c>
      <c r="F98" s="291" t="str">
        <v>Industrials</v>
      </c>
      <c r="G98" s="293">
        <f t="shared" si="3"/>
        <v>9.87158539962833e-5</v>
      </c>
      <c r="H98" s="291"/>
      <c r="J98" s="36"/>
      <c r="M98" s="290" t="s">
        <v>1076</v>
      </c>
      <c r="N98" s="298" t="s">
        <v>66</v>
      </c>
      <c r="O98" s="291" t="str">
        <v>United Spirits Ltd</v>
      </c>
      <c r="P98" s="299">
        <v>0.0064399458683657</v>
      </c>
      <c r="Q98" s="293">
        <f>P98*VLOOKUP(N98,'Selector Sheet '!$B$13:$D$43,2,FALSE)</f>
        <v>0</v>
      </c>
      <c r="R98" s="291" t="str">
        <v>Consumer Staples</v>
      </c>
      <c r="S98" s="293">
        <f>P98*VLOOKUP(N98,'Selector Sheet '!$B$13:$D$43,2,FALSE)</f>
        <v>0</v>
      </c>
      <c r="T98" s="291"/>
      <c r="X98" s="291" t="str">
        <v>INE152A01029</v>
      </c>
      <c r="Z98" s="290" t="s">
        <v>1075</v>
      </c>
      <c r="AB98" t="s">
        <v>1075</v>
      </c>
      <c r="AC98" t="s">
        <v>1077</v>
      </c>
      <c r="AD98" t="s">
        <v>813</v>
      </c>
      <c r="AE98">
        <v>58.6916402921401</v>
      </c>
      <c r="AF98">
        <v>13.5329204655374</v>
      </c>
      <c r="AG98">
        <v>6344.7</v>
      </c>
      <c r="AH98">
        <v>56.33</v>
      </c>
      <c r="AI98">
        <v>393942643430</v>
      </c>
    </row>
    <row r="99" spans="1:35">
      <c r="A99" s="294" t="s">
        <v>1078</v>
      </c>
      <c r="B99" s="127" t="s">
        <v>50</v>
      </c>
      <c r="C99" s="291" t="str">
        <v>Tips Music Ltd</v>
      </c>
      <c r="D99" s="295">
        <v>0.000411054812079201</v>
      </c>
      <c r="E99" s="293">
        <f t="shared" si="2"/>
        <v>3.42545676732667e-5</v>
      </c>
      <c r="F99" s="291" t="str">
        <v>Communication Services</v>
      </c>
      <c r="G99" s="293">
        <f t="shared" si="3"/>
        <v>3.42545676732667e-5</v>
      </c>
      <c r="H99" s="291"/>
      <c r="J99" s="36"/>
      <c r="M99" s="294" t="s">
        <v>1079</v>
      </c>
      <c r="N99" s="300" t="s">
        <v>66</v>
      </c>
      <c r="O99" s="291" t="str">
        <v>UNO Minda Ltd</v>
      </c>
      <c r="P99" s="301">
        <v>0.00312815954217963</v>
      </c>
      <c r="Q99" s="293">
        <f>P99*VLOOKUP(N99,'Selector Sheet '!$B$13:$D$43,2,FALSE)</f>
        <v>0</v>
      </c>
      <c r="R99" s="291" t="str">
        <v>Consumer Discretionary</v>
      </c>
      <c r="S99" s="293">
        <f>P99*VLOOKUP(N99,'Selector Sheet '!$B$13:$D$43,2,FALSE)</f>
        <v>0</v>
      </c>
      <c r="T99" s="291"/>
      <c r="X99" s="291" t="str">
        <v>INE716B01029</v>
      </c>
      <c r="Z99" s="294" t="s">
        <v>1078</v>
      </c>
      <c r="AB99" t="s">
        <v>1078</v>
      </c>
      <c r="AC99" t="s">
        <v>1080</v>
      </c>
      <c r="AD99" t="s">
        <v>857</v>
      </c>
      <c r="AE99">
        <v>45.5568375126008</v>
      </c>
      <c r="AF99">
        <v>85.6268177734709</v>
      </c>
      <c r="AG99">
        <v>1665.615</v>
      </c>
      <c r="AH99">
        <v>13.02</v>
      </c>
      <c r="AI99">
        <v>75823307608.5</v>
      </c>
    </row>
    <row r="100" spans="1:35">
      <c r="A100" s="290" t="s">
        <v>1081</v>
      </c>
      <c r="B100" s="127" t="s">
        <v>50</v>
      </c>
      <c r="C100" s="291" t="str">
        <v>Titan Co Ltd</v>
      </c>
      <c r="D100" s="292">
        <v>0.000407704598142406</v>
      </c>
      <c r="E100" s="293">
        <f t="shared" si="2"/>
        <v>3.39753831785338e-5</v>
      </c>
      <c r="F100" s="291" t="str">
        <v>Consumer Discretionary</v>
      </c>
      <c r="G100" s="293">
        <f t="shared" si="3"/>
        <v>3.39753831785338e-5</v>
      </c>
      <c r="H100" s="291"/>
      <c r="J100" s="36"/>
      <c r="M100" s="290" t="s">
        <v>1082</v>
      </c>
      <c r="N100" s="298" t="s">
        <v>66</v>
      </c>
      <c r="O100" s="291" t="str">
        <v>Varun Beverages Ltd</v>
      </c>
      <c r="P100" s="299">
        <v>0.00876690662760574</v>
      </c>
      <c r="Q100" s="293">
        <f>P100*VLOOKUP(N100,'Selector Sheet '!$B$13:$D$43,2,FALSE)</f>
        <v>0</v>
      </c>
      <c r="R100" s="291" t="str">
        <v>Consumer Staples</v>
      </c>
      <c r="S100" s="293">
        <f>P100*VLOOKUP(N100,'Selector Sheet '!$B$13:$D$43,2,FALSE)</f>
        <v>0</v>
      </c>
      <c r="T100" s="291"/>
      <c r="X100" s="291" t="str">
        <v>INE280A01028</v>
      </c>
      <c r="Z100" s="290" t="s">
        <v>1081</v>
      </c>
      <c r="AB100" t="s">
        <v>1081</v>
      </c>
      <c r="AC100" t="s">
        <v>1083</v>
      </c>
      <c r="AD100" t="s">
        <v>838</v>
      </c>
      <c r="AE100">
        <v>83.8415507757465</v>
      </c>
      <c r="AF100" t="s">
        <v>824</v>
      </c>
      <c r="AG100">
        <v>33370</v>
      </c>
      <c r="AH100">
        <v>37.62</v>
      </c>
      <c r="AI100">
        <v>3113288505888</v>
      </c>
    </row>
    <row r="101" spans="1:35">
      <c r="A101" s="294" t="s">
        <v>1084</v>
      </c>
      <c r="B101" s="127" t="s">
        <v>50</v>
      </c>
      <c r="C101" s="291" t="str">
        <v>Torrent Power Ltd</v>
      </c>
      <c r="D101" s="295">
        <v>0.0130702960870155</v>
      </c>
      <c r="E101" s="293">
        <f t="shared" si="2"/>
        <v>0.00108919134058462</v>
      </c>
      <c r="F101" s="291" t="str">
        <v>Utilities</v>
      </c>
      <c r="G101" s="293">
        <f t="shared" si="3"/>
        <v>0.00108919134058462</v>
      </c>
      <c r="H101" s="291"/>
      <c r="J101" s="36"/>
      <c r="M101" s="294" t="s">
        <v>1085</v>
      </c>
      <c r="N101" s="300" t="s">
        <v>66</v>
      </c>
      <c r="O101" s="291" t="str">
        <v>Vishal Mega Mart Ltd</v>
      </c>
      <c r="P101" s="301">
        <v>0.0049088835830033</v>
      </c>
      <c r="Q101" s="293">
        <f>P101*VLOOKUP(N101,'Selector Sheet '!$B$13:$D$43,2,FALSE)</f>
        <v>0</v>
      </c>
      <c r="R101" s="291" t="str">
        <v>Consumer Discretionary</v>
      </c>
      <c r="S101" s="293">
        <f>P101*VLOOKUP(N101,'Selector Sheet '!$B$13:$D$43,2,FALSE)</f>
        <v>0</v>
      </c>
      <c r="T101" s="291"/>
      <c r="X101" s="291" t="str">
        <v>INE813H01021</v>
      </c>
      <c r="Z101" s="294" t="s">
        <v>1084</v>
      </c>
      <c r="AB101" t="s">
        <v>1084</v>
      </c>
      <c r="AC101" t="s">
        <v>1086</v>
      </c>
      <c r="AD101" t="s">
        <v>994</v>
      </c>
      <c r="AE101">
        <v>21.6397190919484</v>
      </c>
      <c r="AF101">
        <v>20.1401623208799</v>
      </c>
      <c r="AG101">
        <v>29885</v>
      </c>
      <c r="AH101">
        <v>61.23</v>
      </c>
      <c r="AI101">
        <v>667672194475</v>
      </c>
    </row>
    <row r="102" spans="1:35">
      <c r="A102" s="290" t="s">
        <v>1067</v>
      </c>
      <c r="B102" s="127" t="s">
        <v>50</v>
      </c>
      <c r="C102" s="291" t="str">
        <v>Trent Ltd</v>
      </c>
      <c r="D102" s="292">
        <v>0.0277617043393071</v>
      </c>
      <c r="E102" s="293">
        <f t="shared" si="2"/>
        <v>0.00231347536160892</v>
      </c>
      <c r="F102" s="291" t="str">
        <v>Consumer Discretionary</v>
      </c>
      <c r="G102" s="293">
        <f t="shared" si="3"/>
        <v>0.00231347536160892</v>
      </c>
      <c r="H102" s="291"/>
      <c r="J102" s="36"/>
      <c r="M102" s="290" t="s">
        <v>1087</v>
      </c>
      <c r="N102" s="298" t="s">
        <v>66</v>
      </c>
      <c r="O102" s="291" t="str">
        <v>Zydus Lifesciences Ltd</v>
      </c>
      <c r="P102" s="299">
        <v>0.00397699074859196</v>
      </c>
      <c r="Q102" s="293">
        <f>P102*VLOOKUP(N102,'Selector Sheet '!$B$13:$D$43,2,FALSE)</f>
        <v>0</v>
      </c>
      <c r="R102" s="291" t="str">
        <v>Health Care</v>
      </c>
      <c r="S102" s="293">
        <f>P102*VLOOKUP(N102,'Selector Sheet '!$B$13:$D$43,2,FALSE)</f>
        <v>0</v>
      </c>
      <c r="T102" s="291"/>
      <c r="X102" s="291" t="str">
        <v>INE849A01020</v>
      </c>
      <c r="Z102" s="290" t="s">
        <v>1067</v>
      </c>
      <c r="AB102" t="s">
        <v>1067</v>
      </c>
      <c r="AC102" t="s">
        <v>1088</v>
      </c>
      <c r="AD102" t="s">
        <v>838</v>
      </c>
      <c r="AE102">
        <v>125.078545780969</v>
      </c>
      <c r="AF102" t="s">
        <v>824</v>
      </c>
      <c r="AG102">
        <v>15467.2</v>
      </c>
      <c r="AH102">
        <v>43.51</v>
      </c>
      <c r="AI102">
        <v>1981309363883.5</v>
      </c>
    </row>
    <row r="103" spans="1:35">
      <c r="A103" s="294" t="s">
        <v>1069</v>
      </c>
      <c r="B103" s="127" t="s">
        <v>50</v>
      </c>
      <c r="C103" s="291" t="str">
        <v>TVS Motor Co Ltd</v>
      </c>
      <c r="D103" s="295">
        <v>0.0334215228881978</v>
      </c>
      <c r="E103" s="293">
        <f t="shared" si="2"/>
        <v>0.00278512690734982</v>
      </c>
      <c r="F103" s="291" t="str">
        <v>Consumer Discretionary</v>
      </c>
      <c r="G103" s="293">
        <f t="shared" si="3"/>
        <v>0.00278512690734982</v>
      </c>
      <c r="H103" s="291"/>
      <c r="J103" s="36"/>
      <c r="M103" s="294" t="s">
        <v>811</v>
      </c>
      <c r="N103" s="300" t="s">
        <v>63</v>
      </c>
      <c r="O103" s="291" t="str">
        <v>360 ONE WAM Ltd</v>
      </c>
      <c r="P103" s="301">
        <v>0.00321662325132215</v>
      </c>
      <c r="Q103" s="293">
        <f>P103*VLOOKUP(N103,'Selector Sheet '!$B$13:$D$43,2,FALSE)</f>
        <v>0</v>
      </c>
      <c r="R103" s="291" t="str">
        <v>Financials</v>
      </c>
      <c r="S103" s="293">
        <f>P103*VLOOKUP(N103,'Selector Sheet '!$B$13:$D$43,2,FALSE)</f>
        <v>0</v>
      </c>
      <c r="T103" s="291"/>
      <c r="X103" s="291" t="str">
        <v>INE494B01023</v>
      </c>
      <c r="Z103" s="294" t="s">
        <v>1069</v>
      </c>
      <c r="AB103" t="s">
        <v>1069</v>
      </c>
      <c r="AC103" t="s">
        <v>1089</v>
      </c>
      <c r="AD103" t="s">
        <v>838</v>
      </c>
      <c r="AE103">
        <v>69.377423524343</v>
      </c>
      <c r="AF103">
        <v>29.2480681158823</v>
      </c>
      <c r="AG103">
        <v>22355.6</v>
      </c>
      <c r="AH103">
        <v>47.05</v>
      </c>
      <c r="AI103">
        <v>1530018050637</v>
      </c>
    </row>
    <row r="104" spans="1:35">
      <c r="A104" s="290" t="s">
        <v>1090</v>
      </c>
      <c r="B104" s="127" t="s">
        <v>50</v>
      </c>
      <c r="C104" s="291" t="str">
        <v>United Breweries Ltd</v>
      </c>
      <c r="D104" s="292">
        <v>0.0113944650653722</v>
      </c>
      <c r="E104" s="293">
        <f t="shared" si="2"/>
        <v>0.000949538755447683</v>
      </c>
      <c r="F104" s="291" t="str">
        <v>Consumer Staples</v>
      </c>
      <c r="G104" s="293">
        <f t="shared" si="3"/>
        <v>0.000949538755447683</v>
      </c>
      <c r="H104" s="291"/>
      <c r="J104" s="36"/>
      <c r="M104" s="290" t="s">
        <v>814</v>
      </c>
      <c r="N104" s="298" t="s">
        <v>63</v>
      </c>
      <c r="O104" s="291" t="str">
        <v>ABB India Ltd</v>
      </c>
      <c r="P104" s="299">
        <v>0.000918653025126506</v>
      </c>
      <c r="Q104" s="293">
        <f>P104*VLOOKUP(N104,'Selector Sheet '!$B$13:$D$43,2,FALSE)</f>
        <v>0</v>
      </c>
      <c r="R104" s="291" t="str">
        <v>Industrials</v>
      </c>
      <c r="S104" s="293">
        <f>P104*VLOOKUP(N104,'Selector Sheet '!$B$13:$D$43,2,FALSE)</f>
        <v>0</v>
      </c>
      <c r="T104" s="291"/>
      <c r="X104" s="291" t="str">
        <v>INE686F01025</v>
      </c>
      <c r="Z104" s="290" t="s">
        <v>1090</v>
      </c>
      <c r="AB104" t="s">
        <v>1090</v>
      </c>
      <c r="AC104" t="s">
        <v>1091</v>
      </c>
      <c r="AD104" t="s">
        <v>980</v>
      </c>
      <c r="AE104">
        <v>114.649913155483</v>
      </c>
      <c r="AF104">
        <v>10.3412914146842</v>
      </c>
      <c r="AG104">
        <v>4416.9</v>
      </c>
      <c r="AH104">
        <v>16.71</v>
      </c>
      <c r="AI104">
        <v>506547384454.2</v>
      </c>
    </row>
    <row r="105" spans="1:35">
      <c r="A105" s="294" t="s">
        <v>1079</v>
      </c>
      <c r="B105" s="127" t="s">
        <v>50</v>
      </c>
      <c r="C105" s="291" t="str">
        <v>UNO Minda Ltd</v>
      </c>
      <c r="D105" s="295">
        <v>0.0357781400818457</v>
      </c>
      <c r="E105" s="293">
        <f t="shared" si="2"/>
        <v>0.00298151167348714</v>
      </c>
      <c r="F105" s="291" t="str">
        <v>Consumer Discretionary</v>
      </c>
      <c r="G105" s="293">
        <f t="shared" si="3"/>
        <v>0.00298151167348714</v>
      </c>
      <c r="H105" s="291"/>
      <c r="J105" s="36"/>
      <c r="M105" s="294" t="s">
        <v>1092</v>
      </c>
      <c r="N105" s="300" t="s">
        <v>63</v>
      </c>
      <c r="O105" s="291" t="str">
        <v>ACC Ltd</v>
      </c>
      <c r="P105" s="301">
        <v>0</v>
      </c>
      <c r="Q105" s="293">
        <f>P105*VLOOKUP(N105,'Selector Sheet '!$B$13:$D$43,2,FALSE)</f>
        <v>0</v>
      </c>
      <c r="R105" s="291" t="str">
        <v>Materials</v>
      </c>
      <c r="S105" s="293">
        <f>P105*VLOOKUP(N105,'Selector Sheet '!$B$13:$D$43,2,FALSE)</f>
        <v>0</v>
      </c>
      <c r="T105" s="291"/>
      <c r="X105" s="291" t="str">
        <v>INE405E01023</v>
      </c>
      <c r="Z105" s="294" t="s">
        <v>1079</v>
      </c>
      <c r="AB105" t="s">
        <v>1079</v>
      </c>
      <c r="AC105" t="s">
        <v>1093</v>
      </c>
      <c r="AD105" t="s">
        <v>838</v>
      </c>
      <c r="AE105">
        <v>73.5200944684455</v>
      </c>
      <c r="AF105">
        <v>17.6748388233519</v>
      </c>
      <c r="AG105">
        <v>9429.5</v>
      </c>
      <c r="AH105">
        <v>16.42</v>
      </c>
      <c r="AI105">
        <v>693562951156.8</v>
      </c>
    </row>
    <row r="106" spans="1:35">
      <c r="A106" s="290" t="s">
        <v>1082</v>
      </c>
      <c r="B106" s="127" t="s">
        <v>50</v>
      </c>
      <c r="C106" s="291" t="str">
        <v>Varun Beverages Ltd</v>
      </c>
      <c r="D106" s="292">
        <v>0.00776920874024946</v>
      </c>
      <c r="E106" s="293">
        <f t="shared" si="2"/>
        <v>0.000647434061687455</v>
      </c>
      <c r="F106" s="291" t="str">
        <v>Consumer Staples</v>
      </c>
      <c r="G106" s="293">
        <f t="shared" si="3"/>
        <v>0.000647434061687455</v>
      </c>
      <c r="H106" s="291"/>
      <c r="J106" s="36"/>
      <c r="M106" s="290" t="s">
        <v>1094</v>
      </c>
      <c r="N106" s="298" t="s">
        <v>63</v>
      </c>
      <c r="O106" s="291" t="str">
        <v>Adani Ports &amp; Special Economic</v>
      </c>
      <c r="P106" s="299">
        <v>0.00136963338021794</v>
      </c>
      <c r="Q106" s="293">
        <f>P106*VLOOKUP(N106,'Selector Sheet '!$B$13:$D$43,2,FALSE)</f>
        <v>0</v>
      </c>
      <c r="R106" s="291" t="str">
        <v>Industrials</v>
      </c>
      <c r="S106" s="293">
        <f>P106*VLOOKUP(N106,'Selector Sheet '!$B$13:$D$43,2,FALSE)</f>
        <v>0</v>
      </c>
      <c r="T106" s="291"/>
      <c r="X106" s="291" t="str">
        <v>INE200M01039</v>
      </c>
      <c r="Z106" s="290" t="s">
        <v>1082</v>
      </c>
      <c r="AB106" t="s">
        <v>1082</v>
      </c>
      <c r="AC106" t="s">
        <v>1095</v>
      </c>
      <c r="AD106" t="s">
        <v>980</v>
      </c>
      <c r="AE106">
        <v>62.5408820386203</v>
      </c>
      <c r="AF106">
        <v>22.0385370508105</v>
      </c>
      <c r="AG106">
        <v>25946.33</v>
      </c>
      <c r="AH106">
        <v>7.95</v>
      </c>
      <c r="AI106">
        <v>1681489079696.8</v>
      </c>
    </row>
    <row r="107" spans="1:35">
      <c r="A107" s="294" t="s">
        <v>1096</v>
      </c>
      <c r="B107" s="127" t="s">
        <v>50</v>
      </c>
      <c r="C107" s="291" t="str">
        <v>Vinati Organics Ltd</v>
      </c>
      <c r="D107" s="295">
        <v>0.00939201166769928</v>
      </c>
      <c r="E107" s="293">
        <f t="shared" si="2"/>
        <v>0.00078266763897494</v>
      </c>
      <c r="F107" s="291" t="str">
        <v>Materials</v>
      </c>
      <c r="G107" s="293">
        <f t="shared" si="3"/>
        <v>0.00078266763897494</v>
      </c>
      <c r="H107" s="291"/>
      <c r="J107" s="36"/>
      <c r="M107" s="294" t="s">
        <v>1097</v>
      </c>
      <c r="N107" s="300" t="s">
        <v>63</v>
      </c>
      <c r="O107" s="291" t="str">
        <v>Ambuja Cements Ltd</v>
      </c>
      <c r="P107" s="301">
        <v>0.00182847808767447</v>
      </c>
      <c r="Q107" s="293">
        <f>P107*VLOOKUP(N107,'Selector Sheet '!$B$13:$D$43,2,FALSE)</f>
        <v>0</v>
      </c>
      <c r="R107" s="291" t="str">
        <v>Materials</v>
      </c>
      <c r="S107" s="293">
        <f>P107*VLOOKUP(N107,'Selector Sheet '!$B$13:$D$43,2,FALSE)</f>
        <v>0</v>
      </c>
      <c r="T107" s="291"/>
      <c r="X107" s="291" t="str">
        <v>INE410B01037</v>
      </c>
      <c r="Z107" s="294" t="s">
        <v>1096</v>
      </c>
      <c r="AB107" t="s">
        <v>1096</v>
      </c>
      <c r="AC107" t="s">
        <v>1098</v>
      </c>
      <c r="AD107" t="s">
        <v>823</v>
      </c>
      <c r="AE107">
        <v>43.6377602667722</v>
      </c>
      <c r="AF107">
        <v>15.4238870471357</v>
      </c>
      <c r="AG107">
        <v>4052.5</v>
      </c>
      <c r="AH107">
        <v>39.09</v>
      </c>
      <c r="AI107">
        <v>176832835065.6</v>
      </c>
    </row>
    <row r="108" spans="1:35">
      <c r="A108" s="290" t="s">
        <v>1085</v>
      </c>
      <c r="B108" s="127" t="s">
        <v>50</v>
      </c>
      <c r="C108" s="291" t="str">
        <v>Vishal Mega Mart Ltd</v>
      </c>
      <c r="D108" s="292">
        <v>0.00835850197860856</v>
      </c>
      <c r="E108" s="293">
        <f t="shared" si="2"/>
        <v>0.000696541831550713</v>
      </c>
      <c r="F108" s="291" t="str">
        <v>Consumer Discretionary</v>
      </c>
      <c r="G108" s="293">
        <f t="shared" si="3"/>
        <v>0.000696541831550713</v>
      </c>
      <c r="H108" s="291"/>
      <c r="J108" s="36"/>
      <c r="M108" s="290" t="s">
        <v>829</v>
      </c>
      <c r="N108" s="298" t="s">
        <v>63</v>
      </c>
      <c r="O108" s="291" t="str">
        <v>Apollo Hospitals Enterprise Lt</v>
      </c>
      <c r="P108" s="299">
        <v>0.00311230859743196</v>
      </c>
      <c r="Q108" s="293">
        <f>P108*VLOOKUP(N108,'Selector Sheet '!$B$13:$D$43,2,FALSE)</f>
        <v>0</v>
      </c>
      <c r="R108" s="291" t="str">
        <v>Health Care</v>
      </c>
      <c r="S108" s="293">
        <f>P108*VLOOKUP(N108,'Selector Sheet '!$B$13:$D$43,2,FALSE)</f>
        <v>0</v>
      </c>
      <c r="T108" s="291"/>
      <c r="X108" s="291" t="str">
        <v>INE01EA01019</v>
      </c>
      <c r="Z108" s="290" t="s">
        <v>1085</v>
      </c>
      <c r="AB108" t="s">
        <v>1085</v>
      </c>
      <c r="AC108" t="s">
        <v>1099</v>
      </c>
      <c r="AD108" t="s">
        <v>838</v>
      </c>
      <c r="AE108">
        <v>106.878574916295</v>
      </c>
      <c r="AF108">
        <v>10.5125082091673</v>
      </c>
      <c r="AG108">
        <v>6319.67</v>
      </c>
      <c r="AH108">
        <v>1.4</v>
      </c>
      <c r="AI108">
        <v>697480910709.18</v>
      </c>
    </row>
    <row r="109" spans="1:35">
      <c r="A109" s="294" t="s">
        <v>1100</v>
      </c>
      <c r="B109" s="127" t="s">
        <v>50</v>
      </c>
      <c r="C109" s="291" t="str">
        <v>WAAREE Energies Ltd</v>
      </c>
      <c r="D109" s="295">
        <v>0.00428664178394415</v>
      </c>
      <c r="E109" s="293">
        <f t="shared" si="2"/>
        <v>0.000357220148662012</v>
      </c>
      <c r="F109" s="291" t="str">
        <v>Information Technology</v>
      </c>
      <c r="G109" s="293">
        <f t="shared" si="3"/>
        <v>0.000357220148662012</v>
      </c>
      <c r="H109" s="291"/>
      <c r="J109" s="36"/>
      <c r="M109" s="294" t="s">
        <v>1101</v>
      </c>
      <c r="N109" s="300" t="s">
        <v>63</v>
      </c>
      <c r="O109" s="291" t="str">
        <v>Asian Paints Ltd</v>
      </c>
      <c r="P109" s="301">
        <v>0.00811506496300692</v>
      </c>
      <c r="Q109" s="293">
        <f>P109*VLOOKUP(N109,'Selector Sheet '!$B$13:$D$43,2,FALSE)</f>
        <v>0</v>
      </c>
      <c r="R109" s="291" t="str">
        <v>Materials</v>
      </c>
      <c r="S109" s="293">
        <f>P109*VLOOKUP(N109,'Selector Sheet '!$B$13:$D$43,2,FALSE)</f>
        <v>0</v>
      </c>
      <c r="T109" s="291"/>
      <c r="X109" s="291" t="str">
        <v>INE377N01017</v>
      </c>
      <c r="Z109" s="294" t="s">
        <v>1100</v>
      </c>
      <c r="AB109" t="s">
        <v>1100</v>
      </c>
      <c r="AC109" t="s">
        <v>1102</v>
      </c>
      <c r="AD109" t="s">
        <v>884</v>
      </c>
      <c r="AE109">
        <v>43.5082063305979</v>
      </c>
      <c r="AF109">
        <v>27.5283881573637</v>
      </c>
      <c r="AG109">
        <v>18673.9</v>
      </c>
      <c r="AH109">
        <v>68.24</v>
      </c>
      <c r="AI109">
        <v>852943817831</v>
      </c>
    </row>
    <row r="110" spans="1:35">
      <c r="A110" s="290" t="s">
        <v>1103</v>
      </c>
      <c r="B110" s="127" t="s">
        <v>50</v>
      </c>
      <c r="C110" s="291" t="str">
        <v>Zee Entertainment Enterprises</v>
      </c>
      <c r="D110" s="292">
        <v>0.00161900262636029</v>
      </c>
      <c r="E110" s="293">
        <f t="shared" si="2"/>
        <v>0.000134916885530024</v>
      </c>
      <c r="F110" s="291" t="str">
        <v>Communication Services</v>
      </c>
      <c r="G110" s="293">
        <f t="shared" si="3"/>
        <v>0.000134916885530024</v>
      </c>
      <c r="H110" s="291"/>
      <c r="J110" s="36"/>
      <c r="M110" s="290" t="s">
        <v>1104</v>
      </c>
      <c r="N110" s="298" t="s">
        <v>63</v>
      </c>
      <c r="O110" s="291" t="str">
        <v>Atul Ltd</v>
      </c>
      <c r="P110" s="299">
        <v>0.00166141332140163</v>
      </c>
      <c r="Q110" s="293">
        <f>P110*VLOOKUP(N110,'Selector Sheet '!$B$13:$D$43,2,FALSE)</f>
        <v>0</v>
      </c>
      <c r="R110" s="291" t="str">
        <v>Materials</v>
      </c>
      <c r="S110" s="293">
        <f>P110*VLOOKUP(N110,'Selector Sheet '!$B$13:$D$43,2,FALSE)</f>
        <v>0</v>
      </c>
      <c r="T110" s="291"/>
      <c r="X110" s="291" t="str">
        <v>INE256A01028</v>
      </c>
      <c r="Z110" s="290" t="s">
        <v>1103</v>
      </c>
      <c r="AB110" t="s">
        <v>1103</v>
      </c>
      <c r="AC110" t="s">
        <v>1105</v>
      </c>
      <c r="AD110" t="s">
        <v>857</v>
      </c>
      <c r="AE110">
        <v>16.3808099239135</v>
      </c>
      <c r="AF110">
        <v>6.06528550133445</v>
      </c>
      <c r="AG110">
        <v>6795</v>
      </c>
      <c r="AH110">
        <v>7.074297</v>
      </c>
      <c r="AI110">
        <v>112601691606.6</v>
      </c>
    </row>
    <row r="111" spans="1:35">
      <c r="A111" s="294" t="s">
        <v>1106</v>
      </c>
      <c r="B111" s="127" t="s">
        <v>50</v>
      </c>
      <c r="C111" s="291" t="str">
        <v>ZF Commercial Vehicle Control</v>
      </c>
      <c r="D111" s="295">
        <v>0.0064249119153024</v>
      </c>
      <c r="E111" s="293">
        <f t="shared" si="2"/>
        <v>0.0005354093262752</v>
      </c>
      <c r="F111" s="291" t="str">
        <v>Consumer Discretionary</v>
      </c>
      <c r="G111" s="293">
        <f t="shared" si="3"/>
        <v>0.0005354093262752</v>
      </c>
      <c r="H111" s="291"/>
      <c r="J111" s="36"/>
      <c r="M111" s="294" t="s">
        <v>840</v>
      </c>
      <c r="N111" s="300" t="s">
        <v>63</v>
      </c>
      <c r="O111" s="291" t="str">
        <v>Avenue Supermarts Ltd</v>
      </c>
      <c r="P111" s="301">
        <v>0.0132242710102134</v>
      </c>
      <c r="Q111" s="293">
        <f>P111*VLOOKUP(N111,'Selector Sheet '!$B$13:$D$43,2,FALSE)</f>
        <v>0</v>
      </c>
      <c r="R111" s="291" t="str">
        <v>Consumer Staples</v>
      </c>
      <c r="S111" s="293">
        <f>P111*VLOOKUP(N111,'Selector Sheet '!$B$13:$D$43,2,FALSE)</f>
        <v>0</v>
      </c>
      <c r="T111" s="291"/>
      <c r="X111" s="291" t="str">
        <v>INE342J01019</v>
      </c>
      <c r="Z111" s="294" t="s">
        <v>1106</v>
      </c>
      <c r="AB111" t="s">
        <v>1106</v>
      </c>
      <c r="AC111" t="s">
        <v>1107</v>
      </c>
      <c r="AD111" t="s">
        <v>838</v>
      </c>
      <c r="AE111">
        <v>56.6529435981886</v>
      </c>
      <c r="AF111">
        <v>15.3452423911647</v>
      </c>
      <c r="AG111">
        <v>4607.3</v>
      </c>
      <c r="AH111">
        <v>242.9</v>
      </c>
      <c r="AI111">
        <v>261012923424</v>
      </c>
    </row>
    <row r="112" spans="1:35">
      <c r="A112" s="290" t="s">
        <v>817</v>
      </c>
      <c r="B112" s="127" t="s">
        <v>46</v>
      </c>
      <c r="C112" s="291" t="str">
        <v>Abbott India Ltd</v>
      </c>
      <c r="D112" s="299">
        <f>([1]Mediator!D112)/100</f>
        <v>0.0064249119153024</v>
      </c>
      <c r="E112" s="293">
        <f t="shared" si="2"/>
        <v>0</v>
      </c>
      <c r="F112" s="291" t="str">
        <v>Health Care</v>
      </c>
      <c r="G112" s="293">
        <f t="shared" si="3"/>
        <v>0</v>
      </c>
      <c r="H112" s="291"/>
      <c r="J112" s="36"/>
      <c r="M112" s="290" t="s">
        <v>843</v>
      </c>
      <c r="N112" s="298" t="s">
        <v>63</v>
      </c>
      <c r="O112" s="291" t="str">
        <v>Axis Bank Ltd</v>
      </c>
      <c r="P112" s="299">
        <v>0.0175468155418352</v>
      </c>
      <c r="Q112" s="293">
        <f>P112*VLOOKUP(N112,'Selector Sheet '!$B$13:$D$43,2,FALSE)</f>
        <v>0</v>
      </c>
      <c r="R112" s="291" t="str">
        <v>Financials</v>
      </c>
      <c r="S112" s="293">
        <f>P112*VLOOKUP(N112,'Selector Sheet '!$B$13:$D$43,2,FALSE)</f>
        <v>0</v>
      </c>
      <c r="T112" s="291"/>
      <c r="X112" s="291" t="str">
        <v>INE192R01011</v>
      </c>
      <c r="Z112" s="290" t="s">
        <v>817</v>
      </c>
      <c r="AB112" t="s">
        <v>840</v>
      </c>
      <c r="AC112" t="s">
        <v>1108</v>
      </c>
      <c r="AD112" t="s">
        <v>980</v>
      </c>
      <c r="AE112">
        <v>109.226145213741</v>
      </c>
      <c r="AF112" t="s">
        <v>824</v>
      </c>
      <c r="AG112">
        <v>27080.2</v>
      </c>
      <c r="AH112">
        <v>41.61</v>
      </c>
      <c r="AI112">
        <v>2957516720753.2</v>
      </c>
    </row>
    <row r="113" spans="1:35">
      <c r="A113" s="294" t="s">
        <v>840</v>
      </c>
      <c r="B113" s="127" t="s">
        <v>46</v>
      </c>
      <c r="C113" s="291" t="str">
        <v>Avenue Supermarts Ltd</v>
      </c>
      <c r="D113" s="301">
        <f>([1]Mediator!D113)/100</f>
        <v>0.00664763888605049</v>
      </c>
      <c r="E113" s="293">
        <f t="shared" si="2"/>
        <v>0</v>
      </c>
      <c r="F113" s="291" t="str">
        <v>Consumer Staples</v>
      </c>
      <c r="G113" s="293">
        <f t="shared" si="3"/>
        <v>0</v>
      </c>
      <c r="H113" s="291"/>
      <c r="J113" s="36"/>
      <c r="M113" s="294" t="s">
        <v>1109</v>
      </c>
      <c r="N113" s="300" t="s">
        <v>63</v>
      </c>
      <c r="O113" s="291" t="str">
        <v>Azad Engineering Ltd</v>
      </c>
      <c r="P113" s="301">
        <v>0.000896357609261179</v>
      </c>
      <c r="Q113" s="293">
        <f>P113*VLOOKUP(N113,'Selector Sheet '!$B$13:$D$43,2,FALSE)</f>
        <v>0</v>
      </c>
      <c r="R113" s="291" t="str">
        <v>Industrials</v>
      </c>
      <c r="S113" s="293">
        <f>P113*VLOOKUP(N113,'Selector Sheet '!$B$13:$D$43,2,FALSE)</f>
        <v>0</v>
      </c>
      <c r="T113" s="291"/>
      <c r="X113" s="291" t="str">
        <v>INE238A01034</v>
      </c>
      <c r="Z113" s="294" t="s">
        <v>840</v>
      </c>
      <c r="AB113" t="s">
        <v>843</v>
      </c>
      <c r="AC113" t="s">
        <v>1110</v>
      </c>
      <c r="AD113" t="s">
        <v>831</v>
      </c>
      <c r="AE113">
        <v>12.0639857809376</v>
      </c>
      <c r="AF113">
        <v>15.5305166899516</v>
      </c>
      <c r="AG113">
        <v>280551.1</v>
      </c>
      <c r="AH113">
        <v>90.72</v>
      </c>
      <c r="AI113">
        <v>3368883897096</v>
      </c>
    </row>
    <row r="114" spans="1:35">
      <c r="A114" s="290" t="s">
        <v>843</v>
      </c>
      <c r="B114" s="127" t="s">
        <v>46</v>
      </c>
      <c r="C114" s="291" t="str">
        <v>Axis Bank Ltd</v>
      </c>
      <c r="D114" s="299">
        <f>([1]Mediator!D114)/100</f>
        <v>0.00590041773280451</v>
      </c>
      <c r="E114" s="293">
        <f t="shared" si="2"/>
        <v>0</v>
      </c>
      <c r="F114" s="291" t="str">
        <v>Financials</v>
      </c>
      <c r="G114" s="293">
        <f t="shared" si="3"/>
        <v>0</v>
      </c>
      <c r="H114" s="291"/>
      <c r="J114" s="36"/>
      <c r="M114" s="290" t="s">
        <v>842</v>
      </c>
      <c r="N114" s="298" t="s">
        <v>63</v>
      </c>
      <c r="O114" s="291" t="str">
        <v>Bajaj Finance Ltd</v>
      </c>
      <c r="P114" s="299">
        <v>0.00941892347993258</v>
      </c>
      <c r="Q114" s="293">
        <f>P114*VLOOKUP(N114,'Selector Sheet '!$B$13:$D$43,2,FALSE)</f>
        <v>0</v>
      </c>
      <c r="R114" s="291" t="str">
        <v>Financials</v>
      </c>
      <c r="S114" s="293">
        <f>P114*VLOOKUP(N114,'Selector Sheet '!$B$13:$D$43,2,FALSE)</f>
        <v>0</v>
      </c>
      <c r="T114" s="291"/>
      <c r="X114" s="291" t="str">
        <v>INE059A01026</v>
      </c>
      <c r="Z114" s="290" t="s">
        <v>843</v>
      </c>
      <c r="AB114" t="s">
        <v>878</v>
      </c>
      <c r="AC114" t="s">
        <v>1111</v>
      </c>
      <c r="AD114" t="s">
        <v>819</v>
      </c>
      <c r="AE114">
        <v>23.9868276242294</v>
      </c>
      <c r="AF114">
        <v>18.2125420639905</v>
      </c>
      <c r="AG114">
        <v>52725.2</v>
      </c>
      <c r="AH114">
        <v>65.29</v>
      </c>
      <c r="AI114">
        <v>1265019187208.1</v>
      </c>
    </row>
    <row r="115" spans="1:35">
      <c r="A115" s="294" t="s">
        <v>839</v>
      </c>
      <c r="B115" s="127" t="s">
        <v>46</v>
      </c>
      <c r="C115" s="291" t="str">
        <v>Bajaj Auto Ltd</v>
      </c>
      <c r="D115" s="301">
        <f>([1]Mediator!D115)/100</f>
        <v>0.0223631145074362</v>
      </c>
      <c r="E115" s="293">
        <f t="shared" si="2"/>
        <v>0</v>
      </c>
      <c r="F115" s="291" t="str">
        <v>Consumer Discretionary</v>
      </c>
      <c r="G115" s="293">
        <f t="shared" si="3"/>
        <v>0</v>
      </c>
      <c r="H115" s="291"/>
      <c r="J115" s="36"/>
      <c r="M115" s="294" t="s">
        <v>848</v>
      </c>
      <c r="N115" s="300" t="s">
        <v>63</v>
      </c>
      <c r="O115" s="291" t="str">
        <v>Bajaj Finserv Ltd</v>
      </c>
      <c r="P115" s="301">
        <v>0.00733434057936045</v>
      </c>
      <c r="Q115" s="293">
        <f>P115*VLOOKUP(N115,'Selector Sheet '!$B$13:$D$43,2,FALSE)</f>
        <v>0</v>
      </c>
      <c r="R115" s="291" t="str">
        <v>Financials</v>
      </c>
      <c r="S115" s="293">
        <f>P115*VLOOKUP(N115,'Selector Sheet '!$B$13:$D$43,2,FALSE)</f>
        <v>0</v>
      </c>
      <c r="T115" s="291"/>
      <c r="X115" s="291" t="str">
        <v>INE361B01024</v>
      </c>
      <c r="Z115" s="294" t="s">
        <v>839</v>
      </c>
      <c r="AB115" t="s">
        <v>1112</v>
      </c>
      <c r="AC115" t="s">
        <v>1113</v>
      </c>
      <c r="AD115" t="s">
        <v>819</v>
      </c>
      <c r="AE115">
        <v>74.5607657821398</v>
      </c>
      <c r="AF115">
        <v>15.353889278206</v>
      </c>
      <c r="AG115">
        <v>21910</v>
      </c>
      <c r="AH115">
        <v>82.53</v>
      </c>
      <c r="AI115">
        <v>1633560907030</v>
      </c>
    </row>
    <row r="116" spans="1:35">
      <c r="A116" s="290" t="s">
        <v>842</v>
      </c>
      <c r="B116" s="127" t="s">
        <v>46</v>
      </c>
      <c r="C116" s="291" t="str">
        <v>Bajaj Finance Ltd</v>
      </c>
      <c r="D116" s="299">
        <f>([1]Mediator!D116)/100</f>
        <v>0.00995115897142225</v>
      </c>
      <c r="E116" s="293">
        <f t="shared" si="2"/>
        <v>0</v>
      </c>
      <c r="F116" s="291" t="str">
        <v>Financials</v>
      </c>
      <c r="G116" s="293">
        <f t="shared" si="3"/>
        <v>0</v>
      </c>
      <c r="H116" s="291"/>
      <c r="J116" s="36"/>
      <c r="M116" s="290" t="s">
        <v>853</v>
      </c>
      <c r="N116" s="298" t="s">
        <v>63</v>
      </c>
      <c r="O116" s="291" t="str">
        <v>Bharat Petroleum Corp Ltd</v>
      </c>
      <c r="P116" s="299">
        <v>0.000565971687001652</v>
      </c>
      <c r="Q116" s="293">
        <f>P116*VLOOKUP(N116,'Selector Sheet '!$B$13:$D$43,2,FALSE)</f>
        <v>0</v>
      </c>
      <c r="R116" s="291" t="str">
        <v>Energy</v>
      </c>
      <c r="S116" s="293">
        <f>P116*VLOOKUP(N116,'Selector Sheet '!$B$13:$D$43,2,FALSE)</f>
        <v>0</v>
      </c>
      <c r="T116" s="291"/>
      <c r="X116" s="291" t="str">
        <v>INE860A01027</v>
      </c>
      <c r="Z116" s="290" t="s">
        <v>842</v>
      </c>
      <c r="AB116" t="s">
        <v>919</v>
      </c>
      <c r="AC116" t="s">
        <v>1114</v>
      </c>
      <c r="AD116" t="s">
        <v>884</v>
      </c>
      <c r="AE116">
        <v>23.5276125852737</v>
      </c>
      <c r="AF116">
        <v>24.6066584463625</v>
      </c>
      <c r="AG116">
        <v>172558.361380934</v>
      </c>
      <c r="AH116">
        <v>63.4094736478599</v>
      </c>
      <c r="AI116">
        <v>4033863165204</v>
      </c>
    </row>
    <row r="117" spans="1:35">
      <c r="A117" s="294" t="s">
        <v>850</v>
      </c>
      <c r="B117" s="127" t="s">
        <v>46</v>
      </c>
      <c r="C117" s="291" t="str">
        <v>Bharat Electronics Ltd</v>
      </c>
      <c r="D117" s="301">
        <f>([1]Mediator!D117)/100</f>
        <v>0.0263675886918736</v>
      </c>
      <c r="E117" s="293">
        <f t="shared" si="2"/>
        <v>0</v>
      </c>
      <c r="F117" s="291" t="str">
        <v>Industrials</v>
      </c>
      <c r="G117" s="293">
        <f t="shared" si="3"/>
        <v>0</v>
      </c>
      <c r="H117" s="291"/>
      <c r="J117" s="36"/>
      <c r="M117" s="294" t="s">
        <v>855</v>
      </c>
      <c r="N117" s="300" t="s">
        <v>63</v>
      </c>
      <c r="O117" s="291" t="str">
        <v>Bharti Airtel Ltd</v>
      </c>
      <c r="P117" s="301">
        <v>0.0231236203720317</v>
      </c>
      <c r="Q117" s="293">
        <f>P117*VLOOKUP(N117,'Selector Sheet '!$B$13:$D$43,2,FALSE)</f>
        <v>0</v>
      </c>
      <c r="R117" s="291" t="str">
        <v>Communication Services</v>
      </c>
      <c r="S117" s="293">
        <f>P117*VLOOKUP(N117,'Selector Sheet '!$B$13:$D$43,2,FALSE)</f>
        <v>0</v>
      </c>
      <c r="T117" s="291"/>
      <c r="X117" s="291" t="str">
        <v>INE038A01020</v>
      </c>
      <c r="Z117" s="294" t="s">
        <v>850</v>
      </c>
      <c r="AB117" t="s">
        <v>931</v>
      </c>
      <c r="AC117" t="s">
        <v>1115</v>
      </c>
      <c r="AD117" t="s">
        <v>823</v>
      </c>
      <c r="AE117">
        <v>9.86190128789686</v>
      </c>
      <c r="AF117">
        <v>13.9226903917687</v>
      </c>
      <c r="AG117">
        <v>160010</v>
      </c>
      <c r="AH117">
        <v>72.05</v>
      </c>
      <c r="AI117">
        <v>1596766805917.65</v>
      </c>
    </row>
    <row r="118" spans="1:35">
      <c r="A118" s="290" t="s">
        <v>855</v>
      </c>
      <c r="B118" s="127" t="s">
        <v>46</v>
      </c>
      <c r="C118" s="291" t="str">
        <v>Bharti Airtel Ltd</v>
      </c>
      <c r="D118" s="299">
        <f>([1]Mediator!D118)/100</f>
        <v>0.0172789253824198</v>
      </c>
      <c r="E118" s="293">
        <f t="shared" si="2"/>
        <v>0</v>
      </c>
      <c r="F118" s="291" t="str">
        <v>Communication Services</v>
      </c>
      <c r="G118" s="293">
        <f t="shared" si="3"/>
        <v>0</v>
      </c>
      <c r="H118" s="291"/>
      <c r="J118" s="36"/>
      <c r="M118" s="290" t="s">
        <v>864</v>
      </c>
      <c r="N118" s="298" t="s">
        <v>63</v>
      </c>
      <c r="O118" s="291" t="str">
        <v>Britannia Industries Ltd</v>
      </c>
      <c r="P118" s="299">
        <v>0.0127730274325237</v>
      </c>
      <c r="Q118" s="293">
        <f>P118*VLOOKUP(N118,'Selector Sheet '!$B$13:$D$43,2,FALSE)</f>
        <v>0</v>
      </c>
      <c r="R118" s="291" t="str">
        <v>Consumer Staples</v>
      </c>
      <c r="S118" s="293">
        <f>P118*VLOOKUP(N118,'Selector Sheet '!$B$13:$D$43,2,FALSE)</f>
        <v>0</v>
      </c>
      <c r="T118" s="291"/>
      <c r="X118" s="291" t="str">
        <v>INE030A01027</v>
      </c>
      <c r="Z118" s="290" t="s">
        <v>855</v>
      </c>
      <c r="AB118" t="s">
        <v>934</v>
      </c>
      <c r="AC118" t="s">
        <v>1116</v>
      </c>
      <c r="AD118" t="s">
        <v>980</v>
      </c>
      <c r="AE118">
        <v>55.9425337396604</v>
      </c>
      <c r="AF118" t="s">
        <v>824</v>
      </c>
      <c r="AG118">
        <v>106490</v>
      </c>
      <c r="AH118">
        <v>45.32</v>
      </c>
      <c r="AI118">
        <v>6038449543340</v>
      </c>
    </row>
    <row r="119" spans="1:35">
      <c r="A119" s="294" t="s">
        <v>870</v>
      </c>
      <c r="B119" s="127" t="s">
        <v>46</v>
      </c>
      <c r="C119" s="291" t="str">
        <v>CG Power &amp; Industrial Solution</v>
      </c>
      <c r="D119" s="301">
        <f>([1]Mediator!D119)/100</f>
        <v>0.0383318673566526</v>
      </c>
      <c r="E119" s="293">
        <f t="shared" si="2"/>
        <v>0</v>
      </c>
      <c r="F119" s="291" t="str">
        <v>Industrials</v>
      </c>
      <c r="G119" s="293">
        <f t="shared" si="3"/>
        <v>0</v>
      </c>
      <c r="H119" s="291"/>
      <c r="J119" s="36"/>
      <c r="M119" s="294" t="s">
        <v>876</v>
      </c>
      <c r="N119" s="300" t="s">
        <v>63</v>
      </c>
      <c r="O119" s="291" t="str">
        <v>Cholamandalam Investment and F</v>
      </c>
      <c r="P119" s="301">
        <v>0.00410368186809214</v>
      </c>
      <c r="Q119" s="293">
        <f>P119*VLOOKUP(N119,'Selector Sheet '!$B$13:$D$43,2,FALSE)</f>
        <v>0</v>
      </c>
      <c r="R119" s="291" t="str">
        <v>Financials</v>
      </c>
      <c r="S119" s="293">
        <f>P119*VLOOKUP(N119,'Selector Sheet '!$B$13:$D$43,2,FALSE)</f>
        <v>0</v>
      </c>
      <c r="T119" s="291"/>
      <c r="X119" s="291" t="str">
        <v>INE765G01017</v>
      </c>
      <c r="Z119" s="294" t="s">
        <v>870</v>
      </c>
      <c r="AB119" t="s">
        <v>1117</v>
      </c>
      <c r="AC119" t="s">
        <v>1118</v>
      </c>
      <c r="AD119" t="s">
        <v>831</v>
      </c>
      <c r="AE119">
        <v>36.3686840644087</v>
      </c>
      <c r="AF119">
        <v>19.7116861929034</v>
      </c>
      <c r="AG119">
        <v>25082.9</v>
      </c>
      <c r="AH119">
        <v>50.74</v>
      </c>
      <c r="AI119">
        <v>976765949220</v>
      </c>
    </row>
    <row r="120" spans="1:35">
      <c r="A120" s="290" t="s">
        <v>876</v>
      </c>
      <c r="B120" s="127" t="s">
        <v>46</v>
      </c>
      <c r="C120" s="291" t="str">
        <v>Cholamandalam Investment and F</v>
      </c>
      <c r="D120" s="299">
        <f>([1]Mediator!D120)/100</f>
        <v>0.00920114021866781</v>
      </c>
      <c r="E120" s="293">
        <f t="shared" si="2"/>
        <v>0</v>
      </c>
      <c r="F120" s="291" t="str">
        <v>Financials</v>
      </c>
      <c r="G120" s="293">
        <f t="shared" si="3"/>
        <v>0</v>
      </c>
      <c r="H120" s="291"/>
      <c r="J120" s="36"/>
      <c r="M120" s="290" t="s">
        <v>878</v>
      </c>
      <c r="N120" s="298" t="s">
        <v>63</v>
      </c>
      <c r="O120" s="291" t="str">
        <v>Cipla Ltd/India</v>
      </c>
      <c r="P120" s="299">
        <v>0.0011829469855251</v>
      </c>
      <c r="Q120" s="293">
        <f>P120*VLOOKUP(N120,'Selector Sheet '!$B$13:$D$43,2,FALSE)</f>
        <v>0</v>
      </c>
      <c r="R120" s="291" t="str">
        <v>Health Care</v>
      </c>
      <c r="S120" s="293">
        <f>P120*VLOOKUP(N120,'Selector Sheet '!$B$13:$D$43,2,FALSE)</f>
        <v>0</v>
      </c>
      <c r="T120" s="291"/>
      <c r="X120" s="291" t="str">
        <v>INE663F01032</v>
      </c>
      <c r="Z120" s="290" t="s">
        <v>876</v>
      </c>
      <c r="AB120" t="s">
        <v>1119</v>
      </c>
      <c r="AC120" t="s">
        <v>1120</v>
      </c>
      <c r="AD120" t="s">
        <v>857</v>
      </c>
      <c r="AE120">
        <v>93.5913780126618</v>
      </c>
      <c r="AF120">
        <v>2.95291886165337</v>
      </c>
      <c r="AG120">
        <v>9621.4</v>
      </c>
      <c r="AH120">
        <v>14.849659</v>
      </c>
      <c r="AI120">
        <v>900480049880</v>
      </c>
    </row>
    <row r="121" spans="1:35">
      <c r="A121" s="294" t="s">
        <v>878</v>
      </c>
      <c r="B121" s="127" t="s">
        <v>46</v>
      </c>
      <c r="C121" s="291" t="str">
        <v>Cipla Ltd/India</v>
      </c>
      <c r="D121" s="301">
        <f>([1]Mediator!D121)/100</f>
        <v>0.0113649889661517</v>
      </c>
      <c r="E121" s="293">
        <f t="shared" si="2"/>
        <v>0</v>
      </c>
      <c r="F121" s="291" t="str">
        <v>Health Care</v>
      </c>
      <c r="G121" s="293">
        <f t="shared" si="3"/>
        <v>0</v>
      </c>
      <c r="H121" s="291"/>
      <c r="J121" s="36"/>
      <c r="M121" s="294" t="s">
        <v>1121</v>
      </c>
      <c r="N121" s="300" t="s">
        <v>63</v>
      </c>
      <c r="O121" s="291" t="str">
        <v>CMS Info Systems Ltd</v>
      </c>
      <c r="P121" s="301">
        <v>0.000991182395793622</v>
      </c>
      <c r="Q121" s="293">
        <f>P121*VLOOKUP(N121,'Selector Sheet '!$B$13:$D$43,2,FALSE)</f>
        <v>0</v>
      </c>
      <c r="R121" s="291" t="str">
        <v>Industrials</v>
      </c>
      <c r="S121" s="293">
        <f>P121*VLOOKUP(N121,'Selector Sheet '!$B$13:$D$43,2,FALSE)</f>
        <v>0</v>
      </c>
      <c r="T121" s="291"/>
      <c r="X121" s="291" t="str">
        <v>INE009A01021</v>
      </c>
      <c r="Z121" s="294" t="s">
        <v>878</v>
      </c>
      <c r="AB121" t="s">
        <v>955</v>
      </c>
      <c r="AC121" t="s">
        <v>1122</v>
      </c>
      <c r="AD121" t="s">
        <v>884</v>
      </c>
      <c r="AE121">
        <v>21.9902768826202</v>
      </c>
      <c r="AF121">
        <v>30.6319969891531</v>
      </c>
      <c r="AG121">
        <v>267130</v>
      </c>
      <c r="AH121">
        <v>64.5</v>
      </c>
      <c r="AI121">
        <v>6012894201767.2</v>
      </c>
    </row>
    <row r="122" spans="1:35">
      <c r="A122" s="290" t="s">
        <v>1112</v>
      </c>
      <c r="B122" s="127" t="s">
        <v>46</v>
      </c>
      <c r="C122" s="291" t="str">
        <v>Divi's Laboratories Ltd</v>
      </c>
      <c r="D122" s="299">
        <f>([1]Mediator!D122)/100</f>
        <v>0.00260680809797908</v>
      </c>
      <c r="E122" s="293">
        <f t="shared" si="2"/>
        <v>0</v>
      </c>
      <c r="F122" s="291" t="str">
        <v>Health Care</v>
      </c>
      <c r="G122" s="293">
        <f t="shared" si="3"/>
        <v>0</v>
      </c>
      <c r="H122" s="291"/>
      <c r="J122" s="36"/>
      <c r="M122" s="290" t="s">
        <v>880</v>
      </c>
      <c r="N122" s="298" t="s">
        <v>63</v>
      </c>
      <c r="O122" s="291" t="str">
        <v>Coal India Ltd</v>
      </c>
      <c r="P122" s="299">
        <v>0.000118662594464676</v>
      </c>
      <c r="Q122" s="293">
        <f>P122*VLOOKUP(N122,'Selector Sheet '!$B$13:$D$43,2,FALSE)</f>
        <v>0</v>
      </c>
      <c r="R122" s="291" t="str">
        <v>Energy</v>
      </c>
      <c r="S122" s="293">
        <f>P122*VLOOKUP(N122,'Selector Sheet '!$B$13:$D$43,2,FALSE)</f>
        <v>0</v>
      </c>
      <c r="T122" s="291"/>
      <c r="X122" s="291" t="str">
        <v>INE646L01027</v>
      </c>
      <c r="Z122" s="290" t="s">
        <v>1112</v>
      </c>
      <c r="AB122" t="s">
        <v>958</v>
      </c>
      <c r="AC122" t="s">
        <v>1123</v>
      </c>
      <c r="AD122" t="s">
        <v>813</v>
      </c>
      <c r="AE122">
        <v>32.6818491052187</v>
      </c>
      <c r="AF122">
        <v>127.736648225829</v>
      </c>
      <c r="AG122">
        <v>72584</v>
      </c>
      <c r="AH122">
        <v>187.93</v>
      </c>
      <c r="AI122">
        <v>2374120956608.4</v>
      </c>
    </row>
    <row r="123" spans="1:35">
      <c r="A123" s="294" t="s">
        <v>901</v>
      </c>
      <c r="B123" s="127" t="s">
        <v>46</v>
      </c>
      <c r="C123" s="291" t="str">
        <v>Eternal Ltd</v>
      </c>
      <c r="D123" s="301">
        <f>([1]Mediator!D123)/100</f>
        <v>0.0101168085562612</v>
      </c>
      <c r="E123" s="293">
        <f t="shared" si="2"/>
        <v>0</v>
      </c>
      <c r="F123" s="291" t="str">
        <v>Consumer Discretionary</v>
      </c>
      <c r="G123" s="293">
        <f t="shared" si="3"/>
        <v>0</v>
      </c>
      <c r="H123" s="291"/>
      <c r="J123" s="36"/>
      <c r="M123" s="294" t="s">
        <v>1124</v>
      </c>
      <c r="N123" s="300" t="s">
        <v>63</v>
      </c>
      <c r="O123" s="291" t="str">
        <v>Colgate-Palmolive India Ltd</v>
      </c>
      <c r="P123" s="301">
        <v>0.00137334004698152</v>
      </c>
      <c r="Q123" s="293">
        <f>P123*VLOOKUP(N123,'Selector Sheet '!$B$13:$D$43,2,FALSE)</f>
        <v>0</v>
      </c>
      <c r="R123" s="291" t="str">
        <v>Consumer Staples</v>
      </c>
      <c r="S123" s="293">
        <f>P123*VLOOKUP(N123,'Selector Sheet '!$B$13:$D$43,2,FALSE)</f>
        <v>0</v>
      </c>
      <c r="T123" s="291"/>
      <c r="X123" s="291" t="str">
        <v>INE154A01025</v>
      </c>
      <c r="Z123" s="294" t="s">
        <v>901</v>
      </c>
      <c r="AB123" t="s">
        <v>961</v>
      </c>
      <c r="AC123" t="s">
        <v>1125</v>
      </c>
      <c r="AD123" t="s">
        <v>980</v>
      </c>
      <c r="AE123">
        <v>25.9632453870109</v>
      </c>
      <c r="AF123">
        <v>48.0798937019954</v>
      </c>
      <c r="AG123">
        <v>347466.3</v>
      </c>
      <c r="AH123">
        <v>27.79</v>
      </c>
      <c r="AI123">
        <v>5131645355382.7</v>
      </c>
    </row>
    <row r="124" spans="1:35">
      <c r="A124" s="290" t="s">
        <v>919</v>
      </c>
      <c r="B124" s="127" t="s">
        <v>46</v>
      </c>
      <c r="C124" s="291" t="str">
        <v>HCL Technologies Ltd</v>
      </c>
      <c r="D124" s="299">
        <f>([1]Mediator!D124)/100</f>
        <v>0.0271837807297335</v>
      </c>
      <c r="E124" s="293">
        <f t="shared" si="2"/>
        <v>0</v>
      </c>
      <c r="F124" s="291" t="str">
        <v>Information Technology</v>
      </c>
      <c r="G124" s="293">
        <f t="shared" si="3"/>
        <v>0</v>
      </c>
      <c r="H124" s="291"/>
      <c r="J124" s="36"/>
      <c r="M124" s="290" t="s">
        <v>897</v>
      </c>
      <c r="N124" s="298" t="s">
        <v>63</v>
      </c>
      <c r="O124" s="291" t="str">
        <v>Cummins India Ltd</v>
      </c>
      <c r="P124" s="299">
        <v>0.00637187561510394</v>
      </c>
      <c r="Q124" s="293">
        <f>P124*VLOOKUP(N124,'Selector Sheet '!$B$13:$D$43,2,FALSE)</f>
        <v>0</v>
      </c>
      <c r="R124" s="291" t="str">
        <v>Industrials</v>
      </c>
      <c r="S124" s="293">
        <f>P124*VLOOKUP(N124,'Selector Sheet '!$B$13:$D$43,2,FALSE)</f>
        <v>0</v>
      </c>
      <c r="T124" s="291"/>
      <c r="X124" s="291" t="str">
        <v>INE237A01028</v>
      </c>
      <c r="Z124" s="290" t="s">
        <v>919</v>
      </c>
      <c r="AB124" t="s">
        <v>972</v>
      </c>
      <c r="AC124" t="s">
        <v>1126</v>
      </c>
      <c r="AD124" t="s">
        <v>831</v>
      </c>
      <c r="AE124">
        <v>20.8737407910491</v>
      </c>
      <c r="AF124" t="s">
        <v>824</v>
      </c>
      <c r="AG124">
        <v>221259.89</v>
      </c>
      <c r="AH124">
        <v>111.29</v>
      </c>
      <c r="AI124">
        <v>3997359701806.55</v>
      </c>
    </row>
    <row r="125" spans="1:35">
      <c r="A125" s="294" t="s">
        <v>924</v>
      </c>
      <c r="B125" s="127" t="s">
        <v>46</v>
      </c>
      <c r="C125" s="291" t="str">
        <v>HDFC Bank Ltd</v>
      </c>
      <c r="D125" s="301">
        <f>([1]Mediator!D125)/100</f>
        <v>0.00953215292390808</v>
      </c>
      <c r="E125" s="293">
        <f t="shared" si="2"/>
        <v>0</v>
      </c>
      <c r="F125" s="291" t="str">
        <v>Financials</v>
      </c>
      <c r="G125" s="293">
        <f t="shared" si="3"/>
        <v>0</v>
      </c>
      <c r="H125" s="291"/>
      <c r="J125" s="36"/>
      <c r="M125" s="294" t="s">
        <v>895</v>
      </c>
      <c r="N125" s="300" t="s">
        <v>63</v>
      </c>
      <c r="O125" s="291" t="str">
        <v>Dr Reddy's Laboratories Ltd</v>
      </c>
      <c r="P125" s="301">
        <v>0.00955502957429962</v>
      </c>
      <c r="Q125" s="293">
        <f>P125*VLOOKUP(N125,'Selector Sheet '!$B$13:$D$43,2,FALSE)</f>
        <v>0</v>
      </c>
      <c r="R125" s="291" t="str">
        <v>Health Care</v>
      </c>
      <c r="S125" s="293">
        <f>P125*VLOOKUP(N125,'Selector Sheet '!$B$13:$D$43,2,FALSE)</f>
        <v>0</v>
      </c>
      <c r="T125" s="291"/>
      <c r="X125" s="291" t="str">
        <v>INE018A01030</v>
      </c>
      <c r="Z125" s="294" t="s">
        <v>924</v>
      </c>
      <c r="AB125" t="s">
        <v>975</v>
      </c>
      <c r="AC125" t="s">
        <v>1127</v>
      </c>
      <c r="AD125" t="s">
        <v>813</v>
      </c>
      <c r="AE125">
        <v>33.3956647983152</v>
      </c>
      <c r="AF125">
        <v>16.3433666545589</v>
      </c>
      <c r="AG125">
        <v>150371.1</v>
      </c>
      <c r="AH125">
        <v>109.36</v>
      </c>
      <c r="AI125">
        <v>5023575489760.85</v>
      </c>
    </row>
    <row r="126" spans="1:35">
      <c r="A126" s="290" t="s">
        <v>931</v>
      </c>
      <c r="B126" s="127" t="s">
        <v>46</v>
      </c>
      <c r="C126" s="291" t="str">
        <v>Hindalco Industries Ltd</v>
      </c>
      <c r="D126" s="299">
        <f>([1]Mediator!D126)/100</f>
        <v>0.0996527801120735</v>
      </c>
      <c r="E126" s="293">
        <f t="shared" si="2"/>
        <v>0</v>
      </c>
      <c r="F126" s="291" t="str">
        <v>Materials</v>
      </c>
      <c r="G126" s="293">
        <f t="shared" si="3"/>
        <v>0</v>
      </c>
      <c r="H126" s="291"/>
      <c r="J126" s="36"/>
      <c r="M126" s="290" t="s">
        <v>1128</v>
      </c>
      <c r="N126" s="298" t="s">
        <v>63</v>
      </c>
      <c r="O126" s="291" t="str">
        <v>Eicher Motors Ltd</v>
      </c>
      <c r="P126" s="299">
        <v>0.00563771084507791</v>
      </c>
      <c r="Q126" s="293">
        <f>P126*VLOOKUP(N126,'Selector Sheet '!$B$13:$D$43,2,FALSE)</f>
        <v>0</v>
      </c>
      <c r="R126" s="291" t="str">
        <v>Consumer Discretionary</v>
      </c>
      <c r="S126" s="293">
        <f>P126*VLOOKUP(N126,'Selector Sheet '!$B$13:$D$43,2,FALSE)</f>
        <v>0</v>
      </c>
      <c r="T126" s="291"/>
      <c r="X126" s="291" t="str">
        <v>INE585B01010</v>
      </c>
      <c r="Z126" s="290" t="s">
        <v>931</v>
      </c>
      <c r="AB126" t="s">
        <v>990</v>
      </c>
      <c r="AC126" t="s">
        <v>1129</v>
      </c>
      <c r="AD126" t="s">
        <v>838</v>
      </c>
      <c r="AE126">
        <v>30.0975715524718</v>
      </c>
      <c r="AF126">
        <v>15.9451582095264</v>
      </c>
      <c r="AG126">
        <v>145002</v>
      </c>
      <c r="AH126">
        <v>461.2</v>
      </c>
      <c r="AI126">
        <v>4364222129694</v>
      </c>
    </row>
    <row r="127" spans="1:35">
      <c r="A127" s="294" t="s">
        <v>934</v>
      </c>
      <c r="B127" s="127" t="s">
        <v>46</v>
      </c>
      <c r="C127" s="291" t="str">
        <v>Hindustan Unilever Ltd</v>
      </c>
      <c r="D127" s="301">
        <f>([1]Mediator!D127)/100</f>
        <v>0.00572853907019288</v>
      </c>
      <c r="E127" s="293">
        <f t="shared" si="2"/>
        <v>0</v>
      </c>
      <c r="F127" s="291" t="str">
        <v>Consumer Staples</v>
      </c>
      <c r="G127" s="293">
        <f t="shared" si="3"/>
        <v>0</v>
      </c>
      <c r="H127" s="291"/>
      <c r="J127" s="36"/>
      <c r="M127" s="294" t="s">
        <v>901</v>
      </c>
      <c r="N127" s="300" t="s">
        <v>63</v>
      </c>
      <c r="O127" s="291" t="str">
        <v>Eternal Ltd</v>
      </c>
      <c r="P127" s="301">
        <v>0.0147684486807093</v>
      </c>
      <c r="Q127" s="293">
        <f>P127*VLOOKUP(N127,'Selector Sheet '!$B$13:$D$43,2,FALSE)</f>
        <v>0</v>
      </c>
      <c r="R127" s="291" t="str">
        <v>Consumer Discretionary</v>
      </c>
      <c r="S127" s="293">
        <f>P127*VLOOKUP(N127,'Selector Sheet '!$B$13:$D$43,2,FALSE)</f>
        <v>0</v>
      </c>
      <c r="T127" s="291"/>
      <c r="X127" s="291" t="str">
        <v>INE0ONG01011</v>
      </c>
      <c r="Z127" s="294" t="s">
        <v>934</v>
      </c>
      <c r="AB127" t="s">
        <v>1130</v>
      </c>
      <c r="AC127" t="s">
        <v>1131</v>
      </c>
      <c r="AD127" t="s">
        <v>994</v>
      </c>
      <c r="AE127">
        <v>180.229987201796</v>
      </c>
      <c r="AF127">
        <v>3.85433455782843</v>
      </c>
      <c r="AG127">
        <v>4754.8</v>
      </c>
      <c r="AH127">
        <v>0.564279</v>
      </c>
      <c r="AI127">
        <v>856957727337.3</v>
      </c>
    </row>
    <row r="128" spans="1:35">
      <c r="A128" s="290" t="s">
        <v>936</v>
      </c>
      <c r="B128" s="127" t="s">
        <v>46</v>
      </c>
      <c r="C128" s="291" t="str">
        <v>ICICI Bank Ltd</v>
      </c>
      <c r="D128" s="299">
        <f>([1]Mediator!D128)/100</f>
        <v>0.00957036849889301</v>
      </c>
      <c r="E128" s="293">
        <f t="shared" si="2"/>
        <v>0</v>
      </c>
      <c r="F128" s="291" t="str">
        <v>Financials</v>
      </c>
      <c r="G128" s="293">
        <f t="shared" si="3"/>
        <v>0</v>
      </c>
      <c r="H128" s="291"/>
      <c r="J128" s="36"/>
      <c r="M128" s="290" t="s">
        <v>1132</v>
      </c>
      <c r="N128" s="298" t="s">
        <v>63</v>
      </c>
      <c r="O128" s="291" t="str">
        <v>FSN E-Commerce Ventures Ltd</v>
      </c>
      <c r="P128" s="299">
        <v>0.00227021332624511</v>
      </c>
      <c r="Q128" s="293">
        <f>P128*VLOOKUP(N128,'Selector Sheet '!$B$13:$D$43,2,FALSE)</f>
        <v>0</v>
      </c>
      <c r="R128" s="291" t="str">
        <v>Consumer Discretionary</v>
      </c>
      <c r="S128" s="293">
        <f>P128*VLOOKUP(N128,'Selector Sheet '!$B$13:$D$43,2,FALSE)</f>
        <v>0</v>
      </c>
      <c r="T128" s="291"/>
      <c r="X128" s="291" t="str">
        <v>INE761H01022</v>
      </c>
      <c r="Z128" s="290" t="s">
        <v>936</v>
      </c>
      <c r="AB128" t="s">
        <v>1008</v>
      </c>
      <c r="AC128" t="s">
        <v>1133</v>
      </c>
      <c r="AD128" t="s">
        <v>838</v>
      </c>
      <c r="AE128">
        <v>68.1571338972939</v>
      </c>
      <c r="AF128">
        <v>48.5427365847748</v>
      </c>
      <c r="AG128">
        <v>7291.42</v>
      </c>
      <c r="AH128">
        <v>653.71</v>
      </c>
      <c r="AI128">
        <v>496960856070</v>
      </c>
    </row>
    <row r="129" spans="1:35">
      <c r="A129" s="294" t="s">
        <v>1117</v>
      </c>
      <c r="B129" s="127" t="s">
        <v>46</v>
      </c>
      <c r="C129" s="291" t="str">
        <v>ICICI Lombard General Insuranc</v>
      </c>
      <c r="D129" s="301">
        <f>([1]Mediator!D129)/100</f>
        <v>0.0867752162500231</v>
      </c>
      <c r="E129" s="293">
        <f t="shared" si="2"/>
        <v>0</v>
      </c>
      <c r="F129" s="291" t="str">
        <v>Financials</v>
      </c>
      <c r="G129" s="293">
        <f t="shared" si="3"/>
        <v>0</v>
      </c>
      <c r="H129" s="291"/>
      <c r="J129" s="36"/>
      <c r="M129" s="294" t="s">
        <v>1134</v>
      </c>
      <c r="N129" s="300" t="s">
        <v>63</v>
      </c>
      <c r="O129" s="291" t="str">
        <v>Grasim Industries Ltd</v>
      </c>
      <c r="P129" s="301">
        <v>0.0025628891478509</v>
      </c>
      <c r="Q129" s="293">
        <f>P129*VLOOKUP(N129,'Selector Sheet '!$B$13:$D$43,2,FALSE)</f>
        <v>0</v>
      </c>
      <c r="R129" s="291" t="str">
        <v>Materials</v>
      </c>
      <c r="S129" s="293">
        <f>P129*VLOOKUP(N129,'Selector Sheet '!$B$13:$D$43,2,FALSE)</f>
        <v>0</v>
      </c>
      <c r="T129" s="291"/>
      <c r="X129" s="291" t="str">
        <v>INE134E01011</v>
      </c>
      <c r="Z129" s="294" t="s">
        <v>1117</v>
      </c>
      <c r="AB129" t="s">
        <v>1020</v>
      </c>
      <c r="AC129" t="s">
        <v>1135</v>
      </c>
      <c r="AD129" t="s">
        <v>831</v>
      </c>
      <c r="AE129">
        <v>5.96239405621479</v>
      </c>
      <c r="AF129">
        <v>21.0071931796917</v>
      </c>
      <c r="AG129">
        <v>229908.1</v>
      </c>
      <c r="AH129">
        <v>69.67</v>
      </c>
      <c r="AI129">
        <v>1370862271104</v>
      </c>
    </row>
    <row r="130" spans="1:35">
      <c r="A130" s="290" t="s">
        <v>1119</v>
      </c>
      <c r="B130" s="127" t="s">
        <v>46</v>
      </c>
      <c r="C130" s="291" t="str">
        <v>Info Edge India Ltd</v>
      </c>
      <c r="D130" s="299">
        <f>([1]Mediator!D130)/100</f>
        <v>0.00265681137982539</v>
      </c>
      <c r="E130" s="293">
        <f t="shared" ref="E130:E191" si="4">_xlfn.IFNA(D130*VLOOKUP($B130,$AK$1:$AM$34,3,FALSE),0)</f>
        <v>0</v>
      </c>
      <c r="F130" s="291" t="str">
        <v>Communication Services</v>
      </c>
      <c r="G130" s="293">
        <f t="shared" ref="G130:G191" si="5">_xlfn.IFNA(D130*VLOOKUP($B130,$AK$1:$AM$34,3,FALSE),0)</f>
        <v>0</v>
      </c>
      <c r="H130" s="291"/>
      <c r="J130" s="36"/>
      <c r="M130" s="290" t="s">
        <v>1136</v>
      </c>
      <c r="N130" s="298" t="s">
        <v>63</v>
      </c>
      <c r="O130" s="291" t="str">
        <v>Havells India Ltd</v>
      </c>
      <c r="P130" s="299">
        <v>0.00106601611868046</v>
      </c>
      <c r="Q130" s="293">
        <f>P130*VLOOKUP(N130,'Selector Sheet '!$B$13:$D$43,2,FALSE)</f>
        <v>0</v>
      </c>
      <c r="R130" s="291" t="str">
        <v>Industrials</v>
      </c>
      <c r="S130" s="293">
        <f>P130*VLOOKUP(N130,'Selector Sheet '!$B$13:$D$43,2,FALSE)</f>
        <v>0</v>
      </c>
      <c r="T130" s="291"/>
      <c r="X130" s="291" t="str">
        <v>INE002A01018</v>
      </c>
      <c r="Z130" s="290" t="s">
        <v>1119</v>
      </c>
      <c r="AB130" t="s">
        <v>1034</v>
      </c>
      <c r="AC130" t="s">
        <v>1137</v>
      </c>
      <c r="AD130" t="s">
        <v>1001</v>
      </c>
      <c r="AE130">
        <v>23.0732185152229</v>
      </c>
      <c r="AF130" t="s">
        <v>824</v>
      </c>
      <c r="AG130">
        <v>696480</v>
      </c>
      <c r="AH130">
        <v>51.47</v>
      </c>
      <c r="AI130">
        <v>18806639047385.8</v>
      </c>
    </row>
    <row r="131" spans="1:35">
      <c r="A131" s="294" t="s">
        <v>955</v>
      </c>
      <c r="B131" s="127" t="s">
        <v>46</v>
      </c>
      <c r="C131" s="291" t="str">
        <v>Infosys Ltd</v>
      </c>
      <c r="D131" s="301">
        <f>([1]Mediator!D131)/100</f>
        <v>0.00119486145455268</v>
      </c>
      <c r="E131" s="293">
        <f t="shared" si="4"/>
        <v>0</v>
      </c>
      <c r="F131" s="291" t="str">
        <v>Information Technology</v>
      </c>
      <c r="G131" s="293">
        <f t="shared" si="5"/>
        <v>0</v>
      </c>
      <c r="H131" s="291"/>
      <c r="J131" s="36"/>
      <c r="M131" s="294" t="s">
        <v>919</v>
      </c>
      <c r="N131" s="300" t="s">
        <v>63</v>
      </c>
      <c r="O131" s="291" t="str">
        <v>HCL Technologies Ltd</v>
      </c>
      <c r="P131" s="301">
        <v>0.00916070365036832</v>
      </c>
      <c r="Q131" s="293">
        <f>P131*VLOOKUP(N131,'Selector Sheet '!$B$13:$D$43,2,FALSE)</f>
        <v>0</v>
      </c>
      <c r="R131" s="291" t="str">
        <v>Information Technology</v>
      </c>
      <c r="S131" s="293">
        <f>P131*VLOOKUP(N131,'Selector Sheet '!$B$13:$D$43,2,FALSE)</f>
        <v>0</v>
      </c>
      <c r="T131" s="291"/>
      <c r="X131" s="291" t="str">
        <v>INE123W01016</v>
      </c>
      <c r="Z131" s="294" t="s">
        <v>955</v>
      </c>
      <c r="AB131" t="s">
        <v>1138</v>
      </c>
      <c r="AC131" t="s">
        <v>1139</v>
      </c>
      <c r="AD131" t="s">
        <v>831</v>
      </c>
      <c r="AE131">
        <v>76.396938452974</v>
      </c>
      <c r="AF131">
        <v>14.8945296072865</v>
      </c>
      <c r="AG131">
        <v>24133</v>
      </c>
      <c r="AH131">
        <v>24.09</v>
      </c>
      <c r="AI131">
        <v>1902162099964</v>
      </c>
    </row>
    <row r="132" spans="1:35">
      <c r="A132" s="290" t="s">
        <v>958</v>
      </c>
      <c r="B132" s="127" t="s">
        <v>46</v>
      </c>
      <c r="C132" s="291" t="str">
        <v>InterGlobe Aviation Ltd</v>
      </c>
      <c r="D132" s="299">
        <f>([1]Mediator!D132)/100</f>
        <v>0.0423918303121686</v>
      </c>
      <c r="E132" s="293">
        <f t="shared" si="4"/>
        <v>0</v>
      </c>
      <c r="F132" s="291" t="str">
        <v>Industrials</v>
      </c>
      <c r="G132" s="293">
        <f t="shared" si="5"/>
        <v>0</v>
      </c>
      <c r="H132" s="291"/>
      <c r="J132" s="36"/>
      <c r="M132" s="290" t="s">
        <v>926</v>
      </c>
      <c r="N132" s="298" t="s">
        <v>63</v>
      </c>
      <c r="O132" s="291" t="str">
        <v>HDFC Asset Management Co Ltd</v>
      </c>
      <c r="P132" s="299">
        <v>0.00720205044301123</v>
      </c>
      <c r="Q132" s="293">
        <f>P132*VLOOKUP(N132,'Selector Sheet '!$B$13:$D$43,2,FALSE)</f>
        <v>0</v>
      </c>
      <c r="R132" s="291" t="str">
        <v>Financials</v>
      </c>
      <c r="S132" s="293">
        <f>P132*VLOOKUP(N132,'Selector Sheet '!$B$13:$D$43,2,FALSE)</f>
        <v>0</v>
      </c>
      <c r="T132" s="291"/>
      <c r="X132" s="291" t="str">
        <v>INE081A01020</v>
      </c>
      <c r="Z132" s="290" t="s">
        <v>958</v>
      </c>
      <c r="AB132" t="s">
        <v>1056</v>
      </c>
      <c r="AC132" t="s">
        <v>1140</v>
      </c>
      <c r="AD132" t="s">
        <v>823</v>
      </c>
      <c r="AE132">
        <v>57.4452532468921</v>
      </c>
      <c r="AF132">
        <v>3.73407136111006</v>
      </c>
      <c r="AG132">
        <v>34205.1</v>
      </c>
      <c r="AH132">
        <v>2.74</v>
      </c>
      <c r="AI132">
        <v>1964995596143.99</v>
      </c>
    </row>
    <row r="133" spans="1:35">
      <c r="A133" s="294" t="s">
        <v>941</v>
      </c>
      <c r="B133" s="127" t="s">
        <v>46</v>
      </c>
      <c r="C133" s="291" t="str">
        <v>ITC Hotels Ltd</v>
      </c>
      <c r="D133" s="301">
        <f>([1]Mediator!D133)/100</f>
        <v>0.0158909868968667</v>
      </c>
      <c r="E133" s="293">
        <f t="shared" si="4"/>
        <v>0</v>
      </c>
      <c r="F133" s="291" t="str">
        <v>Consumer Discretionary</v>
      </c>
      <c r="G133" s="293">
        <f t="shared" si="5"/>
        <v>0</v>
      </c>
      <c r="H133" s="291"/>
      <c r="J133" s="36"/>
      <c r="M133" s="294" t="s">
        <v>924</v>
      </c>
      <c r="N133" s="300" t="s">
        <v>63</v>
      </c>
      <c r="O133" s="291" t="str">
        <v>HDFC Bank Ltd</v>
      </c>
      <c r="P133" s="301">
        <v>0.0428168915181608</v>
      </c>
      <c r="Q133" s="293">
        <f>P133*VLOOKUP(N133,'Selector Sheet '!$B$13:$D$43,2,FALSE)</f>
        <v>0</v>
      </c>
      <c r="R133" s="291" t="str">
        <v>Financials</v>
      </c>
      <c r="S133" s="293">
        <f>P133*VLOOKUP(N133,'Selector Sheet '!$B$13:$D$43,2,FALSE)</f>
        <v>0</v>
      </c>
      <c r="T133" s="291"/>
      <c r="X133" s="291" t="str">
        <v>INE685A01028</v>
      </c>
      <c r="Z133" s="294" t="s">
        <v>941</v>
      </c>
      <c r="AB133" t="s">
        <v>1141</v>
      </c>
      <c r="AC133" t="s">
        <v>1142</v>
      </c>
      <c r="AD133" t="s">
        <v>819</v>
      </c>
      <c r="AE133">
        <v>63.9472303463122</v>
      </c>
      <c r="AF133">
        <v>26.4590734029033</v>
      </c>
      <c r="AG133">
        <v>19112.5</v>
      </c>
      <c r="AH133">
        <v>56.47</v>
      </c>
      <c r="AI133">
        <v>1222105439664</v>
      </c>
    </row>
    <row r="134" spans="1:35">
      <c r="A134" s="290" t="s">
        <v>961</v>
      </c>
      <c r="B134" s="127" t="s">
        <v>46</v>
      </c>
      <c r="C134" s="291" t="str">
        <v>ITC Ltd</v>
      </c>
      <c r="D134" s="299">
        <f>([1]Mediator!D134)/100</f>
        <v>0.000421376997860129</v>
      </c>
      <c r="E134" s="293">
        <f t="shared" si="4"/>
        <v>0</v>
      </c>
      <c r="F134" s="291" t="str">
        <v>Consumer Staples</v>
      </c>
      <c r="G134" s="293">
        <f t="shared" si="5"/>
        <v>0</v>
      </c>
      <c r="H134" s="291"/>
      <c r="J134" s="36"/>
      <c r="M134" s="290" t="s">
        <v>927</v>
      </c>
      <c r="N134" s="298" t="s">
        <v>63</v>
      </c>
      <c r="O134" s="291" t="str">
        <v>HDFC Life Insurance Co Ltd</v>
      </c>
      <c r="P134" s="299">
        <v>0.00571820154485684</v>
      </c>
      <c r="Q134" s="293">
        <f>P134*VLOOKUP(N134,'Selector Sheet '!$B$13:$D$43,2,FALSE)</f>
        <v>0</v>
      </c>
      <c r="R134" s="291" t="str">
        <v>Financials</v>
      </c>
      <c r="S134" s="293">
        <f>P134*VLOOKUP(N134,'Selector Sheet '!$B$13:$D$43,2,FALSE)</f>
        <v>0</v>
      </c>
      <c r="T134" s="291"/>
      <c r="X134" s="291" t="str">
        <v>INE481G01011</v>
      </c>
      <c r="Z134" s="290" t="s">
        <v>961</v>
      </c>
      <c r="AB134" t="s">
        <v>1071</v>
      </c>
      <c r="AC134" t="s">
        <v>1143</v>
      </c>
      <c r="AD134" t="s">
        <v>823</v>
      </c>
      <c r="AE134">
        <v>62.7374573794447</v>
      </c>
      <c r="AF134">
        <v>9.22464519405732</v>
      </c>
      <c r="AG134">
        <v>60391.1</v>
      </c>
      <c r="AH134">
        <v>205.3</v>
      </c>
      <c r="AI134">
        <v>3795467722480</v>
      </c>
    </row>
    <row r="135" spans="1:35">
      <c r="A135" s="294" t="s">
        <v>972</v>
      </c>
      <c r="B135" s="127" t="s">
        <v>46</v>
      </c>
      <c r="C135" s="291" t="str">
        <v>Kotak Mahindra Bank Ltd</v>
      </c>
      <c r="D135" s="301">
        <f>([1]Mediator!D135)/100</f>
        <v>0.0230996389566792</v>
      </c>
      <c r="E135" s="293">
        <f t="shared" si="4"/>
        <v>0</v>
      </c>
      <c r="F135" s="291" t="str">
        <v>Financials</v>
      </c>
      <c r="G135" s="293">
        <f t="shared" si="5"/>
        <v>0</v>
      </c>
      <c r="H135" s="291"/>
      <c r="J135" s="36"/>
      <c r="M135" s="294" t="s">
        <v>931</v>
      </c>
      <c r="N135" s="300" t="s">
        <v>63</v>
      </c>
      <c r="O135" s="291" t="str">
        <v>Hindalco Industries Ltd</v>
      </c>
      <c r="P135" s="301">
        <v>0.00595476323431994</v>
      </c>
      <c r="Q135" s="293">
        <f>P135*VLOOKUP(N135,'Selector Sheet '!$B$13:$D$43,2,FALSE)</f>
        <v>0</v>
      </c>
      <c r="R135" s="291" t="str">
        <v>Materials</v>
      </c>
      <c r="S135" s="293">
        <f>P135*VLOOKUP(N135,'Selector Sheet '!$B$13:$D$43,2,FALSE)</f>
        <v>0</v>
      </c>
      <c r="T135" s="291"/>
      <c r="X135" s="291" t="str">
        <v>INE854D01024</v>
      </c>
      <c r="Z135" s="294" t="s">
        <v>972</v>
      </c>
      <c r="AB135" t="s">
        <v>1076</v>
      </c>
      <c r="AC135" t="s">
        <v>1144</v>
      </c>
      <c r="AD135" t="s">
        <v>980</v>
      </c>
      <c r="AE135">
        <v>59.174148313019</v>
      </c>
      <c r="AF135">
        <v>20.7816091954023</v>
      </c>
      <c r="AG135">
        <v>15820</v>
      </c>
      <c r="AH135">
        <v>22.28</v>
      </c>
      <c r="AI135">
        <v>958939364595.2</v>
      </c>
    </row>
    <row r="136" spans="1:35">
      <c r="A136" s="290" t="s">
        <v>975</v>
      </c>
      <c r="B136" s="127" t="s">
        <v>46</v>
      </c>
      <c r="C136" s="291" t="str">
        <v>Larsen &amp; Toubro Ltd</v>
      </c>
      <c r="D136" s="299">
        <f>([1]Mediator!D136)/100</f>
        <v>0.0194007918523126</v>
      </c>
      <c r="E136" s="293">
        <f t="shared" si="4"/>
        <v>0</v>
      </c>
      <c r="F136" s="291" t="str">
        <v>Industrials</v>
      </c>
      <c r="G136" s="293">
        <f t="shared" si="5"/>
        <v>0</v>
      </c>
      <c r="H136" s="291"/>
      <c r="J136" s="36"/>
      <c r="M136" s="290" t="s">
        <v>1145</v>
      </c>
      <c r="N136" s="298" t="s">
        <v>63</v>
      </c>
      <c r="O136" s="291" t="str">
        <v>Hindustan Petroleum Corp Ltd</v>
      </c>
      <c r="P136" s="299">
        <v>0.00135326432109671</v>
      </c>
      <c r="Q136" s="293">
        <f>P136*VLOOKUP(N136,'Selector Sheet '!$B$13:$D$43,2,FALSE)</f>
        <v>0</v>
      </c>
      <c r="R136" s="291" t="str">
        <v>Energy</v>
      </c>
      <c r="S136" s="293">
        <f>P136*VLOOKUP(N136,'Selector Sheet '!$B$13:$D$43,2,FALSE)</f>
        <v>0</v>
      </c>
      <c r="T136" s="291"/>
      <c r="X136" s="291" t="str">
        <v>INE012A01025</v>
      </c>
      <c r="Z136" s="290" t="s">
        <v>975</v>
      </c>
      <c r="AB136" t="s">
        <v>1092</v>
      </c>
      <c r="AC136" t="s">
        <v>1146</v>
      </c>
      <c r="AD136" t="s">
        <v>823</v>
      </c>
      <c r="AE136">
        <v>14.289008564618</v>
      </c>
      <c r="AF136">
        <v>13.7724156080344</v>
      </c>
      <c r="AG136">
        <v>24021.2</v>
      </c>
      <c r="AH136">
        <v>127.92</v>
      </c>
      <c r="AI136">
        <v>343246948674.55</v>
      </c>
    </row>
    <row r="137" spans="1:35">
      <c r="A137" s="294" t="s">
        <v>966</v>
      </c>
      <c r="B137" s="127" t="s">
        <v>46</v>
      </c>
      <c r="C137" s="291" t="str">
        <v>Mahindra &amp; Mahindra Ltd</v>
      </c>
      <c r="D137" s="301">
        <f>([1]Mediator!D137)/100</f>
        <v>0.0378566594244597</v>
      </c>
      <c r="E137" s="293">
        <f t="shared" si="4"/>
        <v>0</v>
      </c>
      <c r="F137" s="291" t="str">
        <v>Consumer Discretionary</v>
      </c>
      <c r="G137" s="293">
        <f t="shared" si="5"/>
        <v>0</v>
      </c>
      <c r="H137" s="291"/>
      <c r="J137" s="36"/>
      <c r="M137" s="294" t="s">
        <v>934</v>
      </c>
      <c r="N137" s="300" t="s">
        <v>63</v>
      </c>
      <c r="O137" s="291" t="str">
        <v>Hindustan Unilever Ltd</v>
      </c>
      <c r="P137" s="301">
        <v>0.00909658662765094</v>
      </c>
      <c r="Q137" s="293">
        <f>P137*VLOOKUP(N137,'Selector Sheet '!$B$13:$D$43,2,FALSE)</f>
        <v>0</v>
      </c>
      <c r="R137" s="291" t="str">
        <v>Consumer Staples</v>
      </c>
      <c r="S137" s="293">
        <f>P137*VLOOKUP(N137,'Selector Sheet '!$B$13:$D$43,2,FALSE)</f>
        <v>0</v>
      </c>
      <c r="T137" s="291"/>
      <c r="X137" s="291" t="str">
        <v>INE212H01026</v>
      </c>
      <c r="Z137" s="294" t="s">
        <v>966</v>
      </c>
      <c r="AB137" t="s">
        <v>1147</v>
      </c>
      <c r="AC137" t="s">
        <v>1148</v>
      </c>
      <c r="AD137" t="s">
        <v>813</v>
      </c>
      <c r="AE137">
        <v>27.3388524647984</v>
      </c>
      <c r="AF137">
        <v>15.6165812017768</v>
      </c>
      <c r="AG137">
        <v>10607.36</v>
      </c>
      <c r="AH137">
        <v>113.666073</v>
      </c>
      <c r="AI137">
        <v>289993049775</v>
      </c>
    </row>
    <row r="138" spans="1:35">
      <c r="A138" s="290" t="s">
        <v>969</v>
      </c>
      <c r="B138" s="127" t="s">
        <v>46</v>
      </c>
      <c r="C138" s="291" t="str">
        <v>Mankind Pharma Ltd</v>
      </c>
      <c r="D138" s="299">
        <f>([1]Mediator!D138)/100</f>
        <v>0.0326327487937089</v>
      </c>
      <c r="E138" s="293">
        <f t="shared" si="4"/>
        <v>0</v>
      </c>
      <c r="F138" s="291" t="str">
        <v>Health Care</v>
      </c>
      <c r="G138" s="293">
        <f t="shared" si="5"/>
        <v>0</v>
      </c>
      <c r="H138" s="291"/>
      <c r="J138" s="36"/>
      <c r="M138" s="290" t="s">
        <v>936</v>
      </c>
      <c r="N138" s="298" t="s">
        <v>63</v>
      </c>
      <c r="O138" s="291" t="str">
        <v>ICICI Bank Ltd</v>
      </c>
      <c r="P138" s="299">
        <v>0.0469859387921702</v>
      </c>
      <c r="Q138" s="293">
        <f>P138*VLOOKUP(N138,'Selector Sheet '!$B$13:$D$43,2,FALSE)</f>
        <v>0</v>
      </c>
      <c r="R138" s="291" t="str">
        <v>Financials</v>
      </c>
      <c r="S138" s="293">
        <f>P138*VLOOKUP(N138,'Selector Sheet '!$B$13:$D$43,2,FALSE)</f>
        <v>0</v>
      </c>
      <c r="T138" s="291"/>
      <c r="X138" s="291" t="str">
        <v>INE540L01014</v>
      </c>
      <c r="Z138" s="290" t="s">
        <v>969</v>
      </c>
      <c r="AB138" t="s">
        <v>1149</v>
      </c>
      <c r="AC138" t="s">
        <v>1150</v>
      </c>
      <c r="AD138" t="s">
        <v>819</v>
      </c>
      <c r="AE138">
        <v>29.6090773563028</v>
      </c>
      <c r="AF138">
        <v>19.4240193605129</v>
      </c>
      <c r="AG138">
        <v>21654.8</v>
      </c>
      <c r="AH138">
        <v>181.11</v>
      </c>
      <c r="AI138">
        <v>641167312500</v>
      </c>
    </row>
    <row r="139" spans="1:35">
      <c r="A139" s="294" t="s">
        <v>990</v>
      </c>
      <c r="B139" s="127" t="s">
        <v>46</v>
      </c>
      <c r="C139" s="291" t="str">
        <v>Maruti Suzuki India Ltd</v>
      </c>
      <c r="D139" s="301">
        <f>([1]Mediator!D139)/100</f>
        <v>0.0143029255741438</v>
      </c>
      <c r="E139" s="293">
        <f t="shared" si="4"/>
        <v>0</v>
      </c>
      <c r="F139" s="291" t="str">
        <v>Consumer Discretionary</v>
      </c>
      <c r="G139" s="293">
        <f t="shared" si="5"/>
        <v>0</v>
      </c>
      <c r="H139" s="291"/>
      <c r="J139" s="36"/>
      <c r="M139" s="294" t="s">
        <v>1117</v>
      </c>
      <c r="N139" s="300" t="s">
        <v>63</v>
      </c>
      <c r="O139" s="291" t="str">
        <v>ICICI Lombard General Insuranc</v>
      </c>
      <c r="P139" s="301">
        <v>0.00353290752315761</v>
      </c>
      <c r="Q139" s="293">
        <f>P139*VLOOKUP(N139,'Selector Sheet '!$B$13:$D$43,2,FALSE)</f>
        <v>0</v>
      </c>
      <c r="R139" s="291" t="str">
        <v>Financials</v>
      </c>
      <c r="S139" s="293">
        <f>P139*VLOOKUP(N139,'Selector Sheet '!$B$13:$D$43,2,FALSE)</f>
        <v>0</v>
      </c>
      <c r="T139" s="291"/>
      <c r="X139" s="291" t="str">
        <v>INE021A01026</v>
      </c>
      <c r="Z139" s="294" t="s">
        <v>990</v>
      </c>
      <c r="AB139" t="s">
        <v>1101</v>
      </c>
      <c r="AC139" t="s">
        <v>1151</v>
      </c>
      <c r="AD139" t="s">
        <v>823</v>
      </c>
      <c r="AE139">
        <v>66.4784326491013</v>
      </c>
      <c r="AF139">
        <v>19.2363586865439</v>
      </c>
      <c r="AG139">
        <v>36672.3</v>
      </c>
      <c r="AH139">
        <v>38.25</v>
      </c>
      <c r="AI139">
        <v>2439048140412</v>
      </c>
    </row>
    <row r="140" spans="1:35">
      <c r="A140" s="290" t="s">
        <v>971</v>
      </c>
      <c r="B140" s="127" t="s">
        <v>46</v>
      </c>
      <c r="C140" s="291" t="str">
        <v>Max Healthcare Institute Ltd</v>
      </c>
      <c r="D140" s="299">
        <f>([1]Mediator!D140)/100</f>
        <v>0.0113462529729295</v>
      </c>
      <c r="E140" s="293">
        <f t="shared" si="4"/>
        <v>0</v>
      </c>
      <c r="F140" s="291" t="str">
        <v>Health Care</v>
      </c>
      <c r="G140" s="293">
        <f t="shared" si="5"/>
        <v>0</v>
      </c>
      <c r="H140" s="291"/>
      <c r="J140" s="36"/>
      <c r="M140" s="290" t="s">
        <v>1152</v>
      </c>
      <c r="N140" s="298" t="s">
        <v>63</v>
      </c>
      <c r="O140" s="291" t="str">
        <v>ICICI Prudential Life Insuranc</v>
      </c>
      <c r="P140" s="299">
        <v>0.00138279297081672</v>
      </c>
      <c r="Q140" s="293">
        <f>P140*VLOOKUP(N140,'Selector Sheet '!$B$13:$D$43,2,FALSE)</f>
        <v>0</v>
      </c>
      <c r="R140" s="291" t="str">
        <v>Financials</v>
      </c>
      <c r="S140" s="293">
        <f>P140*VLOOKUP(N140,'Selector Sheet '!$B$13:$D$43,2,FALSE)</f>
        <v>0</v>
      </c>
      <c r="T140" s="291"/>
      <c r="X140" s="291" t="str">
        <v>INE699H01024</v>
      </c>
      <c r="Z140" s="290" t="s">
        <v>971</v>
      </c>
      <c r="AB140" t="s">
        <v>1153</v>
      </c>
      <c r="AC140" t="s">
        <v>1154</v>
      </c>
      <c r="AD140" t="s">
        <v>980</v>
      </c>
      <c r="AE140">
        <v>26.7108044381869</v>
      </c>
      <c r="AF140">
        <v>13.8116629340032</v>
      </c>
      <c r="AG140">
        <v>12250.8</v>
      </c>
      <c r="AH140">
        <v>9.44</v>
      </c>
      <c r="AI140">
        <v>327713960250.75</v>
      </c>
    </row>
    <row r="141" spans="1:35">
      <c r="A141" s="294" t="s">
        <v>1130</v>
      </c>
      <c r="B141" s="127" t="s">
        <v>46</v>
      </c>
      <c r="C141" s="291" t="str">
        <v>NTPC Green Energy Ltd</v>
      </c>
      <c r="D141" s="301">
        <f>([1]Mediator!D141)/100</f>
        <v>0.0147186281381425</v>
      </c>
      <c r="E141" s="293">
        <f t="shared" si="4"/>
        <v>0</v>
      </c>
      <c r="F141" s="291" t="str">
        <v>Utilities</v>
      </c>
      <c r="G141" s="293">
        <f t="shared" si="5"/>
        <v>0</v>
      </c>
      <c r="H141" s="291"/>
      <c r="J141" s="36"/>
      <c r="M141" s="294" t="s">
        <v>1155</v>
      </c>
      <c r="N141" s="300" t="s">
        <v>63</v>
      </c>
      <c r="O141" s="291" t="str">
        <v>IndusInd Bank Ltd</v>
      </c>
      <c r="P141" s="301">
        <v>0.00280113330690394</v>
      </c>
      <c r="Q141" s="293">
        <f>P141*VLOOKUP(N141,'Selector Sheet '!$B$13:$D$43,2,FALSE)</f>
        <v>0</v>
      </c>
      <c r="R141" s="291" t="str">
        <v>Financials</v>
      </c>
      <c r="S141" s="293">
        <f>P141*VLOOKUP(N141,'Selector Sheet '!$B$13:$D$43,2,FALSE)</f>
        <v>0</v>
      </c>
      <c r="T141" s="291"/>
      <c r="X141" s="291" t="str">
        <v>INE918I01026</v>
      </c>
      <c r="Z141" s="294" t="s">
        <v>1130</v>
      </c>
      <c r="AB141" t="s">
        <v>848</v>
      </c>
      <c r="AC141" t="s">
        <v>1156</v>
      </c>
      <c r="AD141" t="s">
        <v>831</v>
      </c>
      <c r="AE141">
        <v>36.1210100607266</v>
      </c>
      <c r="AF141">
        <v>13.3695689436609</v>
      </c>
      <c r="AG141">
        <v>88723.1</v>
      </c>
      <c r="AH141">
        <v>55.590915</v>
      </c>
      <c r="AI141">
        <v>3208408945760</v>
      </c>
    </row>
    <row r="142" spans="1:35">
      <c r="A142" s="290" t="s">
        <v>992</v>
      </c>
      <c r="B142" s="127" t="s">
        <v>46</v>
      </c>
      <c r="C142" s="291" t="str">
        <v>NTPC Ltd</v>
      </c>
      <c r="D142" s="299">
        <f>([1]Mediator!D142)/100</f>
        <v>0.00289970274804299</v>
      </c>
      <c r="E142" s="293">
        <f t="shared" si="4"/>
        <v>0</v>
      </c>
      <c r="F142" s="291" t="str">
        <v>Utilities</v>
      </c>
      <c r="G142" s="293">
        <f t="shared" si="5"/>
        <v>0</v>
      </c>
      <c r="H142" s="291"/>
      <c r="J142" s="36"/>
      <c r="M142" s="290" t="s">
        <v>1119</v>
      </c>
      <c r="N142" s="298" t="s">
        <v>63</v>
      </c>
      <c r="O142" s="291" t="str">
        <v>Info Edge India Ltd</v>
      </c>
      <c r="P142" s="299">
        <v>0.00313027392459049</v>
      </c>
      <c r="Q142" s="293">
        <f>P142*VLOOKUP(N142,'Selector Sheet '!$B$13:$D$43,2,FALSE)</f>
        <v>0</v>
      </c>
      <c r="R142" s="291" t="str">
        <v>Communication Services</v>
      </c>
      <c r="S142" s="293">
        <f>P142*VLOOKUP(N142,'Selector Sheet '!$B$13:$D$43,2,FALSE)</f>
        <v>0</v>
      </c>
      <c r="T142" s="291"/>
      <c r="X142" s="291" t="str">
        <v>INE787D01026</v>
      </c>
      <c r="Z142" s="290" t="s">
        <v>992</v>
      </c>
      <c r="AB142" t="s">
        <v>1157</v>
      </c>
      <c r="AC142" t="s">
        <v>1158</v>
      </c>
      <c r="AD142" t="s">
        <v>838</v>
      </c>
      <c r="AE142">
        <v>28.1999760678878</v>
      </c>
      <c r="AF142">
        <v>17.2020568128548</v>
      </c>
      <c r="AG142">
        <v>16549.6</v>
      </c>
      <c r="AH142">
        <v>85.61</v>
      </c>
      <c r="AI142">
        <v>466706360098</v>
      </c>
    </row>
    <row r="143" spans="1:35">
      <c r="A143" s="294" t="s">
        <v>995</v>
      </c>
      <c r="B143" s="127" t="s">
        <v>46</v>
      </c>
      <c r="C143" s="291" t="str">
        <v>Oberoi Realty Ltd</v>
      </c>
      <c r="D143" s="301">
        <f>([1]Mediator!D143)/100</f>
        <v>0.018131522783818</v>
      </c>
      <c r="E143" s="293">
        <f t="shared" si="4"/>
        <v>0</v>
      </c>
      <c r="F143" s="291" t="str">
        <v>Real Estate</v>
      </c>
      <c r="G143" s="293">
        <f t="shared" si="5"/>
        <v>0</v>
      </c>
      <c r="H143" s="291"/>
      <c r="J143" s="36"/>
      <c r="M143" s="294" t="s">
        <v>955</v>
      </c>
      <c r="N143" s="300" t="s">
        <v>63</v>
      </c>
      <c r="O143" s="291" t="str">
        <v>Infosys Ltd</v>
      </c>
      <c r="P143" s="301">
        <v>0.0285856355203785</v>
      </c>
      <c r="Q143" s="293">
        <f>P143*VLOOKUP(N143,'Selector Sheet '!$B$13:$D$43,2,FALSE)</f>
        <v>0</v>
      </c>
      <c r="R143" s="291" t="str">
        <v>Information Technology</v>
      </c>
      <c r="S143" s="293">
        <f>P143*VLOOKUP(N143,'Selector Sheet '!$B$13:$D$43,2,FALSE)</f>
        <v>0</v>
      </c>
      <c r="T143" s="291"/>
      <c r="X143" s="291" t="str">
        <v>INE536H01010</v>
      </c>
      <c r="Z143" s="294" t="s">
        <v>995</v>
      </c>
      <c r="AB143" t="s">
        <v>1159</v>
      </c>
      <c r="AC143" t="s">
        <v>1160</v>
      </c>
      <c r="AD143" t="s">
        <v>838</v>
      </c>
      <c r="AE143">
        <v>18.35800156783</v>
      </c>
      <c r="AF143">
        <v>13.1719909792091</v>
      </c>
      <c r="AG143">
        <v>8275.14</v>
      </c>
      <c r="AH143">
        <v>21.81</v>
      </c>
      <c r="AI143">
        <v>150568927431.3</v>
      </c>
    </row>
    <row r="144" spans="1:35">
      <c r="A144" s="290" t="s">
        <v>1008</v>
      </c>
      <c r="B144" s="127" t="s">
        <v>46</v>
      </c>
      <c r="C144" s="291" t="str">
        <v>Page Industries Ltd</v>
      </c>
      <c r="D144" s="299">
        <f>([1]Mediator!D144)/100</f>
        <v>0.00427223919882943</v>
      </c>
      <c r="E144" s="293">
        <f t="shared" si="4"/>
        <v>0</v>
      </c>
      <c r="F144" s="291" t="str">
        <v>Consumer Discretionary</v>
      </c>
      <c r="G144" s="293">
        <f t="shared" si="5"/>
        <v>0</v>
      </c>
      <c r="H144" s="291"/>
      <c r="J144" s="36"/>
      <c r="M144" s="290" t="s">
        <v>958</v>
      </c>
      <c r="N144" s="298" t="s">
        <v>63</v>
      </c>
      <c r="O144" s="291" t="str">
        <v>InterGlobe Aviation Ltd</v>
      </c>
      <c r="P144" s="299">
        <v>0.0178459380081278</v>
      </c>
      <c r="Q144" s="293">
        <f>P144*VLOOKUP(N144,'Selector Sheet '!$B$13:$D$43,2,FALSE)</f>
        <v>0</v>
      </c>
      <c r="R144" s="291" t="str">
        <v>Industrials</v>
      </c>
      <c r="S144" s="293">
        <f>P144*VLOOKUP(N144,'Selector Sheet '!$B$13:$D$43,2,FALSE)</f>
        <v>0</v>
      </c>
      <c r="T144" s="291"/>
      <c r="X144" s="291" t="str">
        <v>INE016A01026</v>
      </c>
      <c r="Z144" s="290" t="s">
        <v>1008</v>
      </c>
      <c r="AB144" t="s">
        <v>1161</v>
      </c>
      <c r="AC144" t="s">
        <v>1162</v>
      </c>
      <c r="AD144" t="s">
        <v>980</v>
      </c>
      <c r="AE144">
        <v>52.7933776916688</v>
      </c>
      <c r="AF144">
        <v>17.1058291507375</v>
      </c>
      <c r="AG144">
        <v>17676.3</v>
      </c>
      <c r="AH144">
        <v>9.97</v>
      </c>
      <c r="AI144">
        <v>933581822032.2</v>
      </c>
    </row>
    <row r="145" spans="1:35">
      <c r="A145" s="294" t="s">
        <v>1002</v>
      </c>
      <c r="B145" s="127" t="s">
        <v>46</v>
      </c>
      <c r="C145" s="291" t="str">
        <v>PB Fintech Ltd</v>
      </c>
      <c r="D145" s="301">
        <f>([1]Mediator!D145)/100</f>
        <v>0.00316682169370319</v>
      </c>
      <c r="E145" s="293">
        <f t="shared" si="4"/>
        <v>0</v>
      </c>
      <c r="F145" s="291" t="str">
        <v>Financials</v>
      </c>
      <c r="G145" s="293">
        <f t="shared" si="5"/>
        <v>0</v>
      </c>
      <c r="H145" s="291"/>
      <c r="J145" s="36"/>
      <c r="M145" s="294" t="s">
        <v>1163</v>
      </c>
      <c r="N145" s="300" t="s">
        <v>63</v>
      </c>
      <c r="O145" s="291" t="str">
        <v>IRB Infrastructure Developers</v>
      </c>
      <c r="P145" s="301">
        <v>5.21149958254993e-5</v>
      </c>
      <c r="Q145" s="293">
        <f>P145*VLOOKUP(N145,'Selector Sheet '!$B$13:$D$43,2,FALSE)</f>
        <v>0</v>
      </c>
      <c r="R145" s="291" t="str">
        <v>Industrials</v>
      </c>
      <c r="S145" s="293">
        <f>P145*VLOOKUP(N145,'Selector Sheet '!$B$13:$D$43,2,FALSE)</f>
        <v>0</v>
      </c>
      <c r="T145" s="291"/>
      <c r="X145" s="291" t="str">
        <v>INE753U01022</v>
      </c>
      <c r="Z145" s="294" t="s">
        <v>1002</v>
      </c>
      <c r="AB145" t="s">
        <v>1164</v>
      </c>
      <c r="AC145" t="s">
        <v>1165</v>
      </c>
      <c r="AD145" t="s">
        <v>838</v>
      </c>
      <c r="AE145">
        <v>82.5759038320358</v>
      </c>
      <c r="AF145">
        <v>4.14436992137557</v>
      </c>
      <c r="AG145">
        <v>243.92</v>
      </c>
      <c r="AH145">
        <v>7.975692</v>
      </c>
      <c r="AI145">
        <v>20141915722.2</v>
      </c>
    </row>
    <row r="146" spans="1:35">
      <c r="A146" s="290" t="s">
        <v>1007</v>
      </c>
      <c r="B146" s="127" t="s">
        <v>46</v>
      </c>
      <c r="C146" s="291" t="str">
        <v>PI Industries Ltd</v>
      </c>
      <c r="D146" s="299">
        <f>([1]Mediator!D146)/100</f>
        <v>0.00959213370116911</v>
      </c>
      <c r="E146" s="293">
        <f t="shared" si="4"/>
        <v>0</v>
      </c>
      <c r="F146" s="291" t="str">
        <v>Materials</v>
      </c>
      <c r="G146" s="293">
        <f t="shared" si="5"/>
        <v>0</v>
      </c>
      <c r="H146" s="291"/>
      <c r="J146" s="36"/>
      <c r="M146" s="290" t="s">
        <v>961</v>
      </c>
      <c r="N146" s="298" t="s">
        <v>63</v>
      </c>
      <c r="O146" s="291" t="str">
        <v>ITC Ltd</v>
      </c>
      <c r="P146" s="299">
        <v>0.0115759372351117</v>
      </c>
      <c r="Q146" s="293">
        <f>P146*VLOOKUP(N146,'Selector Sheet '!$B$13:$D$43,2,FALSE)</f>
        <v>0</v>
      </c>
      <c r="R146" s="291" t="str">
        <v>Consumer Staples</v>
      </c>
      <c r="S146" s="293">
        <f>P146*VLOOKUP(N146,'Selector Sheet '!$B$13:$D$43,2,FALSE)</f>
        <v>0</v>
      </c>
      <c r="T146" s="291"/>
      <c r="X146" s="291" t="str">
        <v>INE089A01031</v>
      </c>
      <c r="Z146" s="290" t="s">
        <v>1007</v>
      </c>
      <c r="AB146" t="s">
        <v>895</v>
      </c>
      <c r="AC146" t="s">
        <v>1166</v>
      </c>
      <c r="AD146" t="s">
        <v>819</v>
      </c>
      <c r="AE146">
        <v>18.5756367003379</v>
      </c>
      <c r="AF146">
        <v>18.3593432957928</v>
      </c>
      <c r="AG146">
        <v>56551</v>
      </c>
      <c r="AH146">
        <v>67.89</v>
      </c>
      <c r="AI146">
        <v>1052491076452.5</v>
      </c>
    </row>
    <row r="147" spans="1:35">
      <c r="A147" s="294" t="s">
        <v>1020</v>
      </c>
      <c r="B147" s="127" t="s">
        <v>46</v>
      </c>
      <c r="C147" s="291" t="str">
        <v>Power Finance Corp Ltd</v>
      </c>
      <c r="D147" s="301">
        <f>([1]Mediator!D147)/100</f>
        <v>0.0110619766359483</v>
      </c>
      <c r="E147" s="293">
        <f t="shared" si="4"/>
        <v>0</v>
      </c>
      <c r="F147" s="291" t="str">
        <v>Financials</v>
      </c>
      <c r="G147" s="293">
        <f t="shared" si="5"/>
        <v>0</v>
      </c>
      <c r="H147" s="291"/>
      <c r="J147" s="36"/>
      <c r="M147" s="294" t="s">
        <v>1167</v>
      </c>
      <c r="N147" s="300" t="s">
        <v>63</v>
      </c>
      <c r="O147" s="291" t="str">
        <v>Kalpataru Projects Internation</v>
      </c>
      <c r="P147" s="301">
        <v>0.00180633968178002</v>
      </c>
      <c r="Q147" s="293">
        <f>P147*VLOOKUP(N147,'Selector Sheet '!$B$13:$D$43,2,FALSE)</f>
        <v>0</v>
      </c>
      <c r="R147" s="291" t="str">
        <v>Industrials</v>
      </c>
      <c r="S147" s="293">
        <f>P147*VLOOKUP(N147,'Selector Sheet '!$B$13:$D$43,2,FALSE)</f>
        <v>0</v>
      </c>
      <c r="T147" s="291"/>
      <c r="X147" s="291" t="str">
        <v>INE066A01021</v>
      </c>
      <c r="Z147" s="294" t="s">
        <v>1020</v>
      </c>
      <c r="AB147" t="s">
        <v>1128</v>
      </c>
      <c r="AC147" t="s">
        <v>1168</v>
      </c>
      <c r="AD147" t="s">
        <v>838</v>
      </c>
      <c r="AE147">
        <v>34.5218800648298</v>
      </c>
      <c r="AF147">
        <v>24.068108348275</v>
      </c>
      <c r="AG147">
        <v>47344.4</v>
      </c>
      <c r="AH147">
        <v>172.76</v>
      </c>
      <c r="AI147">
        <v>1635793932360</v>
      </c>
    </row>
    <row r="148" spans="1:35">
      <c r="A148" s="290" t="s">
        <v>1034</v>
      </c>
      <c r="B148" s="127" t="s">
        <v>46</v>
      </c>
      <c r="C148" s="291" t="str">
        <v>Reliance Industries Ltd</v>
      </c>
      <c r="D148" s="299">
        <f>([1]Mediator!D148)/100</f>
        <v>0.00545649537419969</v>
      </c>
      <c r="E148" s="293">
        <f t="shared" si="4"/>
        <v>0</v>
      </c>
      <c r="F148" s="291" t="str">
        <v>Energy</v>
      </c>
      <c r="G148" s="293">
        <f t="shared" si="5"/>
        <v>0</v>
      </c>
      <c r="H148" s="291"/>
      <c r="J148" s="36"/>
      <c r="M148" s="290" t="s">
        <v>972</v>
      </c>
      <c r="N148" s="298" t="s">
        <v>63</v>
      </c>
      <c r="O148" s="291" t="str">
        <v>Kotak Mahindra Bank Ltd</v>
      </c>
      <c r="P148" s="299">
        <v>0.00686863053396141</v>
      </c>
      <c r="Q148" s="293">
        <f>P148*VLOOKUP(N148,'Selector Sheet '!$B$13:$D$43,2,FALSE)</f>
        <v>0</v>
      </c>
      <c r="R148" s="291" t="str">
        <v>Financials</v>
      </c>
      <c r="S148" s="293">
        <f>P148*VLOOKUP(N148,'Selector Sheet '!$B$13:$D$43,2,FALSE)</f>
        <v>0</v>
      </c>
      <c r="T148" s="291"/>
      <c r="X148" s="291" t="str">
        <v>INE388Y01029</v>
      </c>
      <c r="Z148" s="290" t="s">
        <v>1034</v>
      </c>
      <c r="AB148" t="s">
        <v>1132</v>
      </c>
      <c r="AC148" t="s">
        <v>1169</v>
      </c>
      <c r="AD148" t="s">
        <v>838</v>
      </c>
      <c r="AE148">
        <v>778.428595406668</v>
      </c>
      <c r="AF148" t="s">
        <v>824</v>
      </c>
      <c r="AG148">
        <v>660.8</v>
      </c>
      <c r="AH148">
        <v>0.23</v>
      </c>
      <c r="AI148">
        <v>623517723438.32</v>
      </c>
    </row>
    <row r="149" spans="1:35">
      <c r="A149" s="294" t="s">
        <v>1019</v>
      </c>
      <c r="B149" s="127" t="s">
        <v>46</v>
      </c>
      <c r="C149" s="291" t="str">
        <v>Samvardhana Motherson Internat</v>
      </c>
      <c r="D149" s="301">
        <f>([1]Mediator!D149)/100</f>
        <v>0.0541567906781985</v>
      </c>
      <c r="E149" s="293">
        <f t="shared" si="4"/>
        <v>0</v>
      </c>
      <c r="F149" s="291" t="str">
        <v>Consumer Discretionary</v>
      </c>
      <c r="G149" s="293">
        <f t="shared" si="5"/>
        <v>0</v>
      </c>
      <c r="H149" s="291"/>
      <c r="J149" s="36"/>
      <c r="M149" s="294" t="s">
        <v>975</v>
      </c>
      <c r="N149" s="300" t="s">
        <v>63</v>
      </c>
      <c r="O149" s="291" t="str">
        <v>Larsen &amp; Toubro Ltd</v>
      </c>
      <c r="P149" s="301">
        <v>0.0237047989365073</v>
      </c>
      <c r="Q149" s="293">
        <f>P149*VLOOKUP(N149,'Selector Sheet '!$B$13:$D$43,2,FALSE)</f>
        <v>0</v>
      </c>
      <c r="R149" s="291" t="str">
        <v>Industrials</v>
      </c>
      <c r="S149" s="293">
        <f>P149*VLOOKUP(N149,'Selector Sheet '!$B$13:$D$43,2,FALSE)</f>
        <v>0</v>
      </c>
      <c r="T149" s="291"/>
      <c r="X149" s="291" t="str">
        <v>INE068V01023</v>
      </c>
      <c r="Z149" s="294" t="s">
        <v>1019</v>
      </c>
      <c r="AB149" t="s">
        <v>1170</v>
      </c>
      <c r="AC149" t="s">
        <v>1171</v>
      </c>
      <c r="AD149" t="s">
        <v>819</v>
      </c>
      <c r="AE149">
        <v>46.8679233766952</v>
      </c>
      <c r="AF149">
        <v>7.81585742079368</v>
      </c>
      <c r="AG149">
        <v>6985.26</v>
      </c>
      <c r="AH149">
        <v>42.4</v>
      </c>
      <c r="AI149">
        <v>327403963785.6</v>
      </c>
    </row>
    <row r="150" spans="1:35">
      <c r="A150" s="290" t="s">
        <v>1138</v>
      </c>
      <c r="B150" s="127" t="s">
        <v>46</v>
      </c>
      <c r="C150" s="291" t="str">
        <v>SBI Life Insurance Co Ltd</v>
      </c>
      <c r="D150" s="299">
        <f>([1]Mediator!D150)/100</f>
        <v>0.00644072013722061</v>
      </c>
      <c r="E150" s="293">
        <f t="shared" si="4"/>
        <v>0</v>
      </c>
      <c r="F150" s="291" t="str">
        <v>Financials</v>
      </c>
      <c r="G150" s="293">
        <f t="shared" si="5"/>
        <v>0</v>
      </c>
      <c r="H150" s="291"/>
      <c r="J150" s="36"/>
      <c r="M150" s="290" t="s">
        <v>1172</v>
      </c>
      <c r="N150" s="298" t="s">
        <v>63</v>
      </c>
      <c r="O150" s="291" t="str">
        <v>LIC Housing Finance Ltd</v>
      </c>
      <c r="P150" s="299">
        <v>0.000902114641526874</v>
      </c>
      <c r="Q150" s="293">
        <f>P150*VLOOKUP(N150,'Selector Sheet '!$B$13:$D$43,2,FALSE)</f>
        <v>0</v>
      </c>
      <c r="R150" s="291" t="str">
        <v>Financials</v>
      </c>
      <c r="S150" s="293">
        <f>P150*VLOOKUP(N150,'Selector Sheet '!$B$13:$D$43,2,FALSE)</f>
        <v>0</v>
      </c>
      <c r="T150" s="291"/>
      <c r="X150" s="291" t="str">
        <v>INE844O01030</v>
      </c>
      <c r="Z150" s="290" t="s">
        <v>1138</v>
      </c>
      <c r="AB150" t="s">
        <v>1173</v>
      </c>
      <c r="AC150" t="s">
        <v>1174</v>
      </c>
      <c r="AD150" t="s">
        <v>994</v>
      </c>
      <c r="AE150">
        <v>25.4976011866288</v>
      </c>
      <c r="AF150">
        <v>14.1661917133601</v>
      </c>
      <c r="AG150">
        <v>11483.2</v>
      </c>
      <c r="AH150">
        <v>16.68</v>
      </c>
      <c r="AI150">
        <v>292772320162.5</v>
      </c>
    </row>
    <row r="151" spans="1:35">
      <c r="A151" s="294" t="s">
        <v>1036</v>
      </c>
      <c r="B151" s="127" t="s">
        <v>46</v>
      </c>
      <c r="C151" s="291" t="str">
        <v>Sona Blw Precision Forgings Lt</v>
      </c>
      <c r="D151" s="301">
        <f>([1]Mediator!D151)/100</f>
        <v>0.0135711308356166</v>
      </c>
      <c r="E151" s="293">
        <f t="shared" si="4"/>
        <v>0</v>
      </c>
      <c r="F151" s="291" t="str">
        <v>Consumer Discretionary</v>
      </c>
      <c r="G151" s="293">
        <f t="shared" si="5"/>
        <v>0</v>
      </c>
      <c r="H151" s="291"/>
      <c r="J151" s="36"/>
      <c r="M151" s="294" t="s">
        <v>963</v>
      </c>
      <c r="N151" s="300" t="s">
        <v>63</v>
      </c>
      <c r="O151" s="291" t="str">
        <v>LTIMindtree Ltd</v>
      </c>
      <c r="P151" s="301">
        <v>0.00350003394533243</v>
      </c>
      <c r="Q151" s="293">
        <f>P151*VLOOKUP(N151,'Selector Sheet '!$B$13:$D$43,2,FALSE)</f>
        <v>0</v>
      </c>
      <c r="R151" s="291" t="str">
        <v>Information Technology</v>
      </c>
      <c r="S151" s="293">
        <f>P151*VLOOKUP(N151,'Selector Sheet '!$B$13:$D$43,2,FALSE)</f>
        <v>0</v>
      </c>
      <c r="T151" s="291"/>
      <c r="X151" s="291" t="str">
        <v>INE113A01013</v>
      </c>
      <c r="Z151" s="294" t="s">
        <v>1036</v>
      </c>
      <c r="AB151" t="s">
        <v>1175</v>
      </c>
      <c r="AC151" t="s">
        <v>1176</v>
      </c>
      <c r="AD151" t="s">
        <v>823</v>
      </c>
      <c r="AE151">
        <v>12.4513665081626</v>
      </c>
      <c r="AF151">
        <v>7.07188446175496</v>
      </c>
      <c r="AG151">
        <v>5970</v>
      </c>
      <c r="AH151">
        <v>40.61</v>
      </c>
      <c r="AI151">
        <v>74300556358.95</v>
      </c>
    </row>
    <row r="152" spans="1:35">
      <c r="A152" s="290" t="s">
        <v>1039</v>
      </c>
      <c r="B152" s="127" t="s">
        <v>46</v>
      </c>
      <c r="C152" s="291" t="str">
        <v>SRF Ltd</v>
      </c>
      <c r="D152" s="299">
        <f>([1]Mediator!D152)/100</f>
        <v>0.00104507102858305</v>
      </c>
      <c r="E152" s="293">
        <f t="shared" si="4"/>
        <v>0</v>
      </c>
      <c r="F152" s="291" t="str">
        <v>Materials</v>
      </c>
      <c r="G152" s="293">
        <f t="shared" si="5"/>
        <v>0</v>
      </c>
      <c r="H152" s="291"/>
      <c r="J152" s="36"/>
      <c r="M152" s="290" t="s">
        <v>978</v>
      </c>
      <c r="N152" s="298" t="s">
        <v>63</v>
      </c>
      <c r="O152" s="291" t="str">
        <v>Lupin Ltd</v>
      </c>
      <c r="P152" s="299">
        <v>0.00189321237508129</v>
      </c>
      <c r="Q152" s="293">
        <f>P152*VLOOKUP(N152,'Selector Sheet '!$B$13:$D$43,2,FALSE)</f>
        <v>0</v>
      </c>
      <c r="R152" s="291" t="str">
        <v>Health Care</v>
      </c>
      <c r="S152" s="293">
        <f>P152*VLOOKUP(N152,'Selector Sheet '!$B$13:$D$43,2,FALSE)</f>
        <v>0</v>
      </c>
      <c r="T152" s="291"/>
      <c r="X152" s="291" t="str">
        <v>INE795G01014</v>
      </c>
      <c r="Z152" s="290" t="s">
        <v>1039</v>
      </c>
      <c r="AB152" t="s">
        <v>927</v>
      </c>
      <c r="AC152" t="s">
        <v>1177</v>
      </c>
      <c r="AD152" t="s">
        <v>831</v>
      </c>
      <c r="AE152">
        <v>92.6258567268843</v>
      </c>
      <c r="AF152" t="s">
        <v>824</v>
      </c>
      <c r="AG152">
        <v>18108.2</v>
      </c>
      <c r="AH152">
        <v>8.41</v>
      </c>
      <c r="AI152">
        <v>1744942590008.1</v>
      </c>
    </row>
    <row r="153" spans="1:35">
      <c r="A153" s="294" t="s">
        <v>1041</v>
      </c>
      <c r="B153" s="127" t="s">
        <v>46</v>
      </c>
      <c r="C153" s="291" t="str">
        <v>State Bank of India</v>
      </c>
      <c r="D153" s="301">
        <f>([1]Mediator!D153)/100</f>
        <v>0.00459893665254029</v>
      </c>
      <c r="E153" s="293">
        <f t="shared" si="4"/>
        <v>0</v>
      </c>
      <c r="F153" s="291" t="str">
        <v>Financials</v>
      </c>
      <c r="G153" s="293">
        <f t="shared" si="5"/>
        <v>0</v>
      </c>
      <c r="H153" s="291"/>
      <c r="J153" s="36"/>
      <c r="M153" s="294" t="s">
        <v>966</v>
      </c>
      <c r="N153" s="300" t="s">
        <v>63</v>
      </c>
      <c r="O153" s="291" t="str">
        <v>Mahindra &amp; Mahindra Ltd</v>
      </c>
      <c r="P153" s="301">
        <v>0.00346828406631846</v>
      </c>
      <c r="Q153" s="293">
        <f>P153*VLOOKUP(N153,'Selector Sheet '!$B$13:$D$43,2,FALSE)</f>
        <v>0</v>
      </c>
      <c r="R153" s="291" t="str">
        <v>Consumer Discretionary</v>
      </c>
      <c r="S153" s="293">
        <f>P153*VLOOKUP(N153,'Selector Sheet '!$B$13:$D$43,2,FALSE)</f>
        <v>0</v>
      </c>
      <c r="T153" s="291"/>
      <c r="X153" s="291" t="str">
        <v>INE094A01015</v>
      </c>
      <c r="Z153" s="294" t="s">
        <v>1041</v>
      </c>
      <c r="AB153" t="s">
        <v>1145</v>
      </c>
      <c r="AC153" t="s">
        <v>1178</v>
      </c>
      <c r="AD153" t="s">
        <v>1001</v>
      </c>
      <c r="AE153">
        <v>12.2473152242577</v>
      </c>
      <c r="AF153">
        <v>13.737125460049</v>
      </c>
      <c r="AG153">
        <v>67357</v>
      </c>
      <c r="AH153">
        <v>31.66</v>
      </c>
      <c r="AI153">
        <v>825063181160.625</v>
      </c>
    </row>
    <row r="154" spans="1:35">
      <c r="A154" s="290" t="s">
        <v>1044</v>
      </c>
      <c r="B154" s="127" t="s">
        <v>46</v>
      </c>
      <c r="C154" s="291" t="str">
        <v>Sun Pharmaceutical Industries</v>
      </c>
      <c r="D154" s="299">
        <f>([1]Mediator!D154)/100</f>
        <v>0.0299201377984151</v>
      </c>
      <c r="E154" s="293">
        <f t="shared" si="4"/>
        <v>0</v>
      </c>
      <c r="F154" s="291" t="str">
        <v>Health Care</v>
      </c>
      <c r="G154" s="293">
        <f t="shared" si="5"/>
        <v>0</v>
      </c>
      <c r="H154" s="291"/>
      <c r="J154" s="36"/>
      <c r="M154" s="290" t="s">
        <v>990</v>
      </c>
      <c r="N154" s="298" t="s">
        <v>63</v>
      </c>
      <c r="O154" s="291" t="str">
        <v>Maruti Suzuki India Ltd</v>
      </c>
      <c r="P154" s="299">
        <v>0.0221093467353242</v>
      </c>
      <c r="Q154" s="293">
        <f>P154*VLOOKUP(N154,'Selector Sheet '!$B$13:$D$43,2,FALSE)</f>
        <v>0</v>
      </c>
      <c r="R154" s="291" t="str">
        <v>Consumer Discretionary</v>
      </c>
      <c r="S154" s="293">
        <f>P154*VLOOKUP(N154,'Selector Sheet '!$B$13:$D$43,2,FALSE)</f>
        <v>0</v>
      </c>
      <c r="T154" s="291"/>
      <c r="X154" s="291" t="str">
        <v>INE671A01010</v>
      </c>
      <c r="Z154" s="290" t="s">
        <v>1044</v>
      </c>
      <c r="AB154" t="s">
        <v>1179</v>
      </c>
      <c r="AC154" t="s">
        <v>1180</v>
      </c>
      <c r="AD154" t="s">
        <v>884</v>
      </c>
      <c r="AE154">
        <v>63.2535206511094</v>
      </c>
      <c r="AF154">
        <v>13.6989168541678</v>
      </c>
      <c r="AG154">
        <v>5236</v>
      </c>
      <c r="AH154">
        <v>592.22</v>
      </c>
      <c r="AI154">
        <v>331203451580</v>
      </c>
    </row>
    <row r="155" spans="1:35">
      <c r="A155" s="294" t="s">
        <v>1051</v>
      </c>
      <c r="B155" s="127" t="s">
        <v>46</v>
      </c>
      <c r="C155" s="291" t="str">
        <v>Tata Consultancy Services Ltd</v>
      </c>
      <c r="D155" s="301">
        <f>([1]Mediator!D155)/100</f>
        <v>0.0188229930814998</v>
      </c>
      <c r="E155" s="293">
        <f t="shared" si="4"/>
        <v>0</v>
      </c>
      <c r="F155" s="291" t="str">
        <v>Information Technology</v>
      </c>
      <c r="G155" s="293">
        <f t="shared" si="5"/>
        <v>0</v>
      </c>
      <c r="H155" s="291"/>
      <c r="J155" s="36"/>
      <c r="M155" s="294" t="s">
        <v>1181</v>
      </c>
      <c r="N155" s="300" t="s">
        <v>63</v>
      </c>
      <c r="O155" s="291" t="str">
        <v>Max Financial Services Ltd</v>
      </c>
      <c r="P155" s="301">
        <v>0.00287387510282578</v>
      </c>
      <c r="Q155" s="293">
        <f>P155*VLOOKUP(N155,'Selector Sheet '!$B$13:$D$43,2,FALSE)</f>
        <v>0</v>
      </c>
      <c r="R155" s="291" t="str">
        <v>Financials</v>
      </c>
      <c r="S155" s="293">
        <f>P155*VLOOKUP(N155,'Selector Sheet '!$B$13:$D$43,2,FALSE)</f>
        <v>0</v>
      </c>
      <c r="T155" s="291"/>
      <c r="X155" s="291" t="str">
        <v>INE726G01019</v>
      </c>
      <c r="Z155" s="294" t="s">
        <v>1051</v>
      </c>
      <c r="AB155" t="s">
        <v>1152</v>
      </c>
      <c r="AC155" t="s">
        <v>1182</v>
      </c>
      <c r="AD155" t="s">
        <v>831</v>
      </c>
      <c r="AE155">
        <v>74.3435395849705</v>
      </c>
      <c r="AF155">
        <v>10.5928156477281</v>
      </c>
      <c r="AG155">
        <v>11855.2</v>
      </c>
      <c r="AH155">
        <v>8.21</v>
      </c>
      <c r="AI155">
        <v>939511682474.75</v>
      </c>
    </row>
    <row r="156" spans="1:35">
      <c r="A156" s="290" t="s">
        <v>1058</v>
      </c>
      <c r="B156" s="127" t="s">
        <v>46</v>
      </c>
      <c r="C156" s="291" t="str">
        <v>Tata Consumer Products Ltd</v>
      </c>
      <c r="D156" s="299">
        <f>([1]Mediator!D156)/100</f>
        <v>0.0166950194335951</v>
      </c>
      <c r="E156" s="293">
        <f t="shared" si="4"/>
        <v>0</v>
      </c>
      <c r="F156" s="291" t="str">
        <v>Consumer Staples</v>
      </c>
      <c r="G156" s="293">
        <f t="shared" si="5"/>
        <v>0</v>
      </c>
      <c r="H156" s="291"/>
      <c r="J156" s="36"/>
      <c r="M156" s="290" t="s">
        <v>1183</v>
      </c>
      <c r="N156" s="298" t="s">
        <v>63</v>
      </c>
      <c r="O156" s="291" t="str">
        <v>Motherson Sumi Wiring India Lt</v>
      </c>
      <c r="P156" s="299">
        <v>0.00268499364716747</v>
      </c>
      <c r="Q156" s="293">
        <f>P156*VLOOKUP(N156,'Selector Sheet '!$B$13:$D$43,2,FALSE)</f>
        <v>0</v>
      </c>
      <c r="R156" s="291" t="str">
        <v>Consumer Discretionary</v>
      </c>
      <c r="S156" s="293">
        <f>P156*VLOOKUP(N156,'Selector Sheet '!$B$13:$D$43,2,FALSE)</f>
        <v>0</v>
      </c>
      <c r="T156" s="291"/>
      <c r="X156" s="291" t="str">
        <v>INE933S01016</v>
      </c>
      <c r="Z156" s="290" t="s">
        <v>1058</v>
      </c>
      <c r="AB156" t="s">
        <v>1184</v>
      </c>
      <c r="AC156" t="s">
        <v>1185</v>
      </c>
      <c r="AD156" t="s">
        <v>813</v>
      </c>
      <c r="AE156">
        <v>25.6983240223464</v>
      </c>
      <c r="AF156" t="s">
        <v>824</v>
      </c>
      <c r="AG156">
        <v>5506.98</v>
      </c>
      <c r="AH156">
        <v>91.84</v>
      </c>
      <c r="AI156">
        <v>151881334440</v>
      </c>
    </row>
    <row r="157" spans="1:35">
      <c r="A157" s="294" t="s">
        <v>1063</v>
      </c>
      <c r="B157" s="127" t="s">
        <v>46</v>
      </c>
      <c r="C157" s="291" t="str">
        <v>Tata Power Co Ltd/The</v>
      </c>
      <c r="D157" s="301">
        <f>([1]Mediator!D157)/100</f>
        <v>0.014123385511571</v>
      </c>
      <c r="E157" s="293">
        <f t="shared" si="4"/>
        <v>0</v>
      </c>
      <c r="F157" s="291" t="str">
        <v>Utilities</v>
      </c>
      <c r="G157" s="293">
        <f t="shared" si="5"/>
        <v>0</v>
      </c>
      <c r="H157" s="291"/>
      <c r="J157" s="36"/>
      <c r="M157" s="294" t="s">
        <v>974</v>
      </c>
      <c r="N157" s="300" t="s">
        <v>63</v>
      </c>
      <c r="O157" s="291" t="str">
        <v>Mphasis Ltd</v>
      </c>
      <c r="P157" s="301">
        <v>0.00337983203742773</v>
      </c>
      <c r="Q157" s="293">
        <f>P157*VLOOKUP(N157,'Selector Sheet '!$B$13:$D$43,2,FALSE)</f>
        <v>0</v>
      </c>
      <c r="R157" s="291" t="str">
        <v>Information Technology</v>
      </c>
      <c r="S157" s="293">
        <f>P157*VLOOKUP(N157,'Selector Sheet '!$B$13:$D$43,2,FALSE)</f>
        <v>0</v>
      </c>
      <c r="T157" s="291"/>
      <c r="X157" s="291" t="str">
        <v>INE335Y01020</v>
      </c>
      <c r="Z157" s="294" t="s">
        <v>1063</v>
      </c>
      <c r="AB157" t="s">
        <v>1186</v>
      </c>
      <c r="AC157" t="s">
        <v>1187</v>
      </c>
      <c r="AD157" t="s">
        <v>813</v>
      </c>
      <c r="AE157">
        <v>44.306570828106</v>
      </c>
      <c r="AF157">
        <v>38.1509693103735</v>
      </c>
      <c r="AG157">
        <v>13149.024</v>
      </c>
      <c r="AH157">
        <v>16.44</v>
      </c>
      <c r="AI157">
        <v>582720000000</v>
      </c>
    </row>
    <row r="158" spans="1:35">
      <c r="A158" s="290" t="s">
        <v>1056</v>
      </c>
      <c r="B158" s="127" t="s">
        <v>46</v>
      </c>
      <c r="C158" s="291" t="str">
        <v>Tata Steel Ltd</v>
      </c>
      <c r="D158" s="299">
        <f>([1]Mediator!D158)/100</f>
        <v>0.00933348678887878</v>
      </c>
      <c r="E158" s="293">
        <f t="shared" si="4"/>
        <v>0</v>
      </c>
      <c r="F158" s="291" t="str">
        <v>Materials</v>
      </c>
      <c r="G158" s="293">
        <f t="shared" si="5"/>
        <v>0</v>
      </c>
      <c r="H158" s="291"/>
      <c r="J158" s="36"/>
      <c r="M158" s="290" t="s">
        <v>989</v>
      </c>
      <c r="N158" s="298" t="s">
        <v>63</v>
      </c>
      <c r="O158" s="291" t="str">
        <v>Nestle India Ltd</v>
      </c>
      <c r="P158" s="299">
        <v>0.00140405088942347</v>
      </c>
      <c r="Q158" s="293">
        <f>P158*VLOOKUP(N158,'Selector Sheet '!$B$13:$D$43,2,FALSE)</f>
        <v>0</v>
      </c>
      <c r="R158" s="291" t="str">
        <v>Consumer Staples</v>
      </c>
      <c r="S158" s="293">
        <f>P158*VLOOKUP(N158,'Selector Sheet '!$B$13:$D$43,2,FALSE)</f>
        <v>0</v>
      </c>
      <c r="T158" s="291"/>
      <c r="X158" s="291" t="str">
        <v>INE095A01012</v>
      </c>
      <c r="Z158" s="290" t="s">
        <v>1056</v>
      </c>
      <c r="AB158" t="s">
        <v>1155</v>
      </c>
      <c r="AC158" t="s">
        <v>1188</v>
      </c>
      <c r="AD158" t="s">
        <v>831</v>
      </c>
      <c r="AE158">
        <v>60.9189208041747</v>
      </c>
      <c r="AF158">
        <v>1.5390905692905</v>
      </c>
      <c r="AG158">
        <v>25754.16</v>
      </c>
      <c r="AH158">
        <v>33.07</v>
      </c>
      <c r="AI158">
        <v>614597177420.8</v>
      </c>
    </row>
    <row r="159" spans="1:35">
      <c r="A159" s="294" t="s">
        <v>1059</v>
      </c>
      <c r="B159" s="127" t="s">
        <v>46</v>
      </c>
      <c r="C159" s="291" t="str">
        <v>Tech Mahindra Ltd</v>
      </c>
      <c r="D159" s="301">
        <f>([1]Mediator!D159)/100</f>
        <v>0.00293605935167698</v>
      </c>
      <c r="E159" s="293">
        <f t="shared" si="4"/>
        <v>0</v>
      </c>
      <c r="F159" s="291" t="str">
        <v>Information Technology</v>
      </c>
      <c r="G159" s="293">
        <f t="shared" si="5"/>
        <v>0</v>
      </c>
      <c r="H159" s="291"/>
      <c r="J159" s="36"/>
      <c r="M159" s="294" t="s">
        <v>992</v>
      </c>
      <c r="N159" s="300" t="s">
        <v>63</v>
      </c>
      <c r="O159" s="291" t="str">
        <v>NTPC Ltd</v>
      </c>
      <c r="P159" s="301">
        <v>0.0134000282794821</v>
      </c>
      <c r="Q159" s="293">
        <f>P159*VLOOKUP(N159,'Selector Sheet '!$B$13:$D$43,2,FALSE)</f>
        <v>0</v>
      </c>
      <c r="R159" s="291" t="str">
        <v>Utilities</v>
      </c>
      <c r="S159" s="293">
        <f>P159*VLOOKUP(N159,'Selector Sheet '!$B$13:$D$43,2,FALSE)</f>
        <v>0</v>
      </c>
      <c r="T159" s="291"/>
      <c r="X159" s="291" t="str">
        <v>INE0Q9301021</v>
      </c>
      <c r="Z159" s="294" t="s">
        <v>1059</v>
      </c>
      <c r="AB159" t="s">
        <v>1189</v>
      </c>
      <c r="AC159" t="s">
        <v>1190</v>
      </c>
      <c r="AD159" t="s">
        <v>813</v>
      </c>
      <c r="AE159">
        <v>31.6061463879917</v>
      </c>
      <c r="AF159" t="s">
        <v>824</v>
      </c>
      <c r="AG159">
        <v>4272.9</v>
      </c>
      <c r="AH159">
        <v>10.74</v>
      </c>
      <c r="AI159">
        <v>146696608807.2</v>
      </c>
    </row>
    <row r="160" spans="1:35">
      <c r="A160" s="290" t="s">
        <v>1064</v>
      </c>
      <c r="B160" s="127" t="s">
        <v>46</v>
      </c>
      <c r="C160" s="291" t="str">
        <v>Indian Hotels Co Ltd/The</v>
      </c>
      <c r="D160" s="299">
        <f>([1]Mediator!D160)/100</f>
        <v>0.0118652412041841</v>
      </c>
      <c r="E160" s="293">
        <f t="shared" si="4"/>
        <v>0</v>
      </c>
      <c r="F160" s="291" t="str">
        <v>Consumer Discretionary</v>
      </c>
      <c r="G160" s="293">
        <f t="shared" si="5"/>
        <v>0</v>
      </c>
      <c r="H160" s="291"/>
      <c r="J160" s="36"/>
      <c r="M160" s="290" t="s">
        <v>1191</v>
      </c>
      <c r="N160" s="298" t="s">
        <v>63</v>
      </c>
      <c r="O160" s="291" t="str">
        <v>Oil &amp; Natural Gas Corp Ltd</v>
      </c>
      <c r="P160" s="299">
        <v>0.00321974959691885</v>
      </c>
      <c r="Q160" s="293">
        <f>P160*VLOOKUP(N160,'Selector Sheet '!$B$13:$D$43,2,FALSE)</f>
        <v>0</v>
      </c>
      <c r="R160" s="291" t="str">
        <v>Energy</v>
      </c>
      <c r="S160" s="293">
        <f>P160*VLOOKUP(N160,'Selector Sheet '!$B$13:$D$43,2,FALSE)</f>
        <v>0</v>
      </c>
      <c r="T160" s="291"/>
      <c r="X160" s="291" t="str">
        <v>INE220B01022</v>
      </c>
      <c r="Z160" s="290" t="s">
        <v>1064</v>
      </c>
      <c r="AB160" t="s">
        <v>1167</v>
      </c>
      <c r="AC160" t="s">
        <v>1192</v>
      </c>
      <c r="AD160" t="s">
        <v>813</v>
      </c>
      <c r="AE160">
        <v>36.6211912721904</v>
      </c>
      <c r="AF160">
        <v>10.0537964797122</v>
      </c>
      <c r="AG160">
        <v>5857</v>
      </c>
      <c r="AH160">
        <v>34.297082</v>
      </c>
      <c r="AI160">
        <v>214490317776</v>
      </c>
    </row>
    <row r="161" spans="1:35">
      <c r="A161" s="294" t="s">
        <v>1081</v>
      </c>
      <c r="B161" s="127" t="s">
        <v>46</v>
      </c>
      <c r="C161" s="291" t="str">
        <v>Titan Co Ltd</v>
      </c>
      <c r="D161" s="301">
        <f>([1]Mediator!D161)/100</f>
        <v>0.0135422405923265</v>
      </c>
      <c r="E161" s="293">
        <f t="shared" si="4"/>
        <v>0</v>
      </c>
      <c r="F161" s="291" t="str">
        <v>Consumer Discretionary</v>
      </c>
      <c r="G161" s="293">
        <f t="shared" si="5"/>
        <v>0</v>
      </c>
      <c r="H161" s="291"/>
      <c r="J161" s="36"/>
      <c r="M161" s="294" t="s">
        <v>1007</v>
      </c>
      <c r="N161" s="300" t="s">
        <v>63</v>
      </c>
      <c r="O161" s="291" t="str">
        <v>PI Industries Ltd</v>
      </c>
      <c r="P161" s="301">
        <v>0.013524215469883</v>
      </c>
      <c r="Q161" s="293">
        <f>P161*VLOOKUP(N161,'Selector Sheet '!$B$13:$D$43,2,FALSE)</f>
        <v>0</v>
      </c>
      <c r="R161" s="291" t="str">
        <v>Materials</v>
      </c>
      <c r="S161" s="293">
        <f>P161*VLOOKUP(N161,'Selector Sheet '!$B$13:$D$43,2,FALSE)</f>
        <v>0</v>
      </c>
      <c r="T161" s="291"/>
      <c r="X161" s="291" t="str">
        <v>INE999A01023</v>
      </c>
      <c r="Z161" s="294" t="s">
        <v>1081</v>
      </c>
      <c r="AB161" t="s">
        <v>1193</v>
      </c>
      <c r="AC161" t="s">
        <v>1194</v>
      </c>
      <c r="AD161" t="s">
        <v>813</v>
      </c>
      <c r="AE161">
        <v>55.7348795916293</v>
      </c>
      <c r="AF161">
        <v>17.757589086626</v>
      </c>
      <c r="AG161">
        <v>2474.75</v>
      </c>
      <c r="AH161">
        <v>14.22</v>
      </c>
      <c r="AI161">
        <v>137934783811</v>
      </c>
    </row>
    <row r="162" spans="1:35">
      <c r="A162" s="290" t="s">
        <v>1141</v>
      </c>
      <c r="B162" s="127" t="s">
        <v>46</v>
      </c>
      <c r="C162" s="291" t="str">
        <v>Torrent Pharmaceuticals Ltd</v>
      </c>
      <c r="D162" s="299">
        <f>([1]Mediator!D162)/100</f>
        <v>0.0132213577572019</v>
      </c>
      <c r="E162" s="293">
        <f t="shared" si="4"/>
        <v>0</v>
      </c>
      <c r="F162" s="291" t="str">
        <v>Health Care</v>
      </c>
      <c r="G162" s="293">
        <f t="shared" si="5"/>
        <v>0</v>
      </c>
      <c r="H162" s="291"/>
      <c r="J162" s="36"/>
      <c r="M162" s="290" t="s">
        <v>1010</v>
      </c>
      <c r="N162" s="298" t="s">
        <v>63</v>
      </c>
      <c r="O162" s="291" t="str">
        <v>Pidilite Industries Ltd</v>
      </c>
      <c r="P162" s="299">
        <v>0.00392178273819778</v>
      </c>
      <c r="Q162" s="293">
        <f>P162*VLOOKUP(N162,'Selector Sheet '!$B$13:$D$43,2,FALSE)</f>
        <v>0</v>
      </c>
      <c r="R162" s="291" t="str">
        <v>Materials</v>
      </c>
      <c r="S162" s="293">
        <f>P162*VLOOKUP(N162,'Selector Sheet '!$B$13:$D$43,2,FALSE)</f>
        <v>0</v>
      </c>
      <c r="T162" s="291"/>
      <c r="X162" s="291" t="str">
        <v>INE115A01026</v>
      </c>
      <c r="Z162" s="290" t="s">
        <v>1141</v>
      </c>
      <c r="AB162" t="s">
        <v>1172</v>
      </c>
      <c r="AC162" t="s">
        <v>1195</v>
      </c>
      <c r="AD162" t="s">
        <v>831</v>
      </c>
      <c r="AE162">
        <v>5.80141473262222</v>
      </c>
      <c r="AF162">
        <v>16.0470422072154</v>
      </c>
      <c r="AG162">
        <v>54422.3</v>
      </c>
      <c r="AH162">
        <v>98.95</v>
      </c>
      <c r="AI162">
        <v>315763665150</v>
      </c>
    </row>
    <row r="163" spans="1:35">
      <c r="A163" s="294" t="s">
        <v>1067</v>
      </c>
      <c r="B163" s="127" t="s">
        <v>46</v>
      </c>
      <c r="C163" s="291" t="str">
        <v>Trent Ltd</v>
      </c>
      <c r="D163" s="301">
        <f>([1]Mediator!D163)/100</f>
        <v>0.00798613482865657</v>
      </c>
      <c r="E163" s="293">
        <f t="shared" si="4"/>
        <v>0</v>
      </c>
      <c r="F163" s="291" t="str">
        <v>Consumer Discretionary</v>
      </c>
      <c r="G163" s="293">
        <f t="shared" si="5"/>
        <v>0</v>
      </c>
      <c r="H163" s="291"/>
      <c r="J163" s="36"/>
      <c r="M163" s="294" t="s">
        <v>1196</v>
      </c>
      <c r="N163" s="300" t="s">
        <v>63</v>
      </c>
      <c r="O163" s="291" t="str">
        <v>Polycab India Ltd</v>
      </c>
      <c r="P163" s="301">
        <v>0.00690294644847989</v>
      </c>
      <c r="Q163" s="293">
        <f>P163*VLOOKUP(N163,'Selector Sheet '!$B$13:$D$43,2,FALSE)</f>
        <v>0</v>
      </c>
      <c r="R163" s="291" t="str">
        <v>Industrials</v>
      </c>
      <c r="S163" s="293">
        <f>P163*VLOOKUP(N163,'Selector Sheet '!$B$13:$D$43,2,FALSE)</f>
        <v>0</v>
      </c>
      <c r="T163" s="291"/>
      <c r="X163" s="291" t="str">
        <v>INE774D01024</v>
      </c>
      <c r="Z163" s="294" t="s">
        <v>1067</v>
      </c>
      <c r="AB163" t="s">
        <v>982</v>
      </c>
      <c r="AC163" t="s">
        <v>1197</v>
      </c>
      <c r="AD163" t="s">
        <v>831</v>
      </c>
      <c r="AE163">
        <v>14.9282928363923</v>
      </c>
      <c r="AF163">
        <v>10.9103818829015</v>
      </c>
      <c r="AG163">
        <v>22618.7</v>
      </c>
      <c r="AH163">
        <v>17.82521344</v>
      </c>
      <c r="AI163">
        <v>369871325676</v>
      </c>
    </row>
    <row r="164" spans="1:35">
      <c r="A164" s="290" t="s">
        <v>1069</v>
      </c>
      <c r="B164" s="127" t="s">
        <v>46</v>
      </c>
      <c r="C164" s="291" t="str">
        <v>TVS Motor Co Ltd</v>
      </c>
      <c r="D164" s="299">
        <f>([1]Mediator!D164)/100</f>
        <v>0.00953314640695793</v>
      </c>
      <c r="E164" s="293">
        <f t="shared" si="4"/>
        <v>0</v>
      </c>
      <c r="F164" s="291" t="str">
        <v>Consumer Discretionary</v>
      </c>
      <c r="G164" s="293">
        <f t="shared" si="5"/>
        <v>0</v>
      </c>
      <c r="H164" s="291"/>
      <c r="J164" s="36"/>
      <c r="M164" s="290" t="s">
        <v>1020</v>
      </c>
      <c r="N164" s="298" t="s">
        <v>63</v>
      </c>
      <c r="O164" s="291" t="str">
        <v>Power Finance Corp Ltd</v>
      </c>
      <c r="P164" s="299">
        <v>0.0010454539697486</v>
      </c>
      <c r="Q164" s="293">
        <f>P164*VLOOKUP(N164,'Selector Sheet '!$B$13:$D$43,2,FALSE)</f>
        <v>0</v>
      </c>
      <c r="R164" s="291" t="str">
        <v>Financials</v>
      </c>
      <c r="S164" s="293">
        <f>P164*VLOOKUP(N164,'Selector Sheet '!$B$13:$D$43,2,FALSE)</f>
        <v>0</v>
      </c>
      <c r="T164" s="291"/>
      <c r="X164" s="291" t="str">
        <v>INE0FS801015</v>
      </c>
      <c r="Z164" s="290" t="s">
        <v>1069</v>
      </c>
      <c r="AB164" t="s">
        <v>1183</v>
      </c>
      <c r="AC164" t="s">
        <v>1198</v>
      </c>
      <c r="AD164" t="s">
        <v>838</v>
      </c>
      <c r="AE164">
        <v>46.5480010986328</v>
      </c>
      <c r="AF164" t="s">
        <v>824</v>
      </c>
      <c r="AG164">
        <v>6058.6</v>
      </c>
      <c r="AH164">
        <v>0.913333333333333</v>
      </c>
      <c r="AI164">
        <v>257242165023.42</v>
      </c>
    </row>
    <row r="165" spans="1:35">
      <c r="A165" s="294" t="s">
        <v>1071</v>
      </c>
      <c r="B165" s="127" t="s">
        <v>46</v>
      </c>
      <c r="C165" s="291" t="str">
        <v>UltraTech Cement Ltd</v>
      </c>
      <c r="D165" s="301">
        <f>([1]Mediator!D165)/100</f>
        <v>0.00384231093275497</v>
      </c>
      <c r="E165" s="293">
        <f t="shared" si="4"/>
        <v>0</v>
      </c>
      <c r="F165" s="291" t="str">
        <v>Materials</v>
      </c>
      <c r="G165" s="293">
        <f t="shared" si="5"/>
        <v>0</v>
      </c>
      <c r="H165" s="291"/>
      <c r="J165" s="36"/>
      <c r="M165" s="294" t="s">
        <v>1023</v>
      </c>
      <c r="N165" s="300" t="s">
        <v>63</v>
      </c>
      <c r="O165" s="291" t="str">
        <v>Power Grid Corp of India Ltd</v>
      </c>
      <c r="P165" s="301">
        <v>0.00434219540699719</v>
      </c>
      <c r="Q165" s="293">
        <f>P165*VLOOKUP(N165,'Selector Sheet '!$B$13:$D$43,2,FALSE)</f>
        <v>0</v>
      </c>
      <c r="R165" s="291" t="str">
        <v>Utilities</v>
      </c>
      <c r="S165" s="293">
        <f>P165*VLOOKUP(N165,'Selector Sheet '!$B$13:$D$43,2,FALSE)</f>
        <v>0</v>
      </c>
      <c r="T165" s="291"/>
      <c r="X165" s="291" t="str">
        <v>INE883A01011</v>
      </c>
      <c r="Z165" s="294" t="s">
        <v>1071</v>
      </c>
      <c r="AB165" t="s">
        <v>1199</v>
      </c>
      <c r="AC165" t="s">
        <v>1200</v>
      </c>
      <c r="AD165" t="s">
        <v>838</v>
      </c>
      <c r="AE165">
        <v>31.8166148658289</v>
      </c>
      <c r="AF165">
        <v>10.6235463443535</v>
      </c>
      <c r="AG165">
        <v>18692.9</v>
      </c>
      <c r="AH165">
        <v>4408.70283</v>
      </c>
      <c r="AI165">
        <v>594905128610</v>
      </c>
    </row>
    <row r="166" spans="1:35">
      <c r="A166" s="290" t="s">
        <v>1076</v>
      </c>
      <c r="B166" s="127" t="s">
        <v>46</v>
      </c>
      <c r="C166" s="291" t="str">
        <v>United Spirits Ltd</v>
      </c>
      <c r="D166" s="299">
        <f>([1]Mediator!D166)/100</f>
        <v>0.0265894218764273</v>
      </c>
      <c r="E166" s="293">
        <f t="shared" si="4"/>
        <v>0</v>
      </c>
      <c r="F166" s="291" t="str">
        <v>Consumer Staples</v>
      </c>
      <c r="G166" s="293">
        <f t="shared" si="5"/>
        <v>0</v>
      </c>
      <c r="H166" s="291"/>
      <c r="J166" s="36"/>
      <c r="M166" s="290" t="s">
        <v>1031</v>
      </c>
      <c r="N166" s="298" t="s">
        <v>63</v>
      </c>
      <c r="O166" s="291" t="str">
        <v>REC Ltd</v>
      </c>
      <c r="P166" s="299">
        <v>0.00263264467569909</v>
      </c>
      <c r="Q166" s="293">
        <f>P166*VLOOKUP(N166,'Selector Sheet '!$B$13:$D$43,2,FALSE)</f>
        <v>0</v>
      </c>
      <c r="R166" s="291" t="str">
        <v>Financials</v>
      </c>
      <c r="S166" s="293">
        <f>P166*VLOOKUP(N166,'Selector Sheet '!$B$13:$D$43,2,FALSE)</f>
        <v>0</v>
      </c>
      <c r="T166" s="291"/>
      <c r="X166" s="291" t="str">
        <v>INE868B01028</v>
      </c>
      <c r="Z166" s="290" t="s">
        <v>1076</v>
      </c>
      <c r="AB166" t="s">
        <v>1201</v>
      </c>
      <c r="AC166" t="s">
        <v>1202</v>
      </c>
      <c r="AD166" t="s">
        <v>813</v>
      </c>
      <c r="AE166">
        <v>16.8070444104135</v>
      </c>
      <c r="AF166">
        <v>11.7432632859738</v>
      </c>
      <c r="AG166">
        <v>8198.8</v>
      </c>
      <c r="AH166">
        <v>13.06</v>
      </c>
      <c r="AI166">
        <v>137812326066</v>
      </c>
    </row>
    <row r="167" spans="1:35">
      <c r="A167" s="294" t="s">
        <v>1079</v>
      </c>
      <c r="B167" s="127" t="s">
        <v>46</v>
      </c>
      <c r="C167" s="291" t="str">
        <v>UNO Minda Ltd</v>
      </c>
      <c r="D167" s="301">
        <f>([1]Mediator!D167)/100</f>
        <v>0.010169786192269</v>
      </c>
      <c r="E167" s="293">
        <f t="shared" si="4"/>
        <v>0</v>
      </c>
      <c r="F167" s="291" t="str">
        <v>Consumer Discretionary</v>
      </c>
      <c r="G167" s="293">
        <f t="shared" si="5"/>
        <v>0</v>
      </c>
      <c r="H167" s="291"/>
      <c r="J167" s="36"/>
      <c r="M167" s="294" t="s">
        <v>1034</v>
      </c>
      <c r="N167" s="300" t="s">
        <v>63</v>
      </c>
      <c r="O167" s="291" t="str">
        <v>Reliance Industries Ltd</v>
      </c>
      <c r="P167" s="301">
        <v>0.0337557475824665</v>
      </c>
      <c r="Q167" s="293">
        <f>P167*VLOOKUP(N167,'Selector Sheet '!$B$13:$D$43,2,FALSE)</f>
        <v>0</v>
      </c>
      <c r="R167" s="291" t="str">
        <v>Energy</v>
      </c>
      <c r="S167" s="293">
        <f>P167*VLOOKUP(N167,'Selector Sheet '!$B$13:$D$43,2,FALSE)</f>
        <v>0</v>
      </c>
      <c r="T167" s="291"/>
      <c r="X167" s="291" t="str">
        <v>INE584A01023</v>
      </c>
      <c r="Z167" s="294" t="s">
        <v>1079</v>
      </c>
      <c r="AB167" t="s">
        <v>1203</v>
      </c>
      <c r="AC167" t="s">
        <v>1204</v>
      </c>
      <c r="AD167" t="s">
        <v>823</v>
      </c>
      <c r="AE167">
        <v>9.3562988739544</v>
      </c>
      <c r="AF167">
        <v>23.6378775924918</v>
      </c>
      <c r="AG167">
        <v>65419.8</v>
      </c>
      <c r="AH167">
        <v>7.440987</v>
      </c>
      <c r="AI167">
        <v>612174256006.5</v>
      </c>
    </row>
    <row r="168" spans="1:35">
      <c r="A168" s="290" t="s">
        <v>1082</v>
      </c>
      <c r="B168" s="127" t="s">
        <v>46</v>
      </c>
      <c r="C168" s="291" t="str">
        <v>Varun Beverages Ltd</v>
      </c>
      <c r="D168" s="299">
        <f>([1]Mediator!D168)/100</f>
        <v>0.00749878568029614</v>
      </c>
      <c r="E168" s="293">
        <f t="shared" si="4"/>
        <v>0</v>
      </c>
      <c r="F168" s="291" t="str">
        <v>Consumer Staples</v>
      </c>
      <c r="G168" s="293">
        <f t="shared" si="5"/>
        <v>0</v>
      </c>
      <c r="H168" s="291"/>
      <c r="J168" s="36"/>
      <c r="M168" s="290" t="s">
        <v>1205</v>
      </c>
      <c r="N168" s="298" t="s">
        <v>63</v>
      </c>
      <c r="O168" s="291" t="str">
        <v>Rhi Magnesita India Ltd</v>
      </c>
      <c r="P168" s="299">
        <v>0.000644159573874301</v>
      </c>
      <c r="Q168" s="293">
        <f>P168*VLOOKUP(N168,'Selector Sheet '!$B$13:$D$43,2,FALSE)</f>
        <v>0</v>
      </c>
      <c r="R168" s="291" t="str">
        <v>Materials</v>
      </c>
      <c r="S168" s="293">
        <f>P168*VLOOKUP(N168,'Selector Sheet '!$B$13:$D$43,2,FALSE)</f>
        <v>0</v>
      </c>
      <c r="T168" s="291"/>
      <c r="X168" s="291" t="str">
        <v>INE118D01016</v>
      </c>
      <c r="Z168" s="290" t="s">
        <v>1082</v>
      </c>
      <c r="AB168" t="s">
        <v>1206</v>
      </c>
      <c r="AC168" t="s">
        <v>1207</v>
      </c>
      <c r="AD168" t="s">
        <v>823</v>
      </c>
      <c r="AE168">
        <v>749.098380667264</v>
      </c>
      <c r="AF168">
        <v>0.242857714735592</v>
      </c>
      <c r="AG168">
        <v>218.4</v>
      </c>
      <c r="AH168">
        <v>0.61</v>
      </c>
      <c r="AI168">
        <v>163202504113.35</v>
      </c>
    </row>
    <row r="169" spans="1:35">
      <c r="A169" s="294" t="s">
        <v>1092</v>
      </c>
      <c r="B169" t="s">
        <v>49</v>
      </c>
      <c r="C169" s="291" t="str">
        <v>ACC Ltd</v>
      </c>
      <c r="D169" s="295">
        <v>0.00733343136029014</v>
      </c>
      <c r="E169" s="293">
        <f t="shared" si="4"/>
        <v>0</v>
      </c>
      <c r="F169" s="291" t="str">
        <v>Materials</v>
      </c>
      <c r="G169" s="293">
        <f t="shared" si="5"/>
        <v>0</v>
      </c>
      <c r="H169" s="291"/>
      <c r="J169" s="36"/>
      <c r="M169" s="294" t="s">
        <v>1208</v>
      </c>
      <c r="N169" s="300" t="s">
        <v>63</v>
      </c>
      <c r="O169" s="291" t="str">
        <v>RR Kabel Ltd</v>
      </c>
      <c r="P169" s="301">
        <v>0.00262556845181529</v>
      </c>
      <c r="Q169" s="293">
        <f>P169*VLOOKUP(N169,'Selector Sheet '!$B$13:$D$43,2,FALSE)</f>
        <v>0</v>
      </c>
      <c r="R169" s="291" t="str">
        <v>Industrials</v>
      </c>
      <c r="S169" s="293">
        <f>P169*VLOOKUP(N169,'Selector Sheet '!$B$13:$D$43,2,FALSE)</f>
        <v>0</v>
      </c>
      <c r="T169" s="291"/>
      <c r="X169" s="291" t="str">
        <v>INE213A01029</v>
      </c>
      <c r="Z169" s="294" t="s">
        <v>1092</v>
      </c>
      <c r="AB169" t="s">
        <v>1191</v>
      </c>
      <c r="AC169" t="s">
        <v>1209</v>
      </c>
      <c r="AD169" t="s">
        <v>1001</v>
      </c>
      <c r="AE169">
        <v>8.19756931728787</v>
      </c>
      <c r="AF169">
        <v>10.6465951607724</v>
      </c>
      <c r="AG169">
        <v>362256.1</v>
      </c>
      <c r="AH169">
        <v>28.8</v>
      </c>
      <c r="AI169">
        <v>2970078117744.54</v>
      </c>
    </row>
    <row r="170" spans="1:35">
      <c r="A170" s="290" t="s">
        <v>1147</v>
      </c>
      <c r="B170" t="s">
        <v>49</v>
      </c>
      <c r="C170" s="291" t="str">
        <v>AIA Engineering Ltd</v>
      </c>
      <c r="D170" s="292">
        <v>0.0164245262857395</v>
      </c>
      <c r="E170" s="293">
        <f t="shared" si="4"/>
        <v>0</v>
      </c>
      <c r="F170" s="291" t="str">
        <v>Industrials</v>
      </c>
      <c r="G170" s="293">
        <f t="shared" si="5"/>
        <v>0</v>
      </c>
      <c r="H170" s="291"/>
      <c r="J170" s="36"/>
      <c r="M170" s="290" t="s">
        <v>1019</v>
      </c>
      <c r="N170" s="298" t="s">
        <v>63</v>
      </c>
      <c r="O170" s="291" t="str">
        <v>Samvardhana Motherson Internat</v>
      </c>
      <c r="P170" s="299">
        <v>0.011058013677827</v>
      </c>
      <c r="Q170" s="293">
        <f>P170*VLOOKUP(N170,'Selector Sheet '!$B$13:$D$43,2,FALSE)</f>
        <v>0</v>
      </c>
      <c r="R170" s="291" t="str">
        <v>Consumer Discretionary</v>
      </c>
      <c r="S170" s="293">
        <f>P170*VLOOKUP(N170,'Selector Sheet '!$B$13:$D$43,2,FALSE)</f>
        <v>0</v>
      </c>
      <c r="T170" s="291"/>
      <c r="X170" s="291" t="str">
        <v>INE142Z01019</v>
      </c>
      <c r="Z170" s="290" t="s">
        <v>1147</v>
      </c>
      <c r="AB170" t="s">
        <v>1210</v>
      </c>
      <c r="AC170" t="s">
        <v>1211</v>
      </c>
      <c r="AD170" t="s">
        <v>838</v>
      </c>
      <c r="AE170">
        <v>54.3589743589744</v>
      </c>
      <c r="AF170">
        <v>12.4824673912228</v>
      </c>
      <c r="AG170">
        <v>832.1</v>
      </c>
      <c r="AH170">
        <v>3.9</v>
      </c>
      <c r="AI170">
        <v>45233570588</v>
      </c>
    </row>
    <row r="171" spans="1:35">
      <c r="A171" s="294" t="s">
        <v>1149</v>
      </c>
      <c r="B171" t="s">
        <v>49</v>
      </c>
      <c r="C171" s="291" t="str">
        <v>Alkem Laboratories Ltd</v>
      </c>
      <c r="D171" s="295">
        <v>0.0321450132204415</v>
      </c>
      <c r="E171" s="293">
        <f t="shared" si="4"/>
        <v>0</v>
      </c>
      <c r="F171" s="291" t="str">
        <v>Health Care</v>
      </c>
      <c r="G171" s="293">
        <f t="shared" si="5"/>
        <v>0</v>
      </c>
      <c r="H171" s="291"/>
      <c r="J171" s="36"/>
      <c r="M171" s="294" t="s">
        <v>1138</v>
      </c>
      <c r="N171" s="300" t="s">
        <v>63</v>
      </c>
      <c r="O171" s="291" t="str">
        <v>SBI Life Insurance Co Ltd</v>
      </c>
      <c r="P171" s="301">
        <v>0.0100625781589985</v>
      </c>
      <c r="Q171" s="293">
        <f>P171*VLOOKUP(N171,'Selector Sheet '!$B$13:$D$43,2,FALSE)</f>
        <v>0</v>
      </c>
      <c r="R171" s="291" t="str">
        <v>Financials</v>
      </c>
      <c r="S171" s="293">
        <f>P171*VLOOKUP(N171,'Selector Sheet '!$B$13:$D$43,2,FALSE)</f>
        <v>0</v>
      </c>
      <c r="T171" s="291"/>
      <c r="X171" s="291" t="str">
        <v>INE726V01018</v>
      </c>
      <c r="Z171" s="294" t="s">
        <v>1149</v>
      </c>
      <c r="AB171" t="s">
        <v>1212</v>
      </c>
      <c r="AC171" t="s">
        <v>1213</v>
      </c>
      <c r="AD171" t="s">
        <v>838</v>
      </c>
      <c r="AE171">
        <v>32.2627737226277</v>
      </c>
      <c r="AF171">
        <v>17.9476554161996</v>
      </c>
      <c r="AG171">
        <v>1670.299</v>
      </c>
      <c r="AH171">
        <v>13.7</v>
      </c>
      <c r="AI171">
        <v>53871622116</v>
      </c>
    </row>
    <row r="172" spans="1:35">
      <c r="A172" s="290" t="s">
        <v>1101</v>
      </c>
      <c r="B172" t="s">
        <v>49</v>
      </c>
      <c r="C172" s="291" t="str">
        <v>Asian Paints Ltd</v>
      </c>
      <c r="D172" s="292">
        <v>0.00634938857926248</v>
      </c>
      <c r="E172" s="293">
        <f t="shared" si="4"/>
        <v>0</v>
      </c>
      <c r="F172" s="291" t="str">
        <v>Materials</v>
      </c>
      <c r="G172" s="293">
        <f t="shared" si="5"/>
        <v>0</v>
      </c>
      <c r="H172" s="291"/>
      <c r="J172" s="36"/>
      <c r="M172" s="290" t="s">
        <v>1027</v>
      </c>
      <c r="N172" s="298" t="s">
        <v>63</v>
      </c>
      <c r="O172" s="291" t="str">
        <v>Siemens Energy India Ltd</v>
      </c>
      <c r="P172" s="299">
        <v>0.000869622813434818</v>
      </c>
      <c r="Q172" s="293">
        <f>P172*VLOOKUP(N172,'Selector Sheet '!$B$13:$D$43,2,FALSE)</f>
        <v>0</v>
      </c>
      <c r="R172" s="291" t="str">
        <v>Industrials</v>
      </c>
      <c r="S172" s="293">
        <f>P172*VLOOKUP(N172,'Selector Sheet '!$B$13:$D$43,2,FALSE)</f>
        <v>0</v>
      </c>
      <c r="T172" s="291"/>
      <c r="X172" s="291" t="str">
        <v>INE179A01014</v>
      </c>
      <c r="Z172" s="290" t="s">
        <v>1101</v>
      </c>
      <c r="AB172" t="s">
        <v>1214</v>
      </c>
      <c r="AC172" t="s">
        <v>1215</v>
      </c>
      <c r="AD172" t="s">
        <v>980</v>
      </c>
      <c r="AE172">
        <v>64.3375811493147</v>
      </c>
      <c r="AF172">
        <v>78.4501043064926</v>
      </c>
      <c r="AG172">
        <v>6750.2</v>
      </c>
      <c r="AH172">
        <v>207.95</v>
      </c>
      <c r="AI172">
        <v>434292186944</v>
      </c>
    </row>
    <row r="173" spans="1:35">
      <c r="A173" s="294" t="s">
        <v>840</v>
      </c>
      <c r="B173" t="s">
        <v>49</v>
      </c>
      <c r="C173" s="291" t="str">
        <v>Avenue Supermarts Ltd</v>
      </c>
      <c r="D173" s="295">
        <v>0.0284248822293395</v>
      </c>
      <c r="E173" s="293">
        <f t="shared" si="4"/>
        <v>0</v>
      </c>
      <c r="F173" s="291" t="str">
        <v>Consumer Staples</v>
      </c>
      <c r="G173" s="293">
        <f t="shared" si="5"/>
        <v>0</v>
      </c>
      <c r="H173" s="291"/>
      <c r="J173" s="36"/>
      <c r="M173" s="294" t="s">
        <v>1036</v>
      </c>
      <c r="N173" s="300" t="s">
        <v>63</v>
      </c>
      <c r="O173" s="291" t="str">
        <v>Sona Blw Precision Forgings Lt</v>
      </c>
      <c r="P173" s="301">
        <v>0.00366264855645015</v>
      </c>
      <c r="Q173" s="293">
        <f>P173*VLOOKUP(N173,'Selector Sheet '!$B$13:$D$43,2,FALSE)</f>
        <v>0</v>
      </c>
      <c r="R173" s="291" t="str">
        <v>Consumer Discretionary</v>
      </c>
      <c r="S173" s="293">
        <f>P173*VLOOKUP(N173,'Selector Sheet '!$B$13:$D$43,2,FALSE)</f>
        <v>0</v>
      </c>
      <c r="T173" s="291"/>
      <c r="X173" s="291" t="str">
        <v>INE855B01025</v>
      </c>
      <c r="Z173" s="294" t="s">
        <v>840</v>
      </c>
      <c r="AB173" t="s">
        <v>1216</v>
      </c>
      <c r="AC173" t="s">
        <v>1217</v>
      </c>
      <c r="AD173" t="s">
        <v>823</v>
      </c>
      <c r="AE173" t="s">
        <v>824</v>
      </c>
      <c r="AF173">
        <v>-8.07240297509356</v>
      </c>
      <c r="AG173">
        <v>-5642.69</v>
      </c>
      <c r="AH173">
        <v>-16.78</v>
      </c>
      <c r="AI173">
        <v>52839906170.9</v>
      </c>
    </row>
    <row r="174" spans="1:35">
      <c r="A174" s="290" t="s">
        <v>1153</v>
      </c>
      <c r="B174" t="s">
        <v>49</v>
      </c>
      <c r="C174" s="291" t="str">
        <v>AWL Agri Business Ltd</v>
      </c>
      <c r="D174" s="292">
        <v>0.00711853550309004</v>
      </c>
      <c r="E174" s="293">
        <f t="shared" si="4"/>
        <v>0</v>
      </c>
      <c r="F174" s="291" t="str">
        <v>Consumer Staples</v>
      </c>
      <c r="G174" s="293">
        <f t="shared" si="5"/>
        <v>0</v>
      </c>
      <c r="H174" s="291"/>
      <c r="J174" s="36"/>
      <c r="M174" s="290" t="s">
        <v>1041</v>
      </c>
      <c r="N174" s="298" t="s">
        <v>63</v>
      </c>
      <c r="O174" s="291" t="str">
        <v>State Bank of India</v>
      </c>
      <c r="P174" s="299">
        <v>0.0203813827366565</v>
      </c>
      <c r="Q174" s="293">
        <f>P174*VLOOKUP(N174,'Selector Sheet '!$B$13:$D$43,2,FALSE)</f>
        <v>0</v>
      </c>
      <c r="R174" s="291" t="str">
        <v>Financials</v>
      </c>
      <c r="S174" s="293">
        <f>P174*VLOOKUP(N174,'Selector Sheet '!$B$13:$D$43,2,FALSE)</f>
        <v>0</v>
      </c>
      <c r="T174" s="291"/>
      <c r="X174" s="291" t="str">
        <v>INE0CLI01024</v>
      </c>
      <c r="Z174" s="290" t="s">
        <v>1153</v>
      </c>
      <c r="AB174" t="s">
        <v>1218</v>
      </c>
      <c r="AC174" t="s">
        <v>1219</v>
      </c>
      <c r="AD174" t="s">
        <v>884</v>
      </c>
      <c r="AE174">
        <v>27.3434849291015</v>
      </c>
      <c r="AF174">
        <v>13.3367548308705</v>
      </c>
      <c r="AG174">
        <v>2089.29</v>
      </c>
      <c r="AH174">
        <v>17.73</v>
      </c>
      <c r="AI174">
        <v>57243910915.2</v>
      </c>
    </row>
    <row r="175" spans="1:35">
      <c r="A175" s="294" t="s">
        <v>843</v>
      </c>
      <c r="B175" t="s">
        <v>49</v>
      </c>
      <c r="C175" s="291" t="str">
        <v>Axis Bank Ltd</v>
      </c>
      <c r="D175" s="295">
        <v>0.0340240216427702</v>
      </c>
      <c r="E175" s="293">
        <f t="shared" si="4"/>
        <v>0</v>
      </c>
      <c r="F175" s="291" t="str">
        <v>Financials</v>
      </c>
      <c r="G175" s="293">
        <f t="shared" si="5"/>
        <v>0</v>
      </c>
      <c r="H175" s="291"/>
      <c r="J175" s="36"/>
      <c r="M175" s="294" t="s">
        <v>1044</v>
      </c>
      <c r="N175" s="300" t="s">
        <v>63</v>
      </c>
      <c r="O175" s="291" t="str">
        <v>Sun Pharmaceutical Industries</v>
      </c>
      <c r="P175" s="301">
        <v>0.0132841749320454</v>
      </c>
      <c r="Q175" s="293">
        <f>P175*VLOOKUP(N175,'Selector Sheet '!$B$13:$D$43,2,FALSE)</f>
        <v>0</v>
      </c>
      <c r="R175" s="291" t="str">
        <v>Health Care</v>
      </c>
      <c r="S175" s="293">
        <f>P175*VLOOKUP(N175,'Selector Sheet '!$B$13:$D$43,2,FALSE)</f>
        <v>0</v>
      </c>
      <c r="T175" s="291"/>
      <c r="X175" s="291" t="str">
        <v>INE703B01027</v>
      </c>
      <c r="Z175" s="294" t="s">
        <v>843</v>
      </c>
      <c r="AB175" t="s">
        <v>1220</v>
      </c>
      <c r="AC175" t="s">
        <v>1221</v>
      </c>
      <c r="AD175" t="s">
        <v>823</v>
      </c>
      <c r="AE175">
        <v>30.41108121577</v>
      </c>
      <c r="AF175">
        <v>16.0522938083152</v>
      </c>
      <c r="AG175">
        <v>5439.775</v>
      </c>
      <c r="AH175">
        <v>77.6</v>
      </c>
      <c r="AI175">
        <v>165410110800</v>
      </c>
    </row>
    <row r="176" spans="1:35">
      <c r="A176" s="290" t="s">
        <v>848</v>
      </c>
      <c r="B176" t="s">
        <v>49</v>
      </c>
      <c r="C176" s="291" t="str">
        <v>Bajaj Finserv Ltd</v>
      </c>
      <c r="D176" s="292">
        <v>0.0139602336927129</v>
      </c>
      <c r="E176" s="293">
        <f t="shared" si="4"/>
        <v>0</v>
      </c>
      <c r="F176" s="291" t="str">
        <v>Financials</v>
      </c>
      <c r="G176" s="293">
        <f t="shared" si="5"/>
        <v>0</v>
      </c>
      <c r="H176" s="291"/>
      <c r="J176" s="36"/>
      <c r="M176" s="290" t="s">
        <v>1050</v>
      </c>
      <c r="N176" s="298" t="s">
        <v>63</v>
      </c>
      <c r="O176" s="291" t="str">
        <v>Syngene International Ltd</v>
      </c>
      <c r="P176" s="299">
        <v>0.000272837149990738</v>
      </c>
      <c r="Q176" s="293">
        <f>P176*VLOOKUP(N176,'Selector Sheet '!$B$13:$D$43,2,FALSE)</f>
        <v>0</v>
      </c>
      <c r="R176" s="291" t="str">
        <v>Health Care</v>
      </c>
      <c r="S176" s="293">
        <f>P176*VLOOKUP(N176,'Selector Sheet '!$B$13:$D$43,2,FALSE)</f>
        <v>0</v>
      </c>
      <c r="T176" s="291"/>
      <c r="X176" s="291" t="str">
        <v>INE018E01016</v>
      </c>
      <c r="Z176" s="290" t="s">
        <v>848</v>
      </c>
      <c r="AB176" t="s">
        <v>1222</v>
      </c>
      <c r="AC176" t="s">
        <v>1223</v>
      </c>
      <c r="AD176" t="s">
        <v>831</v>
      </c>
      <c r="AE176">
        <v>40.121588695138</v>
      </c>
      <c r="AF176">
        <v>14.8181282197501</v>
      </c>
      <c r="AG176">
        <v>19164.1</v>
      </c>
      <c r="AH176">
        <v>20.15</v>
      </c>
      <c r="AI176">
        <v>769262572298.8</v>
      </c>
    </row>
    <row r="177" spans="1:35">
      <c r="A177" s="294" t="s">
        <v>1157</v>
      </c>
      <c r="B177" t="s">
        <v>49</v>
      </c>
      <c r="C177" s="291" t="str">
        <v>Balkrishna Industries Ltd</v>
      </c>
      <c r="D177" s="295">
        <v>0.0103173284133205</v>
      </c>
      <c r="E177" s="293">
        <f t="shared" si="4"/>
        <v>0</v>
      </c>
      <c r="F177" s="291" t="str">
        <v>Consumer Discretionary</v>
      </c>
      <c r="G177" s="293">
        <f t="shared" si="5"/>
        <v>0</v>
      </c>
      <c r="H177" s="291"/>
      <c r="J177" s="36"/>
      <c r="M177" s="294" t="s">
        <v>1051</v>
      </c>
      <c r="N177" s="300" t="s">
        <v>63</v>
      </c>
      <c r="O177" s="291" t="str">
        <v>Tata Consultancy Services Ltd</v>
      </c>
      <c r="P177" s="301">
        <v>0.0133573892971934</v>
      </c>
      <c r="Q177" s="293">
        <f>P177*VLOOKUP(N177,'Selector Sheet '!$B$13:$D$43,2,FALSE)</f>
        <v>0</v>
      </c>
      <c r="R177" s="291" t="str">
        <v>Information Technology</v>
      </c>
      <c r="S177" s="293">
        <f>P177*VLOOKUP(N177,'Selector Sheet '!$B$13:$D$43,2,FALSE)</f>
        <v>0</v>
      </c>
      <c r="T177" s="291"/>
      <c r="X177" s="291" t="str">
        <v>INE597I01028</v>
      </c>
      <c r="Z177" s="294" t="s">
        <v>1157</v>
      </c>
      <c r="AB177" t="s">
        <v>1224</v>
      </c>
      <c r="AC177" t="s">
        <v>1225</v>
      </c>
      <c r="AD177" t="s">
        <v>838</v>
      </c>
      <c r="AE177">
        <v>18.7111480159341</v>
      </c>
      <c r="AF177">
        <v>30.4601738531925</v>
      </c>
      <c r="AG177">
        <v>3149.193</v>
      </c>
      <c r="AH177">
        <v>54.855</v>
      </c>
      <c r="AI177">
        <v>58923269438.4</v>
      </c>
    </row>
    <row r="178" spans="1:35">
      <c r="A178" s="290" t="s">
        <v>852</v>
      </c>
      <c r="B178" t="s">
        <v>49</v>
      </c>
      <c r="C178" s="291" t="str">
        <v>Bharat Forge Ltd</v>
      </c>
      <c r="D178" s="292">
        <v>0.0122936734097833</v>
      </c>
      <c r="E178" s="293">
        <f t="shared" si="4"/>
        <v>0</v>
      </c>
      <c r="F178" s="291" t="str">
        <v>Consumer Discretionary</v>
      </c>
      <c r="G178" s="293">
        <f t="shared" si="5"/>
        <v>0</v>
      </c>
      <c r="H178" s="291"/>
      <c r="J178" s="36"/>
      <c r="M178" s="290" t="s">
        <v>1056</v>
      </c>
      <c r="N178" s="298" t="s">
        <v>63</v>
      </c>
      <c r="O178" s="291" t="str">
        <v>Tata Steel Ltd</v>
      </c>
      <c r="P178" s="299">
        <v>0.002995873389515</v>
      </c>
      <c r="Q178" s="293">
        <f>P178*VLOOKUP(N178,'Selector Sheet '!$B$13:$D$43,2,FALSE)</f>
        <v>0</v>
      </c>
      <c r="R178" s="291" t="str">
        <v>Materials</v>
      </c>
      <c r="S178" s="293">
        <f>P178*VLOOKUP(N178,'Selector Sheet '!$B$13:$D$43,2,FALSE)</f>
        <v>0</v>
      </c>
      <c r="T178" s="291"/>
      <c r="X178" s="291" t="str">
        <v>INE640A01023</v>
      </c>
      <c r="Z178" s="290" t="s">
        <v>852</v>
      </c>
      <c r="AB178" t="s">
        <v>1226</v>
      </c>
      <c r="AC178" t="s">
        <v>1227</v>
      </c>
      <c r="AD178" t="s">
        <v>813</v>
      </c>
      <c r="AE178">
        <v>39.2516426133865</v>
      </c>
      <c r="AF178">
        <v>21.4330621581905</v>
      </c>
      <c r="AG178">
        <v>5659.1</v>
      </c>
      <c r="AH178">
        <v>114.463997</v>
      </c>
      <c r="AI178">
        <v>222119823962.7</v>
      </c>
    </row>
    <row r="179" spans="1:35">
      <c r="A179" s="294" t="s">
        <v>855</v>
      </c>
      <c r="B179" t="s">
        <v>49</v>
      </c>
      <c r="C179" s="291" t="str">
        <v>Bharti Airtel Ltd</v>
      </c>
      <c r="D179" s="295">
        <v>0.005890185535152</v>
      </c>
      <c r="E179" s="293">
        <f t="shared" si="4"/>
        <v>0</v>
      </c>
      <c r="F179" s="291" t="str">
        <v>Communication Services</v>
      </c>
      <c r="G179" s="293">
        <f t="shared" si="5"/>
        <v>0</v>
      </c>
      <c r="H179" s="291"/>
      <c r="J179" s="36"/>
      <c r="M179" s="294" t="s">
        <v>1059</v>
      </c>
      <c r="N179" s="300" t="s">
        <v>63</v>
      </c>
      <c r="O179" s="291" t="str">
        <v>Tech Mahindra Ltd</v>
      </c>
      <c r="P179" s="301">
        <v>0.00315364685986384</v>
      </c>
      <c r="Q179" s="293">
        <f>P179*VLOOKUP(N179,'Selector Sheet '!$B$13:$D$43,2,FALSE)</f>
        <v>0</v>
      </c>
      <c r="R179" s="291" t="str">
        <v>Information Technology</v>
      </c>
      <c r="S179" s="293">
        <f>P179*VLOOKUP(N179,'Selector Sheet '!$B$13:$D$43,2,FALSE)</f>
        <v>0</v>
      </c>
      <c r="T179" s="291"/>
      <c r="X179" s="291" t="str">
        <v>INE575P01011</v>
      </c>
      <c r="Z179" s="294" t="s">
        <v>855</v>
      </c>
      <c r="AB179" t="s">
        <v>1228</v>
      </c>
      <c r="AC179" t="s">
        <v>1229</v>
      </c>
      <c r="AD179" t="s">
        <v>831</v>
      </c>
      <c r="AE179">
        <v>44.7211155378486</v>
      </c>
      <c r="AF179" t="s">
        <v>824</v>
      </c>
      <c r="AG179">
        <v>6458.6</v>
      </c>
      <c r="AH179">
        <v>11.01</v>
      </c>
      <c r="AI179">
        <v>263987116869</v>
      </c>
    </row>
    <row r="180" spans="1:35">
      <c r="A180" s="290" t="s">
        <v>1159</v>
      </c>
      <c r="B180" t="s">
        <v>49</v>
      </c>
      <c r="C180" s="291" t="str">
        <v>CIE Automotive India Ltd</v>
      </c>
      <c r="D180" s="292">
        <v>0.00570797036711514</v>
      </c>
      <c r="E180" s="293">
        <f t="shared" si="4"/>
        <v>0</v>
      </c>
      <c r="F180" s="291" t="str">
        <v>Consumer Discretionary</v>
      </c>
      <c r="G180" s="293">
        <f t="shared" si="5"/>
        <v>0</v>
      </c>
      <c r="H180" s="291"/>
      <c r="J180" s="36"/>
      <c r="M180" s="290" t="s">
        <v>1064</v>
      </c>
      <c r="N180" s="298" t="s">
        <v>63</v>
      </c>
      <c r="O180" s="291" t="str">
        <v>Indian Hotels Co Ltd/The</v>
      </c>
      <c r="P180" s="299">
        <v>0.00178168449841114</v>
      </c>
      <c r="Q180" s="293">
        <f>P180*VLOOKUP(N180,'Selector Sheet '!$B$13:$D$43,2,FALSE)</f>
        <v>0</v>
      </c>
      <c r="R180" s="291" t="str">
        <v>Consumer Discretionary</v>
      </c>
      <c r="S180" s="293">
        <f>P180*VLOOKUP(N180,'Selector Sheet '!$B$13:$D$43,2,FALSE)</f>
        <v>0</v>
      </c>
      <c r="T180" s="291"/>
      <c r="X180" s="291" t="str">
        <v>INE424H01027</v>
      </c>
      <c r="Z180" s="290" t="s">
        <v>1159</v>
      </c>
      <c r="AB180" t="s">
        <v>1230</v>
      </c>
      <c r="AC180" t="s">
        <v>1231</v>
      </c>
      <c r="AD180" t="s">
        <v>857</v>
      </c>
      <c r="AE180">
        <v>13.4466802635431</v>
      </c>
      <c r="AF180">
        <v>15.3532681581497</v>
      </c>
      <c r="AG180">
        <v>17029.3</v>
      </c>
      <c r="AH180">
        <v>43.23</v>
      </c>
      <c r="AI180">
        <v>229081389606</v>
      </c>
    </row>
    <row r="181" spans="1:35">
      <c r="A181" s="294" t="s">
        <v>888</v>
      </c>
      <c r="B181" t="s">
        <v>49</v>
      </c>
      <c r="C181" s="291" t="str">
        <v>Container Corp Of India Ltd</v>
      </c>
      <c r="D181" s="295">
        <v>0.00273602368324304</v>
      </c>
      <c r="E181" s="293">
        <f t="shared" si="4"/>
        <v>0</v>
      </c>
      <c r="F181" s="291" t="str">
        <v>Industrials</v>
      </c>
      <c r="G181" s="293">
        <f t="shared" si="5"/>
        <v>0</v>
      </c>
      <c r="H181" s="291"/>
      <c r="J181" s="36"/>
      <c r="M181" s="294" t="s">
        <v>1232</v>
      </c>
      <c r="N181" s="300" t="s">
        <v>63</v>
      </c>
      <c r="O181" s="291" t="str">
        <v>Phoenix Mills Ltd/The</v>
      </c>
      <c r="P181" s="301">
        <v>0.00528842831102863</v>
      </c>
      <c r="Q181" s="293">
        <f>P181*VLOOKUP(N181,'Selector Sheet '!$B$13:$D$43,2,FALSE)</f>
        <v>0</v>
      </c>
      <c r="R181" s="291" t="str">
        <v>Real Estate</v>
      </c>
      <c r="S181" s="293">
        <f>P181*VLOOKUP(N181,'Selector Sheet '!$B$13:$D$43,2,FALSE)</f>
        <v>0</v>
      </c>
      <c r="T181" s="291"/>
      <c r="X181" s="291" t="str">
        <v>INE399C01030</v>
      </c>
      <c r="Z181" s="294" t="s">
        <v>888</v>
      </c>
      <c r="AB181" t="s">
        <v>1233</v>
      </c>
      <c r="AC181" t="s">
        <v>1234</v>
      </c>
      <c r="AD181" t="s">
        <v>838</v>
      </c>
      <c r="AE181">
        <v>62.0416683620877</v>
      </c>
      <c r="AF181">
        <v>7.51323131768219</v>
      </c>
      <c r="AG181">
        <v>992.65</v>
      </c>
      <c r="AH181">
        <v>7.2</v>
      </c>
      <c r="AI181">
        <v>61269820040.1</v>
      </c>
    </row>
    <row r="182" spans="1:35">
      <c r="A182" s="290" t="s">
        <v>1161</v>
      </c>
      <c r="B182" t="s">
        <v>49</v>
      </c>
      <c r="C182" s="291" t="str">
        <v>Dabur India Ltd</v>
      </c>
      <c r="D182" s="292">
        <v>0.00945010070590449</v>
      </c>
      <c r="E182" s="293">
        <f t="shared" si="4"/>
        <v>0</v>
      </c>
      <c r="F182" s="291" t="str">
        <v>Consumer Staples</v>
      </c>
      <c r="G182" s="293">
        <f t="shared" si="5"/>
        <v>0</v>
      </c>
      <c r="H182" s="291"/>
      <c r="J182" s="36"/>
      <c r="M182" s="290" t="s">
        <v>1081</v>
      </c>
      <c r="N182" s="298" t="s">
        <v>63</v>
      </c>
      <c r="O182" s="291" t="str">
        <v>Titan Co Ltd</v>
      </c>
      <c r="P182" s="299">
        <v>0.00774476772187441</v>
      </c>
      <c r="Q182" s="293">
        <f>P182*VLOOKUP(N182,'Selector Sheet '!$B$13:$D$43,2,FALSE)</f>
        <v>0</v>
      </c>
      <c r="R182" s="291" t="str">
        <v>Consumer Discretionary</v>
      </c>
      <c r="S182" s="293">
        <f>P182*VLOOKUP(N182,'Selector Sheet '!$B$13:$D$43,2,FALSE)</f>
        <v>0</v>
      </c>
      <c r="T182" s="291"/>
      <c r="X182" s="291" t="str">
        <v>INE151A01013</v>
      </c>
      <c r="Z182" s="290" t="s">
        <v>1161</v>
      </c>
      <c r="AB182" t="s">
        <v>1235</v>
      </c>
      <c r="AC182" t="s">
        <v>1236</v>
      </c>
      <c r="AD182" t="s">
        <v>857</v>
      </c>
      <c r="AE182">
        <v>29.6721015460613</v>
      </c>
      <c r="AF182">
        <v>76.3942016686115</v>
      </c>
      <c r="AG182">
        <v>18363.6</v>
      </c>
      <c r="AH182">
        <v>64.44</v>
      </c>
      <c r="AI182">
        <v>482277000000</v>
      </c>
    </row>
    <row r="183" spans="1:35">
      <c r="A183" s="294" t="s">
        <v>1164</v>
      </c>
      <c r="B183" t="s">
        <v>49</v>
      </c>
      <c r="C183" s="291" t="str">
        <v>Divgi Torqtransfer Systems Ltd</v>
      </c>
      <c r="D183" s="295">
        <v>0.00102823505689627</v>
      </c>
      <c r="E183" s="293">
        <f t="shared" si="4"/>
        <v>0</v>
      </c>
      <c r="F183" s="291" t="str">
        <v>Consumer Discretionary</v>
      </c>
      <c r="G183" s="293">
        <f t="shared" si="5"/>
        <v>0</v>
      </c>
      <c r="H183" s="291"/>
      <c r="J183" s="36"/>
      <c r="M183" s="294" t="s">
        <v>1237</v>
      </c>
      <c r="N183" s="300" t="s">
        <v>63</v>
      </c>
      <c r="O183" s="291" t="str">
        <v>Travel Food Services Ltd</v>
      </c>
      <c r="P183" s="301">
        <v>0.00168481858225722</v>
      </c>
      <c r="Q183" s="293">
        <f>P183*VLOOKUP(N183,'Selector Sheet '!$B$13:$D$43,2,FALSE)</f>
        <v>0</v>
      </c>
      <c r="R183" s="291" t="str">
        <v>Consumer Discretionary</v>
      </c>
      <c r="S183" s="293">
        <f>P183*VLOOKUP(N183,'Selector Sheet '!$B$13:$D$43,2,FALSE)</f>
        <v>0</v>
      </c>
      <c r="T183" s="291"/>
      <c r="X183" s="291" t="str">
        <v>INE211B01039</v>
      </c>
      <c r="Z183" s="294" t="s">
        <v>1164</v>
      </c>
      <c r="AB183" t="s">
        <v>1232</v>
      </c>
      <c r="AC183" t="s">
        <v>1238</v>
      </c>
      <c r="AD183" t="s">
        <v>998</v>
      </c>
      <c r="AE183">
        <v>53.8212840963267</v>
      </c>
      <c r="AF183">
        <v>9.88880508887409</v>
      </c>
      <c r="AG183">
        <v>9842.257</v>
      </c>
      <c r="AH183">
        <v>27.53</v>
      </c>
      <c r="AI183">
        <v>529790671858.8</v>
      </c>
    </row>
    <row r="184" spans="1:35">
      <c r="A184" s="290" t="s">
        <v>895</v>
      </c>
      <c r="B184" t="s">
        <v>49</v>
      </c>
      <c r="C184" s="291" t="str">
        <v>Dr Reddy's Laboratories Ltd</v>
      </c>
      <c r="D184" s="292">
        <v>0.00512001048381227</v>
      </c>
      <c r="E184" s="293">
        <f t="shared" si="4"/>
        <v>0</v>
      </c>
      <c r="F184" s="291" t="str">
        <v>Health Care</v>
      </c>
      <c r="G184" s="293">
        <f t="shared" si="5"/>
        <v>0</v>
      </c>
      <c r="H184" s="291"/>
      <c r="J184" s="36"/>
      <c r="M184" s="290" t="s">
        <v>1067</v>
      </c>
      <c r="N184" s="298" t="s">
        <v>63</v>
      </c>
      <c r="O184" s="291" t="str">
        <v>Trent Ltd</v>
      </c>
      <c r="P184" s="299">
        <v>0.00350875261665673</v>
      </c>
      <c r="Q184" s="293">
        <f>P184*VLOOKUP(N184,'Selector Sheet '!$B$13:$D$43,2,FALSE)</f>
        <v>0</v>
      </c>
      <c r="R184" s="291" t="str">
        <v>Consumer Discretionary</v>
      </c>
      <c r="S184" s="293">
        <f>P184*VLOOKUP(N184,'Selector Sheet '!$B$13:$D$43,2,FALSE)</f>
        <v>0</v>
      </c>
      <c r="T184" s="291"/>
      <c r="X184" s="291" t="str">
        <v>INE974X01010</v>
      </c>
      <c r="Z184" s="290" t="s">
        <v>895</v>
      </c>
      <c r="AB184" t="s">
        <v>1239</v>
      </c>
      <c r="AC184" t="s">
        <v>1240</v>
      </c>
      <c r="AD184" t="s">
        <v>838</v>
      </c>
      <c r="AE184">
        <v>87.9012373716983</v>
      </c>
      <c r="AF184">
        <v>12.6629601226994</v>
      </c>
      <c r="AG184">
        <v>6737.1</v>
      </c>
      <c r="AH184">
        <v>34.83</v>
      </c>
      <c r="AI184">
        <v>592413140024</v>
      </c>
    </row>
    <row r="185" spans="1:35">
      <c r="A185" s="294" t="s">
        <v>1128</v>
      </c>
      <c r="B185" t="s">
        <v>49</v>
      </c>
      <c r="C185" s="291" t="str">
        <v>Eicher Motors Ltd</v>
      </c>
      <c r="D185" s="295">
        <v>0.00965847935314245</v>
      </c>
      <c r="E185" s="293">
        <f t="shared" si="4"/>
        <v>0</v>
      </c>
      <c r="F185" s="291" t="str">
        <v>Consumer Discretionary</v>
      </c>
      <c r="G185" s="293">
        <f t="shared" si="5"/>
        <v>0</v>
      </c>
      <c r="H185" s="291"/>
      <c r="J185" s="36"/>
      <c r="M185" s="294" t="s">
        <v>1069</v>
      </c>
      <c r="N185" s="300" t="s">
        <v>63</v>
      </c>
      <c r="O185" s="291" t="str">
        <v>TVS Motor Co Ltd</v>
      </c>
      <c r="P185" s="301">
        <v>0.0449400403776593</v>
      </c>
      <c r="Q185" s="293">
        <f>P185*VLOOKUP(N185,'Selector Sheet '!$B$13:$D$43,2,FALSE)</f>
        <v>0</v>
      </c>
      <c r="R185" s="291" t="str">
        <v>Consumer Discretionary</v>
      </c>
      <c r="S185" s="293">
        <f>P185*VLOOKUP(N185,'Selector Sheet '!$B$13:$D$43,2,FALSE)</f>
        <v>0</v>
      </c>
      <c r="T185" s="291"/>
      <c r="X185" s="291" t="str">
        <v>INE628A01036</v>
      </c>
      <c r="Z185" s="294" t="s">
        <v>1128</v>
      </c>
      <c r="AB185" t="s">
        <v>1241</v>
      </c>
      <c r="AC185" t="s">
        <v>1242</v>
      </c>
      <c r="AD185" t="s">
        <v>823</v>
      </c>
      <c r="AE185">
        <v>57.9566146763574</v>
      </c>
      <c r="AF185">
        <v>3.14703715398379</v>
      </c>
      <c r="AG185">
        <v>8970</v>
      </c>
      <c r="AH185">
        <v>11.950318</v>
      </c>
      <c r="AI185">
        <v>585154951645.6</v>
      </c>
    </row>
    <row r="186" spans="1:35">
      <c r="A186" s="290" t="s">
        <v>1132</v>
      </c>
      <c r="B186" t="s">
        <v>49</v>
      </c>
      <c r="C186" s="291" t="str">
        <v>FSN E-Commerce Ventures Ltd</v>
      </c>
      <c r="D186" s="292">
        <v>0.0381028013658607</v>
      </c>
      <c r="E186" s="293">
        <f t="shared" si="4"/>
        <v>0</v>
      </c>
      <c r="F186" s="291" t="str">
        <v>Consumer Discretionary</v>
      </c>
      <c r="G186" s="293">
        <f t="shared" si="5"/>
        <v>0</v>
      </c>
      <c r="H186" s="291"/>
      <c r="J186" s="36"/>
      <c r="M186" s="290" t="s">
        <v>1071</v>
      </c>
      <c r="N186" s="298" t="s">
        <v>63</v>
      </c>
      <c r="O186" s="291" t="str">
        <v>UltraTech Cement Ltd</v>
      </c>
      <c r="P186" s="299">
        <v>0.00428058592587362</v>
      </c>
      <c r="Q186" s="293">
        <f>P186*VLOOKUP(N186,'Selector Sheet '!$B$13:$D$43,2,FALSE)</f>
        <v>0</v>
      </c>
      <c r="R186" s="291" t="str">
        <v>Materials</v>
      </c>
      <c r="S186" s="293">
        <f>P186*VLOOKUP(N186,'Selector Sheet '!$B$13:$D$43,2,FALSE)</f>
        <v>0</v>
      </c>
      <c r="T186" s="291"/>
      <c r="X186" s="291" t="str">
        <v>INE951I01027</v>
      </c>
      <c r="Z186" s="290" t="s">
        <v>1132</v>
      </c>
      <c r="AB186" t="s">
        <v>1243</v>
      </c>
      <c r="AC186" t="s">
        <v>1244</v>
      </c>
      <c r="AD186" t="s">
        <v>813</v>
      </c>
      <c r="AE186">
        <v>51.6945598181987</v>
      </c>
      <c r="AF186">
        <v>16.038649812758</v>
      </c>
      <c r="AG186">
        <v>3137.2</v>
      </c>
      <c r="AH186">
        <v>7.17</v>
      </c>
      <c r="AI186">
        <v>161602950030.9</v>
      </c>
    </row>
    <row r="187" spans="1:35">
      <c r="A187" s="294" t="s">
        <v>1170</v>
      </c>
      <c r="B187" t="s">
        <v>49</v>
      </c>
      <c r="C187" s="291" t="str">
        <v>Gland Pharma Ltd</v>
      </c>
      <c r="D187" s="295">
        <v>0</v>
      </c>
      <c r="E187" s="293">
        <f t="shared" si="4"/>
        <v>0</v>
      </c>
      <c r="F187" s="291" t="str">
        <v>Health Care</v>
      </c>
      <c r="G187" s="293">
        <f t="shared" si="5"/>
        <v>0</v>
      </c>
      <c r="H187" s="291"/>
      <c r="J187" s="36"/>
      <c r="M187" s="294" t="s">
        <v>1245</v>
      </c>
      <c r="N187" s="300" t="s">
        <v>63</v>
      </c>
      <c r="O187" s="291" t="str">
        <v>Vedanta Ltd</v>
      </c>
      <c r="P187" s="301">
        <v>0.00160684927789305</v>
      </c>
      <c r="Q187" s="293">
        <f>P187*VLOOKUP(N187,'Selector Sheet '!$B$13:$D$43,2,FALSE)</f>
        <v>0</v>
      </c>
      <c r="R187" s="291" t="str">
        <v>Materials</v>
      </c>
      <c r="S187" s="293">
        <f>P187*VLOOKUP(N187,'Selector Sheet '!$B$13:$D$43,2,FALSE)</f>
        <v>0</v>
      </c>
      <c r="T187" s="291"/>
      <c r="X187" s="291" t="str">
        <v>INE825V01034</v>
      </c>
      <c r="Z187" s="294" t="s">
        <v>1170</v>
      </c>
      <c r="AB187" t="s">
        <v>1246</v>
      </c>
      <c r="AC187" t="s">
        <v>1247</v>
      </c>
      <c r="AD187" t="s">
        <v>838</v>
      </c>
      <c r="AE187">
        <v>44.4343486396816</v>
      </c>
      <c r="AF187">
        <v>27.5952774372368</v>
      </c>
      <c r="AG187">
        <v>4141.72</v>
      </c>
      <c r="AH187">
        <v>17.06</v>
      </c>
      <c r="AI187">
        <v>184167810863.2</v>
      </c>
    </row>
    <row r="188" spans="1:35">
      <c r="A188" s="290" t="s">
        <v>1173</v>
      </c>
      <c r="B188" t="s">
        <v>49</v>
      </c>
      <c r="C188" s="291" t="str">
        <v>Gujarat Gas Ltd</v>
      </c>
      <c r="D188" s="292">
        <v>0.00926222438386751</v>
      </c>
      <c r="E188" s="293">
        <f t="shared" si="4"/>
        <v>0</v>
      </c>
      <c r="F188" s="291" t="str">
        <v>Utilities</v>
      </c>
      <c r="G188" s="293">
        <f t="shared" si="5"/>
        <v>0</v>
      </c>
      <c r="H188" s="291"/>
      <c r="J188" s="36"/>
      <c r="M188" s="290" t="s">
        <v>1248</v>
      </c>
      <c r="N188" s="298" t="s">
        <v>63</v>
      </c>
      <c r="O188" s="291" t="str">
        <v>Voltas Ltd</v>
      </c>
      <c r="P188" s="299">
        <v>0.00161104236770368</v>
      </c>
      <c r="Q188" s="293">
        <f>P188*VLOOKUP(N188,'Selector Sheet '!$B$13:$D$43,2,FALSE)</f>
        <v>0</v>
      </c>
      <c r="R188" s="291" t="str">
        <v>Industrials</v>
      </c>
      <c r="S188" s="293">
        <f>P188*VLOOKUP(N188,'Selector Sheet '!$B$13:$D$43,2,FALSE)</f>
        <v>0</v>
      </c>
      <c r="T188" s="291"/>
      <c r="X188" s="291" t="str">
        <v>INE205A01025</v>
      </c>
      <c r="Z188" s="290" t="s">
        <v>1173</v>
      </c>
      <c r="AB188" t="s">
        <v>1245</v>
      </c>
      <c r="AC188" t="s">
        <v>1249</v>
      </c>
      <c r="AD188" t="s">
        <v>823</v>
      </c>
      <c r="AE188">
        <v>11.6435064726625</v>
      </c>
      <c r="AF188" t="s">
        <v>824</v>
      </c>
      <c r="AG188">
        <v>149880</v>
      </c>
      <c r="AH188">
        <v>38.97</v>
      </c>
      <c r="AI188">
        <v>1703756076434.9</v>
      </c>
    </row>
    <row r="189" spans="1:35">
      <c r="A189" s="294" t="s">
        <v>1175</v>
      </c>
      <c r="B189" t="s">
        <v>49</v>
      </c>
      <c r="C189" s="291" t="str">
        <v>Gujarat Narmada Valley Fertili</v>
      </c>
      <c r="D189" s="295">
        <v>0.00458380542100733</v>
      </c>
      <c r="E189" s="293">
        <f t="shared" si="4"/>
        <v>0</v>
      </c>
      <c r="F189" s="291" t="str">
        <v>Materials</v>
      </c>
      <c r="G189" s="293">
        <f t="shared" si="5"/>
        <v>0</v>
      </c>
      <c r="H189" s="291"/>
      <c r="J189" s="36"/>
      <c r="M189" s="294" t="s">
        <v>1250</v>
      </c>
      <c r="N189" s="300" t="s">
        <v>65</v>
      </c>
      <c r="O189" s="291" t="str">
        <v>Acutaas Chemicals Ltd</v>
      </c>
      <c r="P189" s="301">
        <v>0.00295191440874888</v>
      </c>
      <c r="Q189" s="293">
        <f>P189*VLOOKUP(N189,'Selector Sheet '!$B$13:$D$43,2,FALSE)</f>
        <v>0</v>
      </c>
      <c r="R189" s="291" t="str">
        <v>Health Care</v>
      </c>
      <c r="S189" s="293">
        <f>P189*VLOOKUP(N189,'Selector Sheet '!$B$13:$D$43,2,FALSE)</f>
        <v>0</v>
      </c>
      <c r="T189" s="291"/>
      <c r="X189" s="291" t="str">
        <v>INE010B01027</v>
      </c>
      <c r="Z189" s="294" t="s">
        <v>1175</v>
      </c>
      <c r="AB189" t="s">
        <v>1087</v>
      </c>
      <c r="AC189" t="s">
        <v>1251</v>
      </c>
      <c r="AD189" t="s">
        <v>819</v>
      </c>
      <c r="AE189">
        <v>21.9435176293744</v>
      </c>
      <c r="AF189">
        <v>20.6725959627797</v>
      </c>
      <c r="AG189">
        <v>45255</v>
      </c>
      <c r="AH189">
        <v>44.97</v>
      </c>
      <c r="AI189">
        <v>992951701332</v>
      </c>
    </row>
    <row r="190" spans="1:35">
      <c r="A190" s="290" t="s">
        <v>919</v>
      </c>
      <c r="B190" t="s">
        <v>49</v>
      </c>
      <c r="C190" s="291" t="str">
        <v>HCL Technologies Ltd</v>
      </c>
      <c r="D190" s="292">
        <v>0.00454145861251413</v>
      </c>
      <c r="E190" s="293">
        <f t="shared" si="4"/>
        <v>0</v>
      </c>
      <c r="F190" s="291" t="str">
        <v>Information Technology</v>
      </c>
      <c r="G190" s="293">
        <f t="shared" si="5"/>
        <v>0</v>
      </c>
      <c r="H190" s="291"/>
      <c r="J190" s="36"/>
      <c r="M190" s="290" t="s">
        <v>1252</v>
      </c>
      <c r="N190" s="298" t="s">
        <v>65</v>
      </c>
      <c r="O190" s="291" t="str">
        <v>Adani Enterprises Ltd</v>
      </c>
      <c r="P190" s="299">
        <v>0.000507284557550205</v>
      </c>
      <c r="Q190" s="293">
        <f>P190*VLOOKUP(N190,'Selector Sheet '!$B$13:$D$43,2,FALSE)</f>
        <v>0</v>
      </c>
      <c r="R190" s="291" t="str">
        <v>Industrials</v>
      </c>
      <c r="S190" s="293">
        <f>P190*VLOOKUP(N190,'Selector Sheet '!$B$13:$D$43,2,FALSE)</f>
        <v>0</v>
      </c>
      <c r="T190" s="291"/>
      <c r="X190" s="291" t="str">
        <v>INE208A01029</v>
      </c>
      <c r="Z190" s="290" t="s">
        <v>919</v>
      </c>
      <c r="AB190" t="s">
        <v>1253</v>
      </c>
      <c r="AC190" t="s">
        <v>1254</v>
      </c>
      <c r="AD190" t="s">
        <v>813</v>
      </c>
      <c r="AE190">
        <v>24.5689983403976</v>
      </c>
      <c r="AF190">
        <v>29.2587693668181</v>
      </c>
      <c r="AG190">
        <v>31068</v>
      </c>
      <c r="AH190">
        <v>5.29</v>
      </c>
      <c r="AI190">
        <v>763320900123.44</v>
      </c>
    </row>
    <row r="191" spans="1:35">
      <c r="A191" s="294" t="s">
        <v>924</v>
      </c>
      <c r="B191" t="s">
        <v>49</v>
      </c>
      <c r="C191" s="291" t="str">
        <v>HDFC Bank Ltd</v>
      </c>
      <c r="D191" s="295">
        <v>0.0115052157562396</v>
      </c>
      <c r="E191" s="293">
        <f t="shared" si="4"/>
        <v>0</v>
      </c>
      <c r="F191" s="291" t="str">
        <v>Financials</v>
      </c>
      <c r="G191" s="293">
        <f t="shared" si="5"/>
        <v>0</v>
      </c>
      <c r="H191" s="291"/>
      <c r="J191" s="36"/>
      <c r="M191" s="294" t="s">
        <v>1094</v>
      </c>
      <c r="N191" s="300" t="s">
        <v>65</v>
      </c>
      <c r="O191" s="291" t="str">
        <v>Adani Ports &amp; Special Economic</v>
      </c>
      <c r="P191" s="301">
        <v>0.0105844417723869</v>
      </c>
      <c r="Q191" s="293">
        <f>P191*VLOOKUP(N191,'Selector Sheet '!$B$13:$D$43,2,FALSE)</f>
        <v>0</v>
      </c>
      <c r="R191" s="291" t="str">
        <v>Industrials</v>
      </c>
      <c r="S191" s="293">
        <f>P191*VLOOKUP(N191,'Selector Sheet '!$B$13:$D$43,2,FALSE)</f>
        <v>0</v>
      </c>
      <c r="T191" s="291"/>
      <c r="X191" s="291" t="str">
        <v>INE406A01037</v>
      </c>
      <c r="Z191" s="294" t="s">
        <v>924</v>
      </c>
      <c r="AB191" t="s">
        <v>1255</v>
      </c>
      <c r="AC191" t="s">
        <v>1256</v>
      </c>
      <c r="AD191" t="s">
        <v>819</v>
      </c>
      <c r="AE191">
        <v>17.9994224927812</v>
      </c>
      <c r="AF191">
        <v>11.1555085339698</v>
      </c>
      <c r="AG191">
        <v>34858.8</v>
      </c>
      <c r="AH191">
        <v>60.018595</v>
      </c>
      <c r="AI191">
        <v>627439993326.9</v>
      </c>
    </row>
    <row r="192" spans="1:35">
      <c r="A192" s="290" t="s">
        <v>927</v>
      </c>
      <c r="B192" t="s">
        <v>49</v>
      </c>
      <c r="C192" s="291" t="str">
        <v>HDFC Life Insurance Co Ltd</v>
      </c>
      <c r="D192" s="292">
        <v>0.00384310622620918</v>
      </c>
      <c r="E192" s="293">
        <f t="shared" ref="E192:E255" si="6">_xlfn.IFNA(D192*VLOOKUP($B192,$AK$1:$AM$34,3,FALSE),0)</f>
        <v>0</v>
      </c>
      <c r="F192" s="291" t="str">
        <v>Financials</v>
      </c>
      <c r="G192" s="293">
        <f t="shared" ref="G192:G255" si="7">_xlfn.IFNA(D192*VLOOKUP($B192,$AK$1:$AM$34,3,FALSE),0)</f>
        <v>0</v>
      </c>
      <c r="H192" s="291"/>
      <c r="J192" s="36"/>
      <c r="M192" s="290" t="s">
        <v>1097</v>
      </c>
      <c r="N192" s="298" t="s">
        <v>65</v>
      </c>
      <c r="O192" s="291" t="str">
        <v>Ambuja Cements Ltd</v>
      </c>
      <c r="P192" s="299">
        <v>0.00934710742854439</v>
      </c>
      <c r="Q192" s="293">
        <f>P192*VLOOKUP(N192,'Selector Sheet '!$B$13:$D$43,2,FALSE)</f>
        <v>0</v>
      </c>
      <c r="R192" s="291" t="str">
        <v>Materials</v>
      </c>
      <c r="S192" s="293">
        <f>P192*VLOOKUP(N192,'Selector Sheet '!$B$13:$D$43,2,FALSE)</f>
        <v>0</v>
      </c>
      <c r="T192" s="291"/>
      <c r="X192" s="291" t="str">
        <v>INE028A01039</v>
      </c>
      <c r="Z192" s="290" t="s">
        <v>927</v>
      </c>
      <c r="AB192" t="s">
        <v>1257</v>
      </c>
      <c r="AC192" t="s">
        <v>1258</v>
      </c>
      <c r="AD192" t="s">
        <v>831</v>
      </c>
      <c r="AE192">
        <v>6.54120057993426</v>
      </c>
      <c r="AF192">
        <v>13.7170301173012</v>
      </c>
      <c r="AG192">
        <v>207163.28</v>
      </c>
      <c r="AH192">
        <v>40.06</v>
      </c>
      <c r="AI192">
        <v>1264915188983.4</v>
      </c>
    </row>
    <row r="193" spans="1:35">
      <c r="A193" s="294" t="s">
        <v>931</v>
      </c>
      <c r="B193" t="s">
        <v>49</v>
      </c>
      <c r="C193" s="291" t="str">
        <v>Hindalco Industries Ltd</v>
      </c>
      <c r="D193" s="295">
        <v>0.004349530005471</v>
      </c>
      <c r="E193" s="293">
        <f t="shared" si="6"/>
        <v>0</v>
      </c>
      <c r="F193" s="291" t="str">
        <v>Materials</v>
      </c>
      <c r="G193" s="293">
        <f t="shared" si="7"/>
        <v>0</v>
      </c>
      <c r="H193" s="291"/>
      <c r="J193" s="36"/>
      <c r="M193" s="294" t="s">
        <v>829</v>
      </c>
      <c r="N193" s="300" t="s">
        <v>65</v>
      </c>
      <c r="O193" s="291" t="str">
        <v>Apollo Hospitals Enterprise Lt</v>
      </c>
      <c r="P193" s="301">
        <v>0.0037410268883453</v>
      </c>
      <c r="Q193" s="293">
        <f>P193*VLOOKUP(N193,'Selector Sheet '!$B$13:$D$43,2,FALSE)</f>
        <v>0</v>
      </c>
      <c r="R193" s="291" t="str">
        <v>Health Care</v>
      </c>
      <c r="S193" s="293">
        <f>P193*VLOOKUP(N193,'Selector Sheet '!$B$13:$D$43,2,FALSE)</f>
        <v>0</v>
      </c>
      <c r="T193" s="291"/>
      <c r="X193" s="291" t="str">
        <v>INE029A01011</v>
      </c>
      <c r="Z193" s="294" t="s">
        <v>931</v>
      </c>
      <c r="AB193" t="s">
        <v>853</v>
      </c>
      <c r="AC193" t="s">
        <v>1259</v>
      </c>
      <c r="AD193" t="s">
        <v>1001</v>
      </c>
      <c r="AE193">
        <v>10.0608779237424</v>
      </c>
      <c r="AF193">
        <v>16.9871593402055</v>
      </c>
      <c r="AG193">
        <v>133365.5</v>
      </c>
      <c r="AH193">
        <v>31.21</v>
      </c>
      <c r="AI193">
        <v>1362290723232</v>
      </c>
    </row>
    <row r="194" spans="1:35">
      <c r="A194" s="290" t="s">
        <v>1145</v>
      </c>
      <c r="B194" t="s">
        <v>49</v>
      </c>
      <c r="C194" s="291" t="str">
        <v>Hindustan Petroleum Corp Ltd</v>
      </c>
      <c r="D194" s="292">
        <v>0.00627726909080367</v>
      </c>
      <c r="E194" s="293">
        <f t="shared" si="6"/>
        <v>0</v>
      </c>
      <c r="F194" s="291" t="str">
        <v>Energy</v>
      </c>
      <c r="G194" s="293">
        <f t="shared" si="7"/>
        <v>0</v>
      </c>
      <c r="H194" s="291"/>
      <c r="J194" s="36"/>
      <c r="M194" s="290" t="s">
        <v>1260</v>
      </c>
      <c r="N194" s="298" t="s">
        <v>65</v>
      </c>
      <c r="O194" s="291" t="str">
        <v>Apollo Tyres Ltd</v>
      </c>
      <c r="P194" s="299">
        <v>0.0042676359745311</v>
      </c>
      <c r="Q194" s="293">
        <f>P194*VLOOKUP(N194,'Selector Sheet '!$B$13:$D$43,2,FALSE)</f>
        <v>0</v>
      </c>
      <c r="R194" s="291" t="str">
        <v>Consumer Discretionary</v>
      </c>
      <c r="S194" s="293">
        <f>P194*VLOOKUP(N194,'Selector Sheet '!$B$13:$D$43,2,FALSE)</f>
        <v>0</v>
      </c>
      <c r="T194" s="291"/>
      <c r="X194" s="291" t="str">
        <v>INE340A01012</v>
      </c>
      <c r="Z194" s="290" t="s">
        <v>1145</v>
      </c>
      <c r="AB194" t="s">
        <v>1261</v>
      </c>
      <c r="AC194" t="s">
        <v>1262</v>
      </c>
      <c r="AD194" t="s">
        <v>823</v>
      </c>
      <c r="AE194">
        <v>33.5680751173709</v>
      </c>
      <c r="AF194">
        <v>4.31342497455966</v>
      </c>
      <c r="AG194">
        <v>2952.3</v>
      </c>
      <c r="AH194">
        <v>38.34</v>
      </c>
      <c r="AI194">
        <v>99105881589</v>
      </c>
    </row>
    <row r="195" spans="1:35">
      <c r="A195" s="294" t="s">
        <v>934</v>
      </c>
      <c r="B195" t="s">
        <v>49</v>
      </c>
      <c r="C195" s="291" t="str">
        <v>Hindustan Unilever Ltd</v>
      </c>
      <c r="D195" s="295">
        <v>0.0106888954169369</v>
      </c>
      <c r="E195" s="293">
        <f t="shared" si="6"/>
        <v>0</v>
      </c>
      <c r="F195" s="291" t="str">
        <v>Consumer Staples</v>
      </c>
      <c r="G195" s="293">
        <f t="shared" si="7"/>
        <v>0</v>
      </c>
      <c r="H195" s="291"/>
      <c r="J195" s="36"/>
      <c r="M195" s="294" t="s">
        <v>1263</v>
      </c>
      <c r="N195" s="300" t="s">
        <v>65</v>
      </c>
      <c r="O195" s="291" t="str">
        <v>Astral Ltd</v>
      </c>
      <c r="P195" s="301">
        <v>0.00208599419804549</v>
      </c>
      <c r="Q195" s="293">
        <f>P195*VLOOKUP(N195,'Selector Sheet '!$B$13:$D$43,2,FALSE)</f>
        <v>0</v>
      </c>
      <c r="R195" s="291" t="str">
        <v>Industrials</v>
      </c>
      <c r="S195" s="293">
        <f>P195*VLOOKUP(N195,'Selector Sheet '!$B$13:$D$43,2,FALSE)</f>
        <v>0</v>
      </c>
      <c r="T195" s="291"/>
      <c r="X195" s="291" t="str">
        <v>INE522F01014</v>
      </c>
      <c r="Z195" s="294" t="s">
        <v>934</v>
      </c>
      <c r="AB195" t="s">
        <v>880</v>
      </c>
      <c r="AC195" t="s">
        <v>1264</v>
      </c>
      <c r="AD195" t="s">
        <v>1001</v>
      </c>
      <c r="AE195">
        <v>6.72041115204756</v>
      </c>
      <c r="AF195">
        <v>38.8904428032713</v>
      </c>
      <c r="AG195">
        <v>353581.6</v>
      </c>
      <c r="AH195">
        <v>57.37</v>
      </c>
      <c r="AI195">
        <v>2376039906474.85</v>
      </c>
    </row>
    <row r="196" spans="1:35">
      <c r="A196" s="290" t="s">
        <v>1179</v>
      </c>
      <c r="B196" t="s">
        <v>49</v>
      </c>
      <c r="C196" s="291" t="str">
        <v>Honeywell Automation India Ltd</v>
      </c>
      <c r="D196" s="292">
        <v>0.00155522568819039</v>
      </c>
      <c r="E196" s="293">
        <f t="shared" si="6"/>
        <v>0</v>
      </c>
      <c r="F196" s="291" t="str">
        <v>Information Technology</v>
      </c>
      <c r="G196" s="293">
        <f t="shared" si="7"/>
        <v>0</v>
      </c>
      <c r="H196" s="291"/>
      <c r="J196" s="36"/>
      <c r="M196" s="290" t="s">
        <v>1255</v>
      </c>
      <c r="N196" s="298" t="s">
        <v>65</v>
      </c>
      <c r="O196" s="291" t="str">
        <v>Aurobindo Pharma Ltd</v>
      </c>
      <c r="P196" s="299">
        <v>0</v>
      </c>
      <c r="Q196" s="293">
        <f>P196*VLOOKUP(N196,'Selector Sheet '!$B$13:$D$43,2,FALSE)</f>
        <v>0</v>
      </c>
      <c r="R196" s="291" t="str">
        <v>Health Care</v>
      </c>
      <c r="S196" s="293">
        <f>P196*VLOOKUP(N196,'Selector Sheet '!$B$13:$D$43,2,FALSE)</f>
        <v>0</v>
      </c>
      <c r="T196" s="291"/>
      <c r="X196" s="291" t="str">
        <v>INE271C01023</v>
      </c>
      <c r="Z196" s="290" t="s">
        <v>1179</v>
      </c>
      <c r="AB196" t="s">
        <v>1265</v>
      </c>
      <c r="AC196" t="s">
        <v>1266</v>
      </c>
      <c r="AD196" t="s">
        <v>998</v>
      </c>
      <c r="AE196">
        <v>43.6082766439909</v>
      </c>
      <c r="AF196">
        <v>10.655199770625</v>
      </c>
      <c r="AG196">
        <v>43676.215</v>
      </c>
      <c r="AH196">
        <v>17.64</v>
      </c>
      <c r="AI196">
        <v>1904133529840.5</v>
      </c>
    </row>
    <row r="197" spans="1:35">
      <c r="A197" s="294" t="s">
        <v>936</v>
      </c>
      <c r="B197" t="s">
        <v>49</v>
      </c>
      <c r="C197" s="291" t="str">
        <v>ICICI Bank Ltd</v>
      </c>
      <c r="D197" s="295">
        <v>0.0253058702933385</v>
      </c>
      <c r="E197" s="293">
        <f t="shared" si="6"/>
        <v>0</v>
      </c>
      <c r="F197" s="291" t="str">
        <v>Financials</v>
      </c>
      <c r="G197" s="293">
        <f t="shared" si="7"/>
        <v>0</v>
      </c>
      <c r="H197" s="291"/>
      <c r="J197" s="36"/>
      <c r="M197" s="294" t="s">
        <v>843</v>
      </c>
      <c r="N197" s="300" t="s">
        <v>65</v>
      </c>
      <c r="O197" s="291" t="str">
        <v>Axis Bank Ltd</v>
      </c>
      <c r="P197" s="301">
        <v>0.0132030437005027</v>
      </c>
      <c r="Q197" s="293">
        <f>P197*VLOOKUP(N197,'Selector Sheet '!$B$13:$D$43,2,FALSE)</f>
        <v>0</v>
      </c>
      <c r="R197" s="291" t="str">
        <v>Financials</v>
      </c>
      <c r="S197" s="293">
        <f>P197*VLOOKUP(N197,'Selector Sheet '!$B$13:$D$43,2,FALSE)</f>
        <v>0</v>
      </c>
      <c r="T197" s="291"/>
      <c r="X197" s="291" t="str">
        <v>INE322A01010</v>
      </c>
      <c r="Z197" s="294" t="s">
        <v>936</v>
      </c>
      <c r="AB197" t="s">
        <v>1267</v>
      </c>
      <c r="AC197" t="s">
        <v>1268</v>
      </c>
      <c r="AD197" t="s">
        <v>980</v>
      </c>
      <c r="AE197">
        <v>81.3668396938069</v>
      </c>
      <c r="AF197">
        <v>42.007417875345</v>
      </c>
      <c r="AG197">
        <v>4117</v>
      </c>
      <c r="AH197">
        <v>126.35</v>
      </c>
      <c r="AI197">
        <v>334998840411.9</v>
      </c>
    </row>
    <row r="198" spans="1:35">
      <c r="A198" s="290" t="s">
        <v>1117</v>
      </c>
      <c r="B198" t="s">
        <v>49</v>
      </c>
      <c r="C198" s="291" t="str">
        <v>ICICI Lombard General Insuranc</v>
      </c>
      <c r="D198" s="292">
        <v>0.00407840116568018</v>
      </c>
      <c r="E198" s="293">
        <f t="shared" si="6"/>
        <v>0</v>
      </c>
      <c r="F198" s="291" t="str">
        <v>Financials</v>
      </c>
      <c r="G198" s="293">
        <f t="shared" si="7"/>
        <v>0</v>
      </c>
      <c r="H198" s="291"/>
      <c r="J198" s="36"/>
      <c r="M198" s="290" t="s">
        <v>839</v>
      </c>
      <c r="N198" s="298" t="s">
        <v>65</v>
      </c>
      <c r="O198" s="291" t="str">
        <v>Bajaj Auto Ltd</v>
      </c>
      <c r="P198" s="299">
        <v>0.00218888348535762</v>
      </c>
      <c r="Q198" s="293">
        <f>P198*VLOOKUP(N198,'Selector Sheet '!$B$13:$D$43,2,FALSE)</f>
        <v>0</v>
      </c>
      <c r="R198" s="291" t="str">
        <v>Consumer Discretionary</v>
      </c>
      <c r="S198" s="293">
        <f>P198*VLOOKUP(N198,'Selector Sheet '!$B$13:$D$43,2,FALSE)</f>
        <v>0</v>
      </c>
      <c r="T198" s="291"/>
      <c r="X198" s="291" t="str">
        <v>INE517F01014</v>
      </c>
      <c r="Z198" s="290" t="s">
        <v>1117</v>
      </c>
      <c r="AB198" t="s">
        <v>1269</v>
      </c>
      <c r="AC198" t="s">
        <v>1270</v>
      </c>
      <c r="AD198" t="s">
        <v>813</v>
      </c>
      <c r="AE198">
        <v>18.8270410869938</v>
      </c>
      <c r="AF198">
        <v>17.0688832498552</v>
      </c>
      <c r="AG198">
        <v>3968.96</v>
      </c>
      <c r="AH198">
        <v>8.21</v>
      </c>
      <c r="AI198">
        <v>74725306888.7</v>
      </c>
    </row>
    <row r="199" spans="1:35">
      <c r="A199" s="294" t="s">
        <v>1152</v>
      </c>
      <c r="B199" t="s">
        <v>49</v>
      </c>
      <c r="C199" s="291" t="str">
        <v>ICICI Prudential Life Insuranc</v>
      </c>
      <c r="D199" s="295">
        <v>0.00254017614664512</v>
      </c>
      <c r="E199" s="293">
        <f t="shared" si="6"/>
        <v>0</v>
      </c>
      <c r="F199" s="291" t="str">
        <v>Financials</v>
      </c>
      <c r="G199" s="293">
        <f t="shared" si="7"/>
        <v>0</v>
      </c>
      <c r="H199" s="291"/>
      <c r="J199" s="36"/>
      <c r="M199" s="294" t="s">
        <v>842</v>
      </c>
      <c r="N199" s="300" t="s">
        <v>65</v>
      </c>
      <c r="O199" s="291" t="str">
        <v>Bajaj Finance Ltd</v>
      </c>
      <c r="P199" s="301">
        <v>0.0134902658403386</v>
      </c>
      <c r="Q199" s="293">
        <f>P199*VLOOKUP(N199,'Selector Sheet '!$B$13:$D$43,2,FALSE)</f>
        <v>0</v>
      </c>
      <c r="R199" s="291" t="str">
        <v>Financials</v>
      </c>
      <c r="S199" s="293">
        <f>P199*VLOOKUP(N199,'Selector Sheet '!$B$13:$D$43,2,FALSE)</f>
        <v>0</v>
      </c>
      <c r="T199" s="291"/>
      <c r="X199" s="291" t="str">
        <v>INE066F01020</v>
      </c>
      <c r="Z199" s="294" t="s">
        <v>1152</v>
      </c>
      <c r="AB199" t="s">
        <v>1271</v>
      </c>
      <c r="AC199" t="s">
        <v>1272</v>
      </c>
      <c r="AD199" t="s">
        <v>813</v>
      </c>
      <c r="AE199">
        <v>36.7586706365173</v>
      </c>
      <c r="AF199" t="s">
        <v>824</v>
      </c>
      <c r="AG199">
        <v>83641.3</v>
      </c>
      <c r="AH199">
        <v>125.07</v>
      </c>
      <c r="AI199">
        <v>3054964200000</v>
      </c>
    </row>
    <row r="200" spans="1:35">
      <c r="A200" s="290" t="s">
        <v>1184</v>
      </c>
      <c r="B200" t="s">
        <v>49</v>
      </c>
      <c r="C200" s="291" t="str">
        <v>IndiaMart InterMesh Ltd</v>
      </c>
      <c r="D200" s="292">
        <v>0.00461302747201244</v>
      </c>
      <c r="E200" s="293">
        <f t="shared" si="6"/>
        <v>0</v>
      </c>
      <c r="F200" s="291" t="str">
        <v>Industrials</v>
      </c>
      <c r="G200" s="293">
        <f t="shared" si="7"/>
        <v>0</v>
      </c>
      <c r="H200" s="291"/>
      <c r="J200" s="36"/>
      <c r="M200" s="290" t="s">
        <v>848</v>
      </c>
      <c r="N200" s="298" t="s">
        <v>65</v>
      </c>
      <c r="O200" s="291" t="str">
        <v>Bajaj Finserv Ltd</v>
      </c>
      <c r="P200" s="299">
        <v>0.000183277957924314</v>
      </c>
      <c r="Q200" s="293">
        <f>P200*VLOOKUP(N200,'Selector Sheet '!$B$13:$D$43,2,FALSE)</f>
        <v>0</v>
      </c>
      <c r="R200" s="291" t="str">
        <v>Financials</v>
      </c>
      <c r="S200" s="293">
        <f>P200*VLOOKUP(N200,'Selector Sheet '!$B$13:$D$43,2,FALSE)</f>
        <v>0</v>
      </c>
      <c r="T200" s="291"/>
      <c r="X200" s="291" t="str">
        <v>INE0V6F01027</v>
      </c>
      <c r="Z200" s="290" t="s">
        <v>1184</v>
      </c>
      <c r="AB200" t="s">
        <v>1273</v>
      </c>
      <c r="AC200" t="s">
        <v>1274</v>
      </c>
      <c r="AD200" t="s">
        <v>838</v>
      </c>
      <c r="AE200">
        <v>34.533928828699</v>
      </c>
      <c r="AF200">
        <v>41.8380571084131</v>
      </c>
      <c r="AG200">
        <v>56402.14</v>
      </c>
      <c r="AH200">
        <v>69.41</v>
      </c>
      <c r="AI200">
        <v>1947661016700</v>
      </c>
    </row>
    <row r="201" spans="1:35">
      <c r="A201" s="294" t="s">
        <v>1186</v>
      </c>
      <c r="B201" t="s">
        <v>49</v>
      </c>
      <c r="C201" s="291" t="str">
        <v>Indian Railway Catering &amp; Tour</v>
      </c>
      <c r="D201" s="295">
        <v>0.00435367262804099</v>
      </c>
      <c r="E201" s="293">
        <f t="shared" si="6"/>
        <v>0</v>
      </c>
      <c r="F201" s="291" t="str">
        <v>Industrials</v>
      </c>
      <c r="G201" s="293">
        <f t="shared" si="7"/>
        <v>0</v>
      </c>
      <c r="H201" s="291"/>
      <c r="J201" s="36"/>
      <c r="M201" s="294" t="s">
        <v>1257</v>
      </c>
      <c r="N201" s="300" t="s">
        <v>65</v>
      </c>
      <c r="O201" s="291" t="str">
        <v>Bank of Baroda</v>
      </c>
      <c r="P201" s="301">
        <v>0.00278509280657622</v>
      </c>
      <c r="Q201" s="293">
        <f>P201*VLOOKUP(N201,'Selector Sheet '!$B$13:$D$43,2,FALSE)</f>
        <v>0</v>
      </c>
      <c r="R201" s="291" t="str">
        <v>Financials</v>
      </c>
      <c r="S201" s="293">
        <f>P201*VLOOKUP(N201,'Selector Sheet '!$B$13:$D$43,2,FALSE)</f>
        <v>0</v>
      </c>
      <c r="T201" s="291"/>
      <c r="X201" s="291" t="str">
        <v>INE242A01010</v>
      </c>
      <c r="Z201" s="294" t="s">
        <v>1186</v>
      </c>
      <c r="AB201" t="s">
        <v>1275</v>
      </c>
      <c r="AC201" t="s">
        <v>1276</v>
      </c>
      <c r="AD201" t="s">
        <v>1001</v>
      </c>
      <c r="AE201">
        <v>14.1337386018237</v>
      </c>
      <c r="AF201">
        <v>7.35209950246766</v>
      </c>
      <c r="AG201">
        <v>135978.4</v>
      </c>
      <c r="AH201">
        <v>9.87</v>
      </c>
      <c r="AI201">
        <v>1969912754428.5</v>
      </c>
    </row>
    <row r="202" spans="1:35">
      <c r="A202" s="290" t="s">
        <v>1155</v>
      </c>
      <c r="B202" t="s">
        <v>49</v>
      </c>
      <c r="C202" s="291" t="str">
        <v>IndusInd Bank Ltd</v>
      </c>
      <c r="D202" s="292">
        <v>0.0220973080208479</v>
      </c>
      <c r="E202" s="293">
        <f t="shared" si="6"/>
        <v>0</v>
      </c>
      <c r="F202" s="291" t="str">
        <v>Financials</v>
      </c>
      <c r="G202" s="293">
        <f t="shared" si="7"/>
        <v>0</v>
      </c>
      <c r="H202" s="291"/>
      <c r="J202" s="36"/>
      <c r="M202" s="290" t="s">
        <v>850</v>
      </c>
      <c r="N202" s="298" t="s">
        <v>65</v>
      </c>
      <c r="O202" s="291" t="str">
        <v>Bharat Electronics Ltd</v>
      </c>
      <c r="P202" s="299">
        <v>0.00370093519143266</v>
      </c>
      <c r="Q202" s="293">
        <f>P202*VLOOKUP(N202,'Selector Sheet '!$B$13:$D$43,2,FALSE)</f>
        <v>0</v>
      </c>
      <c r="R202" s="291" t="str">
        <v>Industrials</v>
      </c>
      <c r="S202" s="293">
        <f>P202*VLOOKUP(N202,'Selector Sheet '!$B$13:$D$43,2,FALSE)</f>
        <v>0</v>
      </c>
      <c r="T202" s="291"/>
      <c r="X202" s="291" t="str">
        <v>INE0J1Y01017</v>
      </c>
      <c r="Z202" s="290" t="s">
        <v>1155</v>
      </c>
      <c r="AB202" t="s">
        <v>1277</v>
      </c>
      <c r="AC202" t="s">
        <v>1278</v>
      </c>
      <c r="AD202" t="s">
        <v>831</v>
      </c>
      <c r="AE202">
        <v>12.0297459210818</v>
      </c>
      <c r="AF202">
        <v>50.290536995044</v>
      </c>
      <c r="AG202">
        <v>527983.4</v>
      </c>
      <c r="AH202">
        <v>83.475667</v>
      </c>
      <c r="AI202">
        <v>5768397903312</v>
      </c>
    </row>
    <row r="203" spans="1:35">
      <c r="A203" s="294" t="s">
        <v>1119</v>
      </c>
      <c r="B203" t="s">
        <v>49</v>
      </c>
      <c r="C203" s="291" t="str">
        <v>Info Edge India Ltd</v>
      </c>
      <c r="D203" s="295">
        <v>0.00119787609640555</v>
      </c>
      <c r="E203" s="293">
        <f t="shared" si="6"/>
        <v>0</v>
      </c>
      <c r="F203" s="291" t="str">
        <v>Communication Services</v>
      </c>
      <c r="G203" s="293">
        <f t="shared" si="7"/>
        <v>0</v>
      </c>
      <c r="H203" s="291"/>
      <c r="J203" s="36"/>
      <c r="M203" s="294" t="s">
        <v>853</v>
      </c>
      <c r="N203" s="300" t="s">
        <v>65</v>
      </c>
      <c r="O203" s="291" t="str">
        <v>Bharat Petroleum Corp Ltd</v>
      </c>
      <c r="P203" s="301">
        <v>0.00954059790661812</v>
      </c>
      <c r="Q203" s="293">
        <f>P203*VLOOKUP(N203,'Selector Sheet '!$B$13:$D$43,2,FALSE)</f>
        <v>0</v>
      </c>
      <c r="R203" s="291" t="str">
        <v>Energy</v>
      </c>
      <c r="S203" s="293">
        <f>P203*VLOOKUP(N203,'Selector Sheet '!$B$13:$D$43,2,FALSE)</f>
        <v>0</v>
      </c>
      <c r="T203" s="291"/>
      <c r="X203" s="291" t="str">
        <v>INE326A01037</v>
      </c>
      <c r="Z203" s="294" t="s">
        <v>1119</v>
      </c>
      <c r="AB203" t="s">
        <v>978</v>
      </c>
      <c r="AC203" t="s">
        <v>1279</v>
      </c>
      <c r="AD203" t="s">
        <v>819</v>
      </c>
      <c r="AE203">
        <v>27.207782843446</v>
      </c>
      <c r="AF203">
        <v>20.8397909556138</v>
      </c>
      <c r="AG203">
        <v>32816.2</v>
      </c>
      <c r="AH203">
        <v>71.95</v>
      </c>
      <c r="AI203">
        <v>894128569292.8</v>
      </c>
    </row>
    <row r="204" spans="1:35">
      <c r="A204" s="290" t="s">
        <v>955</v>
      </c>
      <c r="B204" t="s">
        <v>49</v>
      </c>
      <c r="C204" s="291" t="str">
        <v>Infosys Ltd</v>
      </c>
      <c r="D204" s="292">
        <v>0.0247402151847245</v>
      </c>
      <c r="E204" s="293">
        <f t="shared" si="6"/>
        <v>0</v>
      </c>
      <c r="F204" s="291" t="str">
        <v>Information Technology</v>
      </c>
      <c r="G204" s="293">
        <f t="shared" si="7"/>
        <v>0</v>
      </c>
      <c r="H204" s="291"/>
      <c r="J204" s="36"/>
      <c r="M204" s="290" t="s">
        <v>855</v>
      </c>
      <c r="N204" s="298" t="s">
        <v>65</v>
      </c>
      <c r="O204" s="291" t="str">
        <v>Bharti Airtel Ltd</v>
      </c>
      <c r="P204" s="299">
        <v>0.0204880089532155</v>
      </c>
      <c r="Q204" s="293">
        <f>P204*VLOOKUP(N204,'Selector Sheet '!$B$13:$D$43,2,FALSE)</f>
        <v>0</v>
      </c>
      <c r="R204" s="291" t="str">
        <v>Communication Services</v>
      </c>
      <c r="S204" s="293">
        <f>P204*VLOOKUP(N204,'Selector Sheet '!$B$13:$D$43,2,FALSE)</f>
        <v>0</v>
      </c>
      <c r="T204" s="291"/>
      <c r="X204" s="291" t="str">
        <v>INE180A01020</v>
      </c>
      <c r="Z204" s="290" t="s">
        <v>955</v>
      </c>
      <c r="AB204" t="s">
        <v>1181</v>
      </c>
      <c r="AC204" t="s">
        <v>1280</v>
      </c>
      <c r="AD204" t="s">
        <v>831</v>
      </c>
      <c r="AE204">
        <v>172.816204051948</v>
      </c>
      <c r="AF204">
        <v>7.15960710756151</v>
      </c>
      <c r="AG204">
        <v>3272.1</v>
      </c>
      <c r="AH204">
        <v>9.4816</v>
      </c>
      <c r="AI204">
        <v>571302991913.4</v>
      </c>
    </row>
    <row r="205" spans="1:35">
      <c r="A205" s="294" t="s">
        <v>958</v>
      </c>
      <c r="B205" t="s">
        <v>49</v>
      </c>
      <c r="C205" s="291" t="str">
        <v>InterGlobe Aviation Ltd</v>
      </c>
      <c r="D205" s="295">
        <v>0.0076277167289431</v>
      </c>
      <c r="E205" s="293">
        <f t="shared" si="6"/>
        <v>0</v>
      </c>
      <c r="F205" s="291" t="str">
        <v>Industrials</v>
      </c>
      <c r="G205" s="293">
        <f t="shared" si="7"/>
        <v>0</v>
      </c>
      <c r="H205" s="291"/>
      <c r="J205" s="36"/>
      <c r="M205" s="294" t="s">
        <v>859</v>
      </c>
      <c r="N205" s="300" t="s">
        <v>65</v>
      </c>
      <c r="O205" s="291" t="str">
        <v>Biocon Ltd</v>
      </c>
      <c r="P205" s="301">
        <v>7.25368335123889e-5</v>
      </c>
      <c r="Q205" s="293">
        <f>P205*VLOOKUP(N205,'Selector Sheet '!$B$13:$D$43,2,FALSE)</f>
        <v>0</v>
      </c>
      <c r="R205" s="291" t="str">
        <v>Health Care</v>
      </c>
      <c r="S205" s="293">
        <f>P205*VLOOKUP(N205,'Selector Sheet '!$B$13:$D$43,2,FALSE)</f>
        <v>0</v>
      </c>
      <c r="T205" s="291"/>
      <c r="X205" s="291" t="str">
        <v>INE848E01016</v>
      </c>
      <c r="Z205" s="294" t="s">
        <v>958</v>
      </c>
      <c r="AB205" t="s">
        <v>1281</v>
      </c>
      <c r="AC205" t="s">
        <v>1282</v>
      </c>
      <c r="AD205" t="s">
        <v>994</v>
      </c>
      <c r="AE205">
        <v>27.6761384962577</v>
      </c>
      <c r="AF205">
        <v>7.67295388832036</v>
      </c>
      <c r="AG205">
        <v>30066.7</v>
      </c>
      <c r="AH205">
        <v>2.993192</v>
      </c>
      <c r="AI205">
        <v>832130683246.2</v>
      </c>
    </row>
    <row r="206" spans="1:35">
      <c r="A206" s="290" t="s">
        <v>1189</v>
      </c>
      <c r="B206" t="s">
        <v>49</v>
      </c>
      <c r="C206" s="291" t="str">
        <v>International Gemmological Ins</v>
      </c>
      <c r="D206" s="292">
        <v>0.00329931710983116</v>
      </c>
      <c r="E206" s="293">
        <f t="shared" si="6"/>
        <v>0</v>
      </c>
      <c r="F206" s="291" t="str">
        <v>Industrials</v>
      </c>
      <c r="G206" s="293">
        <f t="shared" si="7"/>
        <v>0</v>
      </c>
      <c r="H206" s="291"/>
      <c r="J206" s="36"/>
      <c r="M206" s="290" t="s">
        <v>1283</v>
      </c>
      <c r="N206" s="298" t="s">
        <v>65</v>
      </c>
      <c r="O206" s="291" t="str">
        <v>Bosch Ltd</v>
      </c>
      <c r="P206" s="299">
        <v>0.00645591503379389</v>
      </c>
      <c r="Q206" s="293">
        <f>P206*VLOOKUP(N206,'Selector Sheet '!$B$13:$D$43,2,FALSE)</f>
        <v>0</v>
      </c>
      <c r="R206" s="291" t="str">
        <v>Consumer Discretionary</v>
      </c>
      <c r="S206" s="293">
        <f>P206*VLOOKUP(N206,'Selector Sheet '!$B$13:$D$43,2,FALSE)</f>
        <v>0</v>
      </c>
      <c r="T206" s="291"/>
      <c r="X206" s="291" t="str">
        <v>INE752E01010</v>
      </c>
      <c r="Z206" s="290" t="s">
        <v>1189</v>
      </c>
      <c r="AB206" t="s">
        <v>1023</v>
      </c>
      <c r="AC206" t="s">
        <v>1284</v>
      </c>
      <c r="AD206" t="s">
        <v>994</v>
      </c>
      <c r="AE206">
        <v>17.3606950269623</v>
      </c>
      <c r="AF206">
        <v>17.264467549594</v>
      </c>
      <c r="AG206">
        <v>155214.4</v>
      </c>
      <c r="AH206">
        <v>16.69</v>
      </c>
      <c r="AI206">
        <v>2694849956555.25</v>
      </c>
    </row>
    <row r="207" spans="1:35">
      <c r="A207" s="294" t="s">
        <v>961</v>
      </c>
      <c r="B207" t="s">
        <v>49</v>
      </c>
      <c r="C207" s="291" t="str">
        <v>ITC Ltd</v>
      </c>
      <c r="D207" s="295">
        <v>0.00341358552450048</v>
      </c>
      <c r="E207" s="293">
        <f t="shared" si="6"/>
        <v>0</v>
      </c>
      <c r="F207" s="291" t="str">
        <v>Consumer Staples</v>
      </c>
      <c r="G207" s="293">
        <f t="shared" si="7"/>
        <v>0</v>
      </c>
      <c r="H207" s="291"/>
      <c r="J207" s="36"/>
      <c r="M207" s="294" t="s">
        <v>1285</v>
      </c>
      <c r="N207" s="300" t="s">
        <v>65</v>
      </c>
      <c r="O207" s="291" t="str">
        <v>Canara Bank</v>
      </c>
      <c r="P207" s="301">
        <v>0.00113106939381212</v>
      </c>
      <c r="Q207" s="293">
        <f>P207*VLOOKUP(N207,'Selector Sheet '!$B$13:$D$43,2,FALSE)</f>
        <v>0</v>
      </c>
      <c r="R207" s="291" t="str">
        <v>Financials</v>
      </c>
      <c r="S207" s="293">
        <f>P207*VLOOKUP(N207,'Selector Sheet '!$B$13:$D$43,2,FALSE)</f>
        <v>0</v>
      </c>
      <c r="T207" s="291"/>
      <c r="X207" s="291" t="str">
        <v>INE692A01016</v>
      </c>
      <c r="Z207" s="294" t="s">
        <v>961</v>
      </c>
      <c r="AB207" t="s">
        <v>1073</v>
      </c>
      <c r="AC207" t="s">
        <v>1286</v>
      </c>
      <c r="AD207" t="s">
        <v>831</v>
      </c>
      <c r="AE207">
        <v>5.56006493506494</v>
      </c>
      <c r="AF207">
        <v>16.7629171673657</v>
      </c>
      <c r="AG207">
        <v>180269.508</v>
      </c>
      <c r="AH207">
        <v>23.62</v>
      </c>
      <c r="AI207">
        <v>1045803968159</v>
      </c>
    </row>
    <row r="208" spans="1:35">
      <c r="A208" s="290" t="s">
        <v>1167</v>
      </c>
      <c r="B208" t="s">
        <v>49</v>
      </c>
      <c r="C208" s="291" t="str">
        <v>Kalpataru Projects Internation</v>
      </c>
      <c r="D208" s="292">
        <v>0.00626729754447218</v>
      </c>
      <c r="E208" s="293">
        <f t="shared" si="6"/>
        <v>0</v>
      </c>
      <c r="F208" s="291" t="str">
        <v>Industrials</v>
      </c>
      <c r="G208" s="293">
        <f t="shared" si="7"/>
        <v>0</v>
      </c>
      <c r="H208" s="291"/>
      <c r="J208" s="36"/>
      <c r="M208" s="290" t="s">
        <v>869</v>
      </c>
      <c r="N208" s="298" t="s">
        <v>65</v>
      </c>
      <c r="O208" s="291" t="str">
        <v>Carborundum Universal Ltd</v>
      </c>
      <c r="P208" s="299">
        <v>0.00293972895059182</v>
      </c>
      <c r="Q208" s="293">
        <f>P208*VLOOKUP(N208,'Selector Sheet '!$B$13:$D$43,2,FALSE)</f>
        <v>0</v>
      </c>
      <c r="R208" s="291" t="str">
        <v>Materials</v>
      </c>
      <c r="S208" s="293">
        <f>P208*VLOOKUP(N208,'Selector Sheet '!$B$13:$D$43,2,FALSE)</f>
        <v>0</v>
      </c>
      <c r="T208" s="291"/>
      <c r="X208" s="291" t="str">
        <v>INE075A01022</v>
      </c>
      <c r="Z208" s="290" t="s">
        <v>1167</v>
      </c>
      <c r="AB208" t="s">
        <v>1287</v>
      </c>
      <c r="AC208" t="s">
        <v>1288</v>
      </c>
      <c r="AD208" t="s">
        <v>884</v>
      </c>
      <c r="AE208">
        <v>19.2921517704843</v>
      </c>
      <c r="AF208">
        <v>16.3282385160425</v>
      </c>
      <c r="AG208">
        <v>131354</v>
      </c>
      <c r="AH208">
        <v>12.56</v>
      </c>
      <c r="AI208">
        <v>2602869780189</v>
      </c>
    </row>
    <row r="209" spans="1:35">
      <c r="A209" s="294" t="s">
        <v>1193</v>
      </c>
      <c r="B209" t="s">
        <v>49</v>
      </c>
      <c r="C209" s="291" t="str">
        <v>KSB Ltd</v>
      </c>
      <c r="D209" s="295">
        <v>0.00202951510546073</v>
      </c>
      <c r="E209" s="293">
        <f t="shared" si="6"/>
        <v>0</v>
      </c>
      <c r="F209" s="291" t="str">
        <v>Industrials</v>
      </c>
      <c r="G209" s="293">
        <f t="shared" si="7"/>
        <v>0</v>
      </c>
      <c r="H209" s="291"/>
      <c r="J209" s="36"/>
      <c r="M209" s="294" t="s">
        <v>878</v>
      </c>
      <c r="N209" s="300" t="s">
        <v>65</v>
      </c>
      <c r="O209" s="291" t="str">
        <v>Cipla Ltd/India</v>
      </c>
      <c r="P209" s="301">
        <v>0.0028433001799348</v>
      </c>
      <c r="Q209" s="293">
        <f>P209*VLOOKUP(N209,'Selector Sheet '!$B$13:$D$43,2,FALSE)</f>
        <v>0</v>
      </c>
      <c r="R209" s="291" t="str">
        <v>Health Care</v>
      </c>
      <c r="S209" s="293">
        <f>P209*VLOOKUP(N209,'Selector Sheet '!$B$13:$D$43,2,FALSE)</f>
        <v>0</v>
      </c>
      <c r="T209" s="291"/>
      <c r="X209" s="291" t="str">
        <v>INE742F01042</v>
      </c>
      <c r="Z209" s="294" t="s">
        <v>1193</v>
      </c>
      <c r="AB209" t="s">
        <v>1094</v>
      </c>
      <c r="AC209" t="s">
        <v>1289</v>
      </c>
      <c r="AD209" t="s">
        <v>813</v>
      </c>
      <c r="AE209">
        <v>25.5365150696811</v>
      </c>
      <c r="AF209">
        <v>19.2274131011779</v>
      </c>
      <c r="AG209">
        <v>110923.1</v>
      </c>
      <c r="AH209">
        <v>51.35</v>
      </c>
      <c r="AI209">
        <v>2832590198578.5</v>
      </c>
    </row>
    <row r="210" spans="1:35">
      <c r="A210" s="290" t="s">
        <v>975</v>
      </c>
      <c r="B210" t="s">
        <v>49</v>
      </c>
      <c r="C210" s="291" t="str">
        <v>Larsen &amp; Toubro Ltd</v>
      </c>
      <c r="D210" s="292">
        <v>0.0325559544965222</v>
      </c>
      <c r="E210" s="293">
        <f t="shared" si="6"/>
        <v>0</v>
      </c>
      <c r="F210" s="291" t="str">
        <v>Industrials</v>
      </c>
      <c r="G210" s="293">
        <f t="shared" si="7"/>
        <v>0</v>
      </c>
      <c r="H210" s="291"/>
      <c r="J210" s="36"/>
      <c r="M210" s="290" t="s">
        <v>880</v>
      </c>
      <c r="N210" s="298" t="s">
        <v>65</v>
      </c>
      <c r="O210" s="291" t="str">
        <v>Coal India Ltd</v>
      </c>
      <c r="P210" s="299">
        <v>0.0018026381043633</v>
      </c>
      <c r="Q210" s="293">
        <f>P210*VLOOKUP(N210,'Selector Sheet '!$B$13:$D$43,2,FALSE)</f>
        <v>0</v>
      </c>
      <c r="R210" s="291" t="str">
        <v>Energy</v>
      </c>
      <c r="S210" s="293">
        <f>P210*VLOOKUP(N210,'Selector Sheet '!$B$13:$D$43,2,FALSE)</f>
        <v>0</v>
      </c>
      <c r="T210" s="291"/>
      <c r="X210" s="291" t="str">
        <v>INE0CZ201020</v>
      </c>
      <c r="Z210" s="290" t="s">
        <v>975</v>
      </c>
      <c r="AB210" t="s">
        <v>826</v>
      </c>
      <c r="AC210" t="s">
        <v>1290</v>
      </c>
      <c r="AD210" t="s">
        <v>819</v>
      </c>
      <c r="AE210" t="s">
        <v>824</v>
      </c>
      <c r="AF210">
        <v>20.8216874813561</v>
      </c>
      <c r="AG210">
        <v>4512.6</v>
      </c>
      <c r="AH210" t="s">
        <v>824</v>
      </c>
      <c r="AI210">
        <v>449877731353.55</v>
      </c>
    </row>
    <row r="211" spans="1:35">
      <c r="A211" s="294" t="s">
        <v>1172</v>
      </c>
      <c r="B211" t="s">
        <v>49</v>
      </c>
      <c r="C211" s="291" t="str">
        <v>LIC Housing Finance Ltd</v>
      </c>
      <c r="D211" s="295">
        <v>0.00156408307123463</v>
      </c>
      <c r="E211" s="293">
        <f t="shared" si="6"/>
        <v>0</v>
      </c>
      <c r="F211" s="291" t="str">
        <v>Financials</v>
      </c>
      <c r="G211" s="293">
        <f t="shared" si="7"/>
        <v>0</v>
      </c>
      <c r="H211" s="291"/>
      <c r="J211" s="36"/>
      <c r="M211" s="294" t="s">
        <v>888</v>
      </c>
      <c r="N211" s="300" t="s">
        <v>65</v>
      </c>
      <c r="O211" s="291" t="str">
        <v>Container Corp Of India Ltd</v>
      </c>
      <c r="P211" s="301">
        <v>4.12264213736791e-6</v>
      </c>
      <c r="Q211" s="293">
        <f>P211*VLOOKUP(N211,'Selector Sheet '!$B$13:$D$43,2,FALSE)</f>
        <v>0</v>
      </c>
      <c r="R211" s="291" t="str">
        <v>Industrials</v>
      </c>
      <c r="S211" s="293">
        <f>P211*VLOOKUP(N211,'Selector Sheet '!$B$13:$D$43,2,FALSE)</f>
        <v>0</v>
      </c>
      <c r="T211" s="291"/>
      <c r="X211" s="291" t="str">
        <v>INE437A01024</v>
      </c>
      <c r="Z211" s="294" t="s">
        <v>1172</v>
      </c>
      <c r="AB211" t="s">
        <v>829</v>
      </c>
      <c r="AC211" t="s">
        <v>1291</v>
      </c>
      <c r="AD211" t="s">
        <v>819</v>
      </c>
      <c r="AE211">
        <v>72.0643333637942</v>
      </c>
      <c r="AF211" t="s">
        <v>824</v>
      </c>
      <c r="AG211">
        <v>14459</v>
      </c>
      <c r="AH211">
        <v>100.56</v>
      </c>
      <c r="AI211">
        <v>1133885805102</v>
      </c>
    </row>
    <row r="212" spans="1:35">
      <c r="A212" s="290" t="s">
        <v>982</v>
      </c>
      <c r="B212" t="s">
        <v>49</v>
      </c>
      <c r="C212" s="291" t="str">
        <v>Mahindra &amp; Mahindra Financial</v>
      </c>
      <c r="D212" s="292">
        <v>0.0072174852480068</v>
      </c>
      <c r="E212" s="293">
        <f t="shared" si="6"/>
        <v>0</v>
      </c>
      <c r="F212" s="291" t="str">
        <v>Financials</v>
      </c>
      <c r="G212" s="293">
        <f t="shared" si="7"/>
        <v>0</v>
      </c>
      <c r="H212" s="291"/>
      <c r="J212" s="36"/>
      <c r="M212" s="290" t="s">
        <v>886</v>
      </c>
      <c r="N212" s="298" t="s">
        <v>65</v>
      </c>
      <c r="O212" s="291" t="str">
        <v>Coromandel International Ltd</v>
      </c>
      <c r="P212" s="299">
        <v>0.012061031913521</v>
      </c>
      <c r="Q212" s="293">
        <f>P212*VLOOKUP(N212,'Selector Sheet '!$B$13:$D$43,2,FALSE)</f>
        <v>0</v>
      </c>
      <c r="R212" s="291" t="str">
        <v>Materials</v>
      </c>
      <c r="S212" s="293">
        <f>P212*VLOOKUP(N212,'Selector Sheet '!$B$13:$D$43,2,FALSE)</f>
        <v>0</v>
      </c>
      <c r="T212" s="291"/>
      <c r="X212" s="291" t="str">
        <v>INE438A01022</v>
      </c>
      <c r="Z212" s="290" t="s">
        <v>982</v>
      </c>
      <c r="AB212" t="s">
        <v>1260</v>
      </c>
      <c r="AC212" t="s">
        <v>1292</v>
      </c>
      <c r="AD212" t="s">
        <v>838</v>
      </c>
      <c r="AE212">
        <v>25.206681421092</v>
      </c>
      <c r="AF212">
        <v>7.8228305932869</v>
      </c>
      <c r="AG212">
        <v>11213.2</v>
      </c>
      <c r="AH212">
        <v>17.66</v>
      </c>
      <c r="AI212">
        <v>282715186111.9</v>
      </c>
    </row>
    <row r="213" spans="1:35">
      <c r="A213" s="294" t="s">
        <v>990</v>
      </c>
      <c r="B213" t="s">
        <v>49</v>
      </c>
      <c r="C213" s="291" t="str">
        <v>Maruti Suzuki India Ltd</v>
      </c>
      <c r="D213" s="295">
        <v>0.0473953404550768</v>
      </c>
      <c r="E213" s="293">
        <f t="shared" si="6"/>
        <v>0</v>
      </c>
      <c r="F213" s="291" t="str">
        <v>Consumer Discretionary</v>
      </c>
      <c r="G213" s="293">
        <f t="shared" si="7"/>
        <v>0</v>
      </c>
      <c r="H213" s="291"/>
      <c r="J213" s="36"/>
      <c r="M213" s="294" t="s">
        <v>897</v>
      </c>
      <c r="N213" s="300" t="s">
        <v>65</v>
      </c>
      <c r="O213" s="291" t="str">
        <v>Cummins India Ltd</v>
      </c>
      <c r="P213" s="301">
        <v>0.00116777972587349</v>
      </c>
      <c r="Q213" s="293">
        <f>P213*VLOOKUP(N213,'Selector Sheet '!$B$13:$D$43,2,FALSE)</f>
        <v>0</v>
      </c>
      <c r="R213" s="291" t="str">
        <v>Industrials</v>
      </c>
      <c r="S213" s="293">
        <f>P213*VLOOKUP(N213,'Selector Sheet '!$B$13:$D$43,2,FALSE)</f>
        <v>0</v>
      </c>
      <c r="T213" s="291"/>
      <c r="X213" s="291" t="str">
        <v>INE386C01029</v>
      </c>
      <c r="Z213" s="294" t="s">
        <v>990</v>
      </c>
      <c r="AB213" t="s">
        <v>1293</v>
      </c>
      <c r="AC213" t="s">
        <v>1294</v>
      </c>
      <c r="AD213" t="s">
        <v>884</v>
      </c>
      <c r="AE213">
        <v>62.6190468641292</v>
      </c>
      <c r="AF213">
        <v>14.8701251367961</v>
      </c>
      <c r="AG213">
        <v>1535.088</v>
      </c>
      <c r="AH213">
        <v>16.17</v>
      </c>
      <c r="AI213">
        <v>96136567850.4</v>
      </c>
    </row>
    <row r="214" spans="1:35">
      <c r="A214" s="290" t="s">
        <v>1183</v>
      </c>
      <c r="B214" t="s">
        <v>49</v>
      </c>
      <c r="C214" s="291" t="str">
        <v>Motherson Sumi Wiring India Lt</v>
      </c>
      <c r="D214" s="292">
        <v>0.0217458002581908</v>
      </c>
      <c r="E214" s="293">
        <f t="shared" si="6"/>
        <v>0</v>
      </c>
      <c r="F214" s="291" t="str">
        <v>Consumer Discretionary</v>
      </c>
      <c r="G214" s="293">
        <f t="shared" si="7"/>
        <v>0</v>
      </c>
      <c r="H214" s="291"/>
      <c r="J214" s="36"/>
      <c r="M214" s="290" t="s">
        <v>1295</v>
      </c>
      <c r="N214" s="298" t="s">
        <v>65</v>
      </c>
      <c r="O214" s="291" t="str">
        <v>Dalmia Bharat Ltd</v>
      </c>
      <c r="P214" s="299">
        <v>0.000713621941205524</v>
      </c>
      <c r="Q214" s="293">
        <f>P214*VLOOKUP(N214,'Selector Sheet '!$B$13:$D$43,2,FALSE)</f>
        <v>0</v>
      </c>
      <c r="R214" s="291" t="str">
        <v>Materials</v>
      </c>
      <c r="S214" s="293">
        <f>P214*VLOOKUP(N214,'Selector Sheet '!$B$13:$D$43,2,FALSE)</f>
        <v>0</v>
      </c>
      <c r="T214" s="291"/>
      <c r="X214" s="291" t="str">
        <v>INE462A01022</v>
      </c>
      <c r="Z214" s="290" t="s">
        <v>1183</v>
      </c>
      <c r="AB214" t="s">
        <v>1296</v>
      </c>
      <c r="AC214" t="s">
        <v>1297</v>
      </c>
      <c r="AD214" t="s">
        <v>823</v>
      </c>
      <c r="AE214">
        <v>44.5284682244084</v>
      </c>
      <c r="AF214">
        <v>19.9305238780308</v>
      </c>
      <c r="AG214">
        <v>5680</v>
      </c>
      <c r="AH214">
        <v>126.503341</v>
      </c>
      <c r="AI214">
        <v>253158804236</v>
      </c>
    </row>
    <row r="215" spans="1:35">
      <c r="A215" s="294" t="s">
        <v>974</v>
      </c>
      <c r="B215" t="s">
        <v>49</v>
      </c>
      <c r="C215" s="291" t="str">
        <v>Mphasis Ltd</v>
      </c>
      <c r="D215" s="295">
        <v>0.00482028335238565</v>
      </c>
      <c r="E215" s="293">
        <f t="shared" si="6"/>
        <v>0</v>
      </c>
      <c r="F215" s="291" t="str">
        <v>Information Technology</v>
      </c>
      <c r="G215" s="293">
        <f t="shared" si="7"/>
        <v>0</v>
      </c>
      <c r="H215" s="291"/>
      <c r="J215" s="36"/>
      <c r="M215" s="294" t="s">
        <v>903</v>
      </c>
      <c r="N215" s="300" t="s">
        <v>65</v>
      </c>
      <c r="O215" s="291" t="str">
        <v>Devyani International Ltd</v>
      </c>
      <c r="P215" s="301">
        <v>0.000140717237435637</v>
      </c>
      <c r="Q215" s="293">
        <f>P215*VLOOKUP(N215,'Selector Sheet '!$B$13:$D$43,2,FALSE)</f>
        <v>0</v>
      </c>
      <c r="R215" s="291" t="str">
        <v>Consumer Discretionary</v>
      </c>
      <c r="S215" s="293">
        <f>P215*VLOOKUP(N215,'Selector Sheet '!$B$13:$D$43,2,FALSE)</f>
        <v>0</v>
      </c>
      <c r="T215" s="291"/>
      <c r="X215" s="291" t="str">
        <v>INE323A01026</v>
      </c>
      <c r="Z215" s="294" t="s">
        <v>974</v>
      </c>
      <c r="AB215" t="s">
        <v>1283</v>
      </c>
      <c r="AC215" t="s">
        <v>1298</v>
      </c>
      <c r="AD215" t="s">
        <v>838</v>
      </c>
      <c r="AE215">
        <v>57.8265642151482</v>
      </c>
      <c r="AF215">
        <v>15.5793151966355</v>
      </c>
      <c r="AG215">
        <v>20152</v>
      </c>
      <c r="AH215">
        <v>683.25</v>
      </c>
      <c r="AI215">
        <v>1165293716400</v>
      </c>
    </row>
    <row r="216" spans="1:35">
      <c r="A216" s="290" t="s">
        <v>1199</v>
      </c>
      <c r="B216" t="s">
        <v>49</v>
      </c>
      <c r="C216" s="291" t="str">
        <v>MRF Ltd</v>
      </c>
      <c r="D216" s="292">
        <v>0</v>
      </c>
      <c r="E216" s="293">
        <f t="shared" si="6"/>
        <v>0</v>
      </c>
      <c r="F216" s="291" t="str">
        <v>Consumer Discretionary</v>
      </c>
      <c r="G216" s="293">
        <f t="shared" si="7"/>
        <v>0</v>
      </c>
      <c r="H216" s="291"/>
      <c r="J216" s="36"/>
      <c r="M216" s="290" t="s">
        <v>892</v>
      </c>
      <c r="N216" s="298" t="s">
        <v>65</v>
      </c>
      <c r="O216" s="291" t="str">
        <v>Dixon Technologies India Ltd</v>
      </c>
      <c r="P216" s="299">
        <v>5.76200536626593e-5</v>
      </c>
      <c r="Q216" s="293">
        <f>P216*VLOOKUP(N216,'Selector Sheet '!$B$13:$D$43,2,FALSE)</f>
        <v>0</v>
      </c>
      <c r="R216" s="291" t="str">
        <v>Consumer Discretionary</v>
      </c>
      <c r="S216" s="293">
        <f>P216*VLOOKUP(N216,'Selector Sheet '!$B$13:$D$43,2,FALSE)</f>
        <v>0</v>
      </c>
      <c r="T216" s="291"/>
      <c r="X216" s="291" t="str">
        <v>INE02RE01045</v>
      </c>
      <c r="Z216" s="290" t="s">
        <v>1199</v>
      </c>
      <c r="AB216" t="s">
        <v>1299</v>
      </c>
      <c r="AC216" t="s">
        <v>1300</v>
      </c>
      <c r="AD216" t="s">
        <v>838</v>
      </c>
      <c r="AE216" t="s">
        <v>824</v>
      </c>
      <c r="AF216">
        <v>-4.84412450002359</v>
      </c>
      <c r="AG216">
        <v>-1914.67</v>
      </c>
      <c r="AH216">
        <v>-4.11</v>
      </c>
      <c r="AI216">
        <v>191640168450.25</v>
      </c>
    </row>
    <row r="217" spans="1:35">
      <c r="A217" s="294" t="s">
        <v>1201</v>
      </c>
      <c r="B217" t="s">
        <v>49</v>
      </c>
      <c r="C217" s="291" t="str">
        <v>NCC Ltd/India</v>
      </c>
      <c r="D217" s="295">
        <v>0.00609436993835494</v>
      </c>
      <c r="E217" s="293">
        <f t="shared" si="6"/>
        <v>0</v>
      </c>
      <c r="F217" s="291" t="str">
        <v>Industrials</v>
      </c>
      <c r="G217" s="293">
        <f t="shared" si="7"/>
        <v>0</v>
      </c>
      <c r="H217" s="291"/>
      <c r="J217" s="36"/>
      <c r="M217" s="294" t="s">
        <v>1265</v>
      </c>
      <c r="N217" s="300" t="s">
        <v>65</v>
      </c>
      <c r="O217" s="291" t="str">
        <v>DLF Ltd</v>
      </c>
      <c r="P217" s="301">
        <v>0.00136135573594177</v>
      </c>
      <c r="Q217" s="293">
        <f>P217*VLOOKUP(N217,'Selector Sheet '!$B$13:$D$43,2,FALSE)</f>
        <v>0</v>
      </c>
      <c r="R217" s="291" t="str">
        <v>Real Estate</v>
      </c>
      <c r="S217" s="293">
        <f>P217*VLOOKUP(N217,'Selector Sheet '!$B$13:$D$43,2,FALSE)</f>
        <v>0</v>
      </c>
      <c r="T217" s="291"/>
      <c r="X217" s="291" t="str">
        <v>INE216A01030</v>
      </c>
      <c r="Z217" s="294" t="s">
        <v>1201</v>
      </c>
      <c r="AB217" t="s">
        <v>864</v>
      </c>
      <c r="AC217" t="s">
        <v>1301</v>
      </c>
      <c r="AD217" t="s">
        <v>980</v>
      </c>
      <c r="AE217">
        <v>60.2108036890645</v>
      </c>
      <c r="AF217" t="s">
        <v>824</v>
      </c>
      <c r="AG217">
        <v>21787.3</v>
      </c>
      <c r="AH217">
        <v>90.45</v>
      </c>
      <c r="AI217">
        <v>1320921735264</v>
      </c>
    </row>
    <row r="218" spans="1:35">
      <c r="A218" s="290" t="s">
        <v>989</v>
      </c>
      <c r="B218" t="s">
        <v>49</v>
      </c>
      <c r="C218" s="291" t="str">
        <v>Nestle India Ltd</v>
      </c>
      <c r="D218" s="292">
        <v>0.00986291756188187</v>
      </c>
      <c r="E218" s="293">
        <f t="shared" si="6"/>
        <v>0</v>
      </c>
      <c r="F218" s="291" t="str">
        <v>Consumer Staples</v>
      </c>
      <c r="G218" s="293">
        <f t="shared" si="7"/>
        <v>0</v>
      </c>
      <c r="H218" s="291"/>
      <c r="J218" s="36"/>
      <c r="M218" s="290" t="s">
        <v>911</v>
      </c>
      <c r="N218" s="298" t="s">
        <v>65</v>
      </c>
      <c r="O218" s="291" t="str">
        <v>Dr Lal PathLabs Ltd</v>
      </c>
      <c r="P218" s="299">
        <v>0.00206191409051284</v>
      </c>
      <c r="Q218" s="293">
        <f>P218*VLOOKUP(N218,'Selector Sheet '!$B$13:$D$43,2,FALSE)</f>
        <v>0</v>
      </c>
      <c r="R218" s="291" t="str">
        <v>Health Care</v>
      </c>
      <c r="S218" s="293">
        <f>P218*VLOOKUP(N218,'Selector Sheet '!$B$13:$D$43,2,FALSE)</f>
        <v>0</v>
      </c>
      <c r="T218" s="291"/>
      <c r="X218" s="291" t="str">
        <v>INE169A01031</v>
      </c>
      <c r="Z218" s="290" t="s">
        <v>989</v>
      </c>
      <c r="AB218" t="s">
        <v>886</v>
      </c>
      <c r="AC218" t="s">
        <v>1302</v>
      </c>
      <c r="AD218" t="s">
        <v>823</v>
      </c>
      <c r="AE218">
        <v>41.1102143737752</v>
      </c>
      <c r="AF218">
        <v>20.1529862154417</v>
      </c>
      <c r="AG218">
        <v>20664.6</v>
      </c>
      <c r="AH218">
        <v>70.15903</v>
      </c>
      <c r="AI218">
        <v>707684787087.25</v>
      </c>
    </row>
    <row r="219" spans="1:35">
      <c r="A219" s="294" t="s">
        <v>1203</v>
      </c>
      <c r="B219" t="s">
        <v>49</v>
      </c>
      <c r="C219" s="291" t="str">
        <v>NMDC Ltd</v>
      </c>
      <c r="D219" s="295">
        <v>0.00283218156725853</v>
      </c>
      <c r="E219" s="293">
        <f t="shared" si="6"/>
        <v>0</v>
      </c>
      <c r="F219" s="291" t="str">
        <v>Materials</v>
      </c>
      <c r="G219" s="293">
        <f t="shared" si="7"/>
        <v>0</v>
      </c>
      <c r="H219" s="291"/>
      <c r="J219" s="36"/>
      <c r="M219" s="294" t="s">
        <v>901</v>
      </c>
      <c r="N219" s="300" t="s">
        <v>65</v>
      </c>
      <c r="O219" s="291" t="str">
        <v>Eternal Ltd</v>
      </c>
      <c r="P219" s="301">
        <v>0.0128642628743514</v>
      </c>
      <c r="Q219" s="293">
        <f>P219*VLOOKUP(N219,'Selector Sheet '!$B$13:$D$43,2,FALSE)</f>
        <v>0</v>
      </c>
      <c r="R219" s="291" t="str">
        <v>Consumer Discretionary</v>
      </c>
      <c r="S219" s="293">
        <f>P219*VLOOKUP(N219,'Selector Sheet '!$B$13:$D$43,2,FALSE)</f>
        <v>0</v>
      </c>
      <c r="T219" s="291"/>
      <c r="X219" s="291" t="str">
        <v>INE102D01028</v>
      </c>
      <c r="Z219" s="294" t="s">
        <v>1203</v>
      </c>
      <c r="AB219" t="s">
        <v>1303</v>
      </c>
      <c r="AC219" t="s">
        <v>1304</v>
      </c>
      <c r="AD219" t="s">
        <v>980</v>
      </c>
      <c r="AE219">
        <v>66.3410582552946</v>
      </c>
      <c r="AF219" t="s">
        <v>824</v>
      </c>
      <c r="AG219">
        <v>18523</v>
      </c>
      <c r="AH219">
        <v>18.11</v>
      </c>
      <c r="AI219">
        <v>1229837667720.3</v>
      </c>
    </row>
    <row r="220" spans="1:35">
      <c r="A220" s="290" t="s">
        <v>992</v>
      </c>
      <c r="B220" t="s">
        <v>49</v>
      </c>
      <c r="C220" s="291" t="str">
        <v>NTPC Ltd</v>
      </c>
      <c r="D220" s="292">
        <v>0.0117067846718801</v>
      </c>
      <c r="E220" s="293">
        <f t="shared" si="6"/>
        <v>0</v>
      </c>
      <c r="F220" s="291" t="str">
        <v>Utilities</v>
      </c>
      <c r="G220" s="293">
        <f t="shared" si="7"/>
        <v>0</v>
      </c>
      <c r="H220" s="291"/>
      <c r="J220" s="36"/>
      <c r="M220" s="290" t="s">
        <v>904</v>
      </c>
      <c r="N220" s="298" t="s">
        <v>65</v>
      </c>
      <c r="O220" s="291" t="str">
        <v>Fortis Healthcare Ltd</v>
      </c>
      <c r="P220" s="299">
        <v>3.4104457294049e-5</v>
      </c>
      <c r="Q220" s="293">
        <f>P220*VLOOKUP(N220,'Selector Sheet '!$B$13:$D$43,2,FALSE)</f>
        <v>0</v>
      </c>
      <c r="R220" s="291" t="str">
        <v>Health Care</v>
      </c>
      <c r="S220" s="293">
        <f>P220*VLOOKUP(N220,'Selector Sheet '!$B$13:$D$43,2,FALSE)</f>
        <v>0</v>
      </c>
      <c r="T220" s="291"/>
      <c r="X220" s="291" t="str">
        <v>INE246F01010</v>
      </c>
      <c r="Z220" s="290" t="s">
        <v>992</v>
      </c>
      <c r="AB220" t="s">
        <v>1305</v>
      </c>
      <c r="AC220" t="s">
        <v>1306</v>
      </c>
      <c r="AD220" t="s">
        <v>994</v>
      </c>
      <c r="AE220">
        <v>15.3555107213568</v>
      </c>
      <c r="AF220">
        <v>9.88920846980454</v>
      </c>
      <c r="AG220">
        <v>11110.844</v>
      </c>
      <c r="AH220">
        <v>19.69</v>
      </c>
      <c r="AI220">
        <v>170589309533.6</v>
      </c>
    </row>
    <row r="221" spans="1:35">
      <c r="A221" s="294" t="s">
        <v>1206</v>
      </c>
      <c r="B221" t="s">
        <v>49</v>
      </c>
      <c r="C221" s="291" t="str">
        <v>Nuvoco Vistas Corp Ltd</v>
      </c>
      <c r="D221" s="295">
        <v>0.00333652328076347</v>
      </c>
      <c r="E221" s="293">
        <f t="shared" si="6"/>
        <v>0</v>
      </c>
      <c r="F221" s="291" t="str">
        <v>Materials</v>
      </c>
      <c r="G221" s="293">
        <f t="shared" si="7"/>
        <v>0</v>
      </c>
      <c r="H221" s="291"/>
      <c r="J221" s="36"/>
      <c r="M221" s="294" t="s">
        <v>1132</v>
      </c>
      <c r="N221" s="300" t="s">
        <v>65</v>
      </c>
      <c r="O221" s="291" t="str">
        <v>FSN E-Commerce Ventures Ltd</v>
      </c>
      <c r="P221" s="301">
        <v>0.000589178591266496</v>
      </c>
      <c r="Q221" s="293">
        <f>P221*VLOOKUP(N221,'Selector Sheet '!$B$13:$D$43,2,FALSE)</f>
        <v>0</v>
      </c>
      <c r="R221" s="291" t="str">
        <v>Consumer Discretionary</v>
      </c>
      <c r="S221" s="293">
        <f>P221*VLOOKUP(N221,'Selector Sheet '!$B$13:$D$43,2,FALSE)</f>
        <v>0</v>
      </c>
      <c r="T221" s="291"/>
      <c r="X221" s="291" t="str">
        <v>INE813A01018</v>
      </c>
      <c r="Z221" s="294" t="s">
        <v>1206</v>
      </c>
      <c r="AB221" t="s">
        <v>1307</v>
      </c>
      <c r="AC221" t="s">
        <v>1308</v>
      </c>
      <c r="AD221" t="s">
        <v>998</v>
      </c>
      <c r="AE221">
        <v>94.8865599585821</v>
      </c>
      <c r="AF221">
        <v>3.25254476108956</v>
      </c>
      <c r="AG221">
        <v>612.921</v>
      </c>
      <c r="AH221">
        <v>3.6290704</v>
      </c>
      <c r="AI221">
        <v>73438800676.3</v>
      </c>
    </row>
    <row r="222" spans="1:35">
      <c r="A222" s="290" t="s">
        <v>995</v>
      </c>
      <c r="B222" t="s">
        <v>49</v>
      </c>
      <c r="C222" s="291" t="str">
        <v>Oberoi Realty Ltd</v>
      </c>
      <c r="D222" s="292">
        <v>0.00511631094548393</v>
      </c>
      <c r="E222" s="293">
        <f t="shared" si="6"/>
        <v>0</v>
      </c>
      <c r="F222" s="291" t="str">
        <v>Real Estate</v>
      </c>
      <c r="G222" s="293">
        <f t="shared" si="7"/>
        <v>0</v>
      </c>
      <c r="H222" s="291"/>
      <c r="J222" s="36"/>
      <c r="M222" s="290" t="s">
        <v>909</v>
      </c>
      <c r="N222" s="298" t="s">
        <v>65</v>
      </c>
      <c r="O222" s="291" t="str">
        <v>GE Vernova T&amp;D India Ltd</v>
      </c>
      <c r="P222" s="299">
        <v>0.00817656216818041</v>
      </c>
      <c r="Q222" s="293">
        <f>P222*VLOOKUP(N222,'Selector Sheet '!$B$13:$D$43,2,FALSE)</f>
        <v>0</v>
      </c>
      <c r="R222" s="291" t="str">
        <v>Industrials</v>
      </c>
      <c r="S222" s="293">
        <f>P222*VLOOKUP(N222,'Selector Sheet '!$B$13:$D$43,2,FALSE)</f>
        <v>0</v>
      </c>
      <c r="T222" s="291"/>
      <c r="X222" s="291" t="str">
        <v>INE511C01022</v>
      </c>
      <c r="Z222" s="290" t="s">
        <v>995</v>
      </c>
      <c r="AB222" t="s">
        <v>1309</v>
      </c>
      <c r="AC222" t="s">
        <v>1310</v>
      </c>
      <c r="AD222" t="s">
        <v>831</v>
      </c>
      <c r="AE222" t="s">
        <v>824</v>
      </c>
      <c r="AF222">
        <v>-1.20354380867643</v>
      </c>
      <c r="AG222">
        <v>-983.4</v>
      </c>
      <c r="AH222">
        <v>-1.27</v>
      </c>
      <c r="AI222">
        <v>361901846637</v>
      </c>
    </row>
    <row r="223" spans="1:35">
      <c r="A223" s="294" t="s">
        <v>1191</v>
      </c>
      <c r="B223" t="s">
        <v>49</v>
      </c>
      <c r="C223" s="291" t="str">
        <v>Oil &amp; Natural Gas Corp Ltd</v>
      </c>
      <c r="D223" s="295">
        <v>0.00303580673792346</v>
      </c>
      <c r="E223" s="293">
        <f t="shared" si="6"/>
        <v>0</v>
      </c>
      <c r="F223" s="291" t="str">
        <v>Energy</v>
      </c>
      <c r="G223" s="293">
        <f t="shared" si="7"/>
        <v>0</v>
      </c>
      <c r="H223" s="291"/>
      <c r="J223" s="36"/>
      <c r="M223" s="294" t="s">
        <v>915</v>
      </c>
      <c r="N223" s="300" t="s">
        <v>65</v>
      </c>
      <c r="O223" s="291" t="str">
        <v>Glenmark Pharmaceuticals Ltd</v>
      </c>
      <c r="P223" s="301">
        <v>0.0011362754412138</v>
      </c>
      <c r="Q223" s="293">
        <f>P223*VLOOKUP(N223,'Selector Sheet '!$B$13:$D$43,2,FALSE)</f>
        <v>0</v>
      </c>
      <c r="R223" s="291" t="str">
        <v>Health Care</v>
      </c>
      <c r="S223" s="293">
        <f>P223*VLOOKUP(N223,'Selector Sheet '!$B$13:$D$43,2,FALSE)</f>
        <v>0</v>
      </c>
      <c r="T223" s="291"/>
      <c r="X223" s="291" t="str">
        <v>INE721A01047</v>
      </c>
      <c r="Z223" s="294" t="s">
        <v>1191</v>
      </c>
      <c r="AB223" t="s">
        <v>1311</v>
      </c>
      <c r="AC223" t="s">
        <v>1312</v>
      </c>
      <c r="AD223" t="s">
        <v>831</v>
      </c>
      <c r="AE223">
        <v>12.6220362622036</v>
      </c>
      <c r="AF223">
        <v>18.1257689106851</v>
      </c>
      <c r="AG223">
        <v>95538.2</v>
      </c>
      <c r="AH223">
        <v>50.82</v>
      </c>
      <c r="AI223">
        <v>1191463367468.5</v>
      </c>
    </row>
    <row r="224" spans="1:35">
      <c r="A224" s="290" t="s">
        <v>999</v>
      </c>
      <c r="B224" t="s">
        <v>49</v>
      </c>
      <c r="C224" s="291" t="str">
        <v>Oil India Ltd</v>
      </c>
      <c r="D224" s="292">
        <v>0.000880361068481632</v>
      </c>
      <c r="E224" s="293">
        <f t="shared" si="6"/>
        <v>0</v>
      </c>
      <c r="F224" s="291" t="str">
        <v>Energy</v>
      </c>
      <c r="G224" s="293">
        <f t="shared" si="7"/>
        <v>0</v>
      </c>
      <c r="H224" s="291"/>
      <c r="J224" s="36"/>
      <c r="M224" s="290" t="s">
        <v>1303</v>
      </c>
      <c r="N224" s="298" t="s">
        <v>65</v>
      </c>
      <c r="O224" s="291" t="str">
        <v>Godrej Consumer Products Ltd</v>
      </c>
      <c r="P224" s="299">
        <v>0.00877907234633095</v>
      </c>
      <c r="Q224" s="293">
        <f>P224*VLOOKUP(N224,'Selector Sheet '!$B$13:$D$43,2,FALSE)</f>
        <v>0</v>
      </c>
      <c r="R224" s="291" t="str">
        <v>Consumer Staples</v>
      </c>
      <c r="S224" s="293">
        <f>P224*VLOOKUP(N224,'Selector Sheet '!$B$13:$D$43,2,FALSE)</f>
        <v>0</v>
      </c>
      <c r="T224" s="291"/>
      <c r="X224" s="291" t="str">
        <v>INE383A01012</v>
      </c>
      <c r="Z224" s="290" t="s">
        <v>999</v>
      </c>
      <c r="AB224" t="s">
        <v>1313</v>
      </c>
      <c r="AC224" t="s">
        <v>1314</v>
      </c>
      <c r="AD224" t="s">
        <v>823</v>
      </c>
      <c r="AE224" t="s">
        <v>824</v>
      </c>
      <c r="AF224">
        <v>-1.82229910713904</v>
      </c>
      <c r="AG224">
        <v>-1436.778</v>
      </c>
      <c r="AH224">
        <v>-4.636309</v>
      </c>
      <c r="AI224">
        <v>116164965794.85</v>
      </c>
    </row>
    <row r="225" spans="1:35">
      <c r="A225" s="294" t="s">
        <v>1210</v>
      </c>
      <c r="B225" t="s">
        <v>49</v>
      </c>
      <c r="C225" s="291" t="str">
        <v>Orient Electric Ltd</v>
      </c>
      <c r="D225" s="295">
        <v>0.00259376783094096</v>
      </c>
      <c r="E225" s="293">
        <f t="shared" si="6"/>
        <v>0</v>
      </c>
      <c r="F225" s="291" t="str">
        <v>Consumer Discretionary</v>
      </c>
      <c r="G225" s="293">
        <f t="shared" si="7"/>
        <v>0</v>
      </c>
      <c r="H225" s="291"/>
      <c r="J225" s="36"/>
      <c r="M225" s="294" t="s">
        <v>1315</v>
      </c>
      <c r="N225" s="300" t="s">
        <v>65</v>
      </c>
      <c r="O225" s="291" t="str">
        <v>Godrej Properties Ltd</v>
      </c>
      <c r="P225" s="301">
        <v>0.0028884097538611</v>
      </c>
      <c r="Q225" s="293">
        <f>P225*VLOOKUP(N225,'Selector Sheet '!$B$13:$D$43,2,FALSE)</f>
        <v>0</v>
      </c>
      <c r="R225" s="291" t="str">
        <v>Real Estate</v>
      </c>
      <c r="S225" s="293">
        <f>P225*VLOOKUP(N225,'Selector Sheet '!$B$13:$D$43,2,FALSE)</f>
        <v>0</v>
      </c>
      <c r="T225" s="291"/>
      <c r="X225" s="291" t="str">
        <v>INE427F01016</v>
      </c>
      <c r="Z225" s="294" t="s">
        <v>1210</v>
      </c>
      <c r="AB225" t="s">
        <v>1316</v>
      </c>
      <c r="AC225" t="s">
        <v>1317</v>
      </c>
      <c r="AD225" t="s">
        <v>838</v>
      </c>
      <c r="AE225">
        <v>142.373661900005</v>
      </c>
      <c r="AF225">
        <v>5.82184417679801</v>
      </c>
      <c r="AG225">
        <v>1425.65</v>
      </c>
      <c r="AH225">
        <v>6.53</v>
      </c>
      <c r="AI225">
        <v>203130538825.5</v>
      </c>
    </row>
    <row r="226" spans="1:35">
      <c r="A226" s="290" t="s">
        <v>1008</v>
      </c>
      <c r="B226" t="s">
        <v>49</v>
      </c>
      <c r="C226" s="291" t="str">
        <v>Page Industries Ltd</v>
      </c>
      <c r="D226" s="292">
        <v>0.0249013989075436</v>
      </c>
      <c r="E226" s="293">
        <f t="shared" si="6"/>
        <v>0</v>
      </c>
      <c r="F226" s="291" t="str">
        <v>Consumer Discretionary</v>
      </c>
      <c r="G226" s="293">
        <f t="shared" si="7"/>
        <v>0</v>
      </c>
      <c r="H226" s="291"/>
      <c r="J226" s="36"/>
      <c r="M226" s="290" t="s">
        <v>1134</v>
      </c>
      <c r="N226" s="298" t="s">
        <v>65</v>
      </c>
      <c r="O226" s="291" t="str">
        <v>Grasim Industries Ltd</v>
      </c>
      <c r="P226" s="299">
        <v>0.00112754547563661</v>
      </c>
      <c r="Q226" s="293">
        <f>P226*VLOOKUP(N226,'Selector Sheet '!$B$13:$D$43,2,FALSE)</f>
        <v>0</v>
      </c>
      <c r="R226" s="291" t="str">
        <v>Materials</v>
      </c>
      <c r="S226" s="293">
        <f>P226*VLOOKUP(N226,'Selector Sheet '!$B$13:$D$43,2,FALSE)</f>
        <v>0</v>
      </c>
      <c r="T226" s="291"/>
      <c r="X226" s="291" t="str">
        <v>INE259A01022</v>
      </c>
      <c r="Z226" s="290" t="s">
        <v>1008</v>
      </c>
      <c r="AB226" t="s">
        <v>1124</v>
      </c>
      <c r="AC226" t="s">
        <v>1318</v>
      </c>
      <c r="AD226" t="s">
        <v>980</v>
      </c>
      <c r="AE226">
        <v>41.7944349801249</v>
      </c>
      <c r="AF226">
        <v>81.2025076299194</v>
      </c>
      <c r="AG226">
        <v>14368.1</v>
      </c>
      <c r="AH226">
        <v>52.83</v>
      </c>
      <c r="AI226">
        <v>600544279872</v>
      </c>
    </row>
    <row r="227" spans="1:35">
      <c r="A227" s="294" t="s">
        <v>1007</v>
      </c>
      <c r="B227" t="s">
        <v>49</v>
      </c>
      <c r="C227" s="291" t="str">
        <v>PI Industries Ltd</v>
      </c>
      <c r="D227" s="295">
        <v>0.0168425354007428</v>
      </c>
      <c r="E227" s="293">
        <f t="shared" si="6"/>
        <v>0</v>
      </c>
      <c r="F227" s="291" t="str">
        <v>Materials</v>
      </c>
      <c r="G227" s="293">
        <f t="shared" si="7"/>
        <v>0</v>
      </c>
      <c r="H227" s="291"/>
      <c r="J227" s="36"/>
      <c r="M227" s="294" t="s">
        <v>1305</v>
      </c>
      <c r="N227" s="300" t="s">
        <v>65</v>
      </c>
      <c r="O227" s="291" t="str">
        <v>Gujarat State Petronet Ltd</v>
      </c>
      <c r="P227" s="301">
        <v>0.00665986322373475</v>
      </c>
      <c r="Q227" s="293">
        <f>P227*VLOOKUP(N227,'Selector Sheet '!$B$13:$D$43,2,FALSE)</f>
        <v>0</v>
      </c>
      <c r="R227" s="291" t="str">
        <v>Utilities</v>
      </c>
      <c r="S227" s="293">
        <f>P227*VLOOKUP(N227,'Selector Sheet '!$B$13:$D$43,2,FALSE)</f>
        <v>0</v>
      </c>
      <c r="T227" s="291"/>
      <c r="X227" s="291" t="str">
        <v>INE047A01021</v>
      </c>
      <c r="Z227" s="294" t="s">
        <v>1007</v>
      </c>
      <c r="AB227" t="s">
        <v>1134</v>
      </c>
      <c r="AC227" t="s">
        <v>1319</v>
      </c>
      <c r="AD227" t="s">
        <v>823</v>
      </c>
      <c r="AE227">
        <v>51.0815205624663</v>
      </c>
      <c r="AF227">
        <v>3.98114262321403</v>
      </c>
      <c r="AG227">
        <v>37056.8</v>
      </c>
      <c r="AH227">
        <v>55.57</v>
      </c>
      <c r="AI227">
        <v>1931715644196.6</v>
      </c>
    </row>
    <row r="228" spans="1:35">
      <c r="A228" s="290" t="s">
        <v>1010</v>
      </c>
      <c r="B228" t="s">
        <v>49</v>
      </c>
      <c r="C228" s="291" t="str">
        <v>Pidilite Industries Ltd</v>
      </c>
      <c r="D228" s="292">
        <v>0.00502300944920102</v>
      </c>
      <c r="E228" s="293">
        <f t="shared" si="6"/>
        <v>0</v>
      </c>
      <c r="F228" s="291" t="str">
        <v>Materials</v>
      </c>
      <c r="G228" s="293">
        <f t="shared" si="7"/>
        <v>0</v>
      </c>
      <c r="H228" s="291"/>
      <c r="J228" s="36"/>
      <c r="M228" s="290" t="s">
        <v>1136</v>
      </c>
      <c r="N228" s="298" t="s">
        <v>65</v>
      </c>
      <c r="O228" s="291" t="str">
        <v>Havells India Ltd</v>
      </c>
      <c r="P228" s="299">
        <v>0.00166295295299525</v>
      </c>
      <c r="Q228" s="293">
        <f>P228*VLOOKUP(N228,'Selector Sheet '!$B$13:$D$43,2,FALSE)</f>
        <v>0</v>
      </c>
      <c r="R228" s="291" t="str">
        <v>Industrials</v>
      </c>
      <c r="S228" s="293">
        <f>P228*VLOOKUP(N228,'Selector Sheet '!$B$13:$D$43,2,FALSE)</f>
        <v>0</v>
      </c>
      <c r="T228" s="291"/>
      <c r="X228" s="291" t="str">
        <v>INE176B01034</v>
      </c>
      <c r="Z228" s="290" t="s">
        <v>1010</v>
      </c>
      <c r="AB228" t="s">
        <v>1136</v>
      </c>
      <c r="AC228" t="s">
        <v>1320</v>
      </c>
      <c r="AD228" t="s">
        <v>813</v>
      </c>
      <c r="AE228">
        <v>66.2409535972754</v>
      </c>
      <c r="AF228">
        <v>18.6710038647986</v>
      </c>
      <c r="AG228">
        <v>14722.6</v>
      </c>
      <c r="AH228">
        <v>23.49</v>
      </c>
      <c r="AI228">
        <v>975933191076</v>
      </c>
    </row>
    <row r="229" spans="1:35">
      <c r="A229" s="294" t="s">
        <v>1212</v>
      </c>
      <c r="B229" t="s">
        <v>49</v>
      </c>
      <c r="C229" s="291" t="str">
        <v>Pricol Ltd</v>
      </c>
      <c r="D229" s="295">
        <v>0.00379575213560647</v>
      </c>
      <c r="E229" s="293">
        <f t="shared" si="6"/>
        <v>0</v>
      </c>
      <c r="F229" s="291" t="str">
        <v>Consumer Discretionary</v>
      </c>
      <c r="G229" s="293">
        <f t="shared" si="7"/>
        <v>0</v>
      </c>
      <c r="H229" s="291"/>
      <c r="J229" s="36"/>
      <c r="M229" s="294" t="s">
        <v>922</v>
      </c>
      <c r="N229" s="300" t="s">
        <v>65</v>
      </c>
      <c r="O229" s="291" t="str">
        <v>HDB Financial Services Ltd</v>
      </c>
      <c r="P229" s="301">
        <v>0.000771874931627862</v>
      </c>
      <c r="Q229" s="293">
        <f>P229*VLOOKUP(N229,'Selector Sheet '!$B$13:$D$43,2,FALSE)</f>
        <v>0</v>
      </c>
      <c r="R229" s="291" t="str">
        <v>Financials</v>
      </c>
      <c r="S229" s="293">
        <f>P229*VLOOKUP(N229,'Selector Sheet '!$B$13:$D$43,2,FALSE)</f>
        <v>0</v>
      </c>
      <c r="T229" s="291"/>
      <c r="X229" s="291" t="str">
        <v>INE982J01020</v>
      </c>
      <c r="Z229" s="294" t="s">
        <v>1212</v>
      </c>
      <c r="AB229" t="s">
        <v>1321</v>
      </c>
      <c r="AC229" t="s">
        <v>1322</v>
      </c>
      <c r="AD229" t="s">
        <v>831</v>
      </c>
      <c r="AE229" t="s">
        <v>824</v>
      </c>
      <c r="AF229">
        <v>-4.64637273262724</v>
      </c>
      <c r="AG229">
        <v>-6587</v>
      </c>
      <c r="AH229">
        <v>-10.35</v>
      </c>
      <c r="AI229">
        <v>737607769149.6</v>
      </c>
    </row>
    <row r="230" spans="1:35">
      <c r="A230" s="290" t="s">
        <v>1214</v>
      </c>
      <c r="B230" t="s">
        <v>49</v>
      </c>
      <c r="C230" s="291" t="str">
        <v>Procter &amp; Gamble Hygiene &amp; Hea</v>
      </c>
      <c r="D230" s="292">
        <v>0.00128749095972638</v>
      </c>
      <c r="E230" s="293">
        <f t="shared" si="6"/>
        <v>0</v>
      </c>
      <c r="F230" s="291" t="str">
        <v>Consumer Staples</v>
      </c>
      <c r="G230" s="293">
        <f t="shared" si="7"/>
        <v>0</v>
      </c>
      <c r="H230" s="291"/>
      <c r="J230" s="36"/>
      <c r="M230" s="290" t="s">
        <v>924</v>
      </c>
      <c r="N230" s="298" t="s">
        <v>65</v>
      </c>
      <c r="O230" s="291" t="str">
        <v>HDFC Bank Ltd</v>
      </c>
      <c r="P230" s="299">
        <v>0.0365740510833907</v>
      </c>
      <c r="Q230" s="293">
        <f>P230*VLOOKUP(N230,'Selector Sheet '!$B$13:$D$43,2,FALSE)</f>
        <v>0</v>
      </c>
      <c r="R230" s="291" t="str">
        <v>Financials</v>
      </c>
      <c r="S230" s="293">
        <f>P230*VLOOKUP(N230,'Selector Sheet '!$B$13:$D$43,2,FALSE)</f>
        <v>0</v>
      </c>
      <c r="T230" s="291"/>
      <c r="X230" s="291" t="str">
        <v>INE191H01014</v>
      </c>
      <c r="Z230" s="290" t="s">
        <v>1214</v>
      </c>
      <c r="AB230" t="s">
        <v>1323</v>
      </c>
      <c r="AC230" t="s">
        <v>1324</v>
      </c>
      <c r="AD230" t="s">
        <v>857</v>
      </c>
      <c r="AE230" t="s">
        <v>824</v>
      </c>
      <c r="AF230">
        <v>-3.89008695652174</v>
      </c>
      <c r="AG230">
        <v>-2796</v>
      </c>
      <c r="AH230">
        <v>-28.48</v>
      </c>
      <c r="AI230">
        <v>104946299389.4</v>
      </c>
    </row>
    <row r="231" spans="1:35">
      <c r="A231" s="294" t="s">
        <v>1216</v>
      </c>
      <c r="B231" t="s">
        <v>49</v>
      </c>
      <c r="C231" s="291" t="str">
        <v>Rain Industries Ltd</v>
      </c>
      <c r="D231" s="295">
        <v>0.00225387489791936</v>
      </c>
      <c r="E231" s="293">
        <f t="shared" si="6"/>
        <v>0</v>
      </c>
      <c r="F231" s="291" t="str">
        <v>Materials</v>
      </c>
      <c r="G231" s="293">
        <f t="shared" si="7"/>
        <v>0</v>
      </c>
      <c r="H231" s="291"/>
      <c r="J231" s="36"/>
      <c r="M231" s="294" t="s">
        <v>927</v>
      </c>
      <c r="N231" s="300" t="s">
        <v>65</v>
      </c>
      <c r="O231" s="291" t="str">
        <v>HDFC Life Insurance Co Ltd</v>
      </c>
      <c r="P231" s="301">
        <v>0.00402279778906181</v>
      </c>
      <c r="Q231" s="293">
        <f>P231*VLOOKUP(N231,'Selector Sheet '!$B$13:$D$43,2,FALSE)</f>
        <v>0</v>
      </c>
      <c r="R231" s="291" t="str">
        <v>Financials</v>
      </c>
      <c r="S231" s="293">
        <f>P231*VLOOKUP(N231,'Selector Sheet '!$B$13:$D$43,2,FALSE)</f>
        <v>0</v>
      </c>
      <c r="T231" s="291"/>
      <c r="X231" s="291" t="str">
        <v>INE020B01018</v>
      </c>
      <c r="Z231" s="294" t="s">
        <v>1216</v>
      </c>
      <c r="AB231" t="s">
        <v>1031</v>
      </c>
      <c r="AC231" t="s">
        <v>1325</v>
      </c>
      <c r="AD231" t="s">
        <v>831</v>
      </c>
      <c r="AE231">
        <v>5.96680377644926</v>
      </c>
      <c r="AF231" t="s">
        <v>824</v>
      </c>
      <c r="AG231">
        <v>158842.3</v>
      </c>
      <c r="AH231">
        <v>60.322457</v>
      </c>
      <c r="AI231">
        <v>1007734824800</v>
      </c>
    </row>
    <row r="232" spans="1:35">
      <c r="A232" s="290" t="s">
        <v>1218</v>
      </c>
      <c r="B232" t="s">
        <v>49</v>
      </c>
      <c r="C232" s="291" t="str">
        <v>Rategain Travel Technologies L</v>
      </c>
      <c r="D232" s="292">
        <v>0.00662968022909907</v>
      </c>
      <c r="E232" s="293">
        <f t="shared" si="6"/>
        <v>0</v>
      </c>
      <c r="F232" s="291" t="str">
        <v>Information Technology</v>
      </c>
      <c r="G232" s="293">
        <f t="shared" si="7"/>
        <v>0</v>
      </c>
      <c r="H232" s="291"/>
      <c r="J232" s="36"/>
      <c r="M232" s="290" t="s">
        <v>931</v>
      </c>
      <c r="N232" s="298" t="s">
        <v>65</v>
      </c>
      <c r="O232" s="291" t="str">
        <v>Hindalco Industries Ltd</v>
      </c>
      <c r="P232" s="299">
        <v>0.00482307504501364</v>
      </c>
      <c r="Q232" s="293">
        <f>P232*VLOOKUP(N232,'Selector Sheet '!$B$13:$D$43,2,FALSE)</f>
        <v>0</v>
      </c>
      <c r="R232" s="291" t="str">
        <v>Materials</v>
      </c>
      <c r="S232" s="293">
        <f>P232*VLOOKUP(N232,'Selector Sheet '!$B$13:$D$43,2,FALSE)</f>
        <v>0</v>
      </c>
      <c r="T232" s="291"/>
      <c r="X232" s="291" t="str">
        <v>INE216P01012</v>
      </c>
      <c r="Z232" s="290" t="s">
        <v>1218</v>
      </c>
      <c r="AB232" t="s">
        <v>1326</v>
      </c>
      <c r="AC232" t="s">
        <v>1327</v>
      </c>
      <c r="AD232" t="s">
        <v>831</v>
      </c>
      <c r="AE232">
        <v>27.3190387810082</v>
      </c>
      <c r="AF232">
        <v>13.9342873165307</v>
      </c>
      <c r="AG232">
        <v>4906.942</v>
      </c>
      <c r="AH232">
        <v>62.03</v>
      </c>
      <c r="AI232">
        <v>134139291213</v>
      </c>
    </row>
    <row r="233" spans="1:35">
      <c r="A233" s="294" t="s">
        <v>1220</v>
      </c>
      <c r="B233" t="s">
        <v>49</v>
      </c>
      <c r="C233" s="291" t="str">
        <v>Ratnamani Metals &amp; Tubes Ltd</v>
      </c>
      <c r="D233" s="295">
        <v>0.00681062206766479</v>
      </c>
      <c r="E233" s="293">
        <f t="shared" si="6"/>
        <v>0</v>
      </c>
      <c r="F233" s="291" t="str">
        <v>Materials</v>
      </c>
      <c r="G233" s="293">
        <f t="shared" si="7"/>
        <v>0</v>
      </c>
      <c r="H233" s="291"/>
      <c r="J233" s="36"/>
      <c r="M233" s="294" t="s">
        <v>1328</v>
      </c>
      <c r="N233" s="300" t="s">
        <v>65</v>
      </c>
      <c r="O233" s="291" t="str">
        <v>Hindustan Copper Ltd</v>
      </c>
      <c r="P233" s="301">
        <v>0</v>
      </c>
      <c r="Q233" s="293">
        <f>P233*VLOOKUP(N233,'Selector Sheet '!$B$13:$D$43,2,FALSE)</f>
        <v>0</v>
      </c>
      <c r="R233" s="291" t="str">
        <v>Materials</v>
      </c>
      <c r="S233" s="293">
        <f>P233*VLOOKUP(N233,'Selector Sheet '!$B$13:$D$43,2,FALSE)</f>
        <v>0</v>
      </c>
      <c r="T233" s="291"/>
      <c r="X233" s="291" t="str">
        <v>INE647O01011</v>
      </c>
      <c r="Z233" s="294" t="s">
        <v>1220</v>
      </c>
      <c r="AB233" t="s">
        <v>1329</v>
      </c>
      <c r="AC233" t="s">
        <v>1330</v>
      </c>
      <c r="AD233" t="s">
        <v>838</v>
      </c>
      <c r="AE233" t="s">
        <v>824</v>
      </c>
      <c r="AF233" t="s">
        <v>824</v>
      </c>
      <c r="AG233">
        <v>-3758.2</v>
      </c>
      <c r="AH233">
        <v>-3.079748</v>
      </c>
      <c r="AI233">
        <v>93657623827.75</v>
      </c>
    </row>
    <row r="234" spans="1:35">
      <c r="A234" s="290" t="s">
        <v>1034</v>
      </c>
      <c r="B234" t="s">
        <v>49</v>
      </c>
      <c r="C234" s="291" t="str">
        <v>Reliance Industries Ltd</v>
      </c>
      <c r="D234" s="292">
        <v>0.0278342380298542</v>
      </c>
      <c r="E234" s="293">
        <f t="shared" si="6"/>
        <v>0</v>
      </c>
      <c r="F234" s="291" t="str">
        <v>Energy</v>
      </c>
      <c r="G234" s="293">
        <f t="shared" si="7"/>
        <v>0</v>
      </c>
      <c r="H234" s="291"/>
      <c r="J234" s="36"/>
      <c r="M234" s="290" t="s">
        <v>934</v>
      </c>
      <c r="N234" s="298" t="s">
        <v>65</v>
      </c>
      <c r="O234" s="291" t="str">
        <v>Hindustan Unilever Ltd</v>
      </c>
      <c r="P234" s="299">
        <v>0.00826345127037849</v>
      </c>
      <c r="Q234" s="293">
        <f>P234*VLOOKUP(N234,'Selector Sheet '!$B$13:$D$43,2,FALSE)</f>
        <v>0</v>
      </c>
      <c r="R234" s="291" t="str">
        <v>Consumer Staples</v>
      </c>
      <c r="S234" s="293">
        <f>P234*VLOOKUP(N234,'Selector Sheet '!$B$13:$D$43,2,FALSE)</f>
        <v>0</v>
      </c>
      <c r="T234" s="291"/>
      <c r="X234" s="291" t="str">
        <v>INE14LE01019</v>
      </c>
      <c r="Z234" s="290" t="s">
        <v>1034</v>
      </c>
      <c r="AB234" t="s">
        <v>1331</v>
      </c>
      <c r="AC234" t="s">
        <v>1332</v>
      </c>
      <c r="AD234" t="s">
        <v>838</v>
      </c>
      <c r="AE234" t="s">
        <v>1333</v>
      </c>
      <c r="AF234" t="s">
        <v>1333</v>
      </c>
      <c r="AG234" t="s">
        <v>824</v>
      </c>
      <c r="AH234" t="s">
        <v>1333</v>
      </c>
      <c r="AI234">
        <v>164239473498.07</v>
      </c>
    </row>
    <row r="235" spans="1:35">
      <c r="A235" s="294" t="s">
        <v>1222</v>
      </c>
      <c r="B235" t="s">
        <v>49</v>
      </c>
      <c r="C235" s="291" t="str">
        <v>SBI Cards &amp; Payment Services L</v>
      </c>
      <c r="D235" s="295">
        <v>0.0360549391313647</v>
      </c>
      <c r="E235" s="293">
        <f t="shared" si="6"/>
        <v>0</v>
      </c>
      <c r="F235" s="291" t="str">
        <v>Financials</v>
      </c>
      <c r="G235" s="293">
        <f t="shared" si="7"/>
        <v>0</v>
      </c>
      <c r="H235" s="291"/>
      <c r="J235" s="36"/>
      <c r="M235" s="294" t="s">
        <v>936</v>
      </c>
      <c r="N235" s="300" t="s">
        <v>65</v>
      </c>
      <c r="O235" s="291" t="str">
        <v>ICICI Bank Ltd</v>
      </c>
      <c r="P235" s="301">
        <v>0.0430858185096266</v>
      </c>
      <c r="Q235" s="293">
        <f>P235*VLOOKUP(N235,'Selector Sheet '!$B$13:$D$43,2,FALSE)</f>
        <v>0</v>
      </c>
      <c r="R235" s="291" t="str">
        <v>Financials</v>
      </c>
      <c r="S235" s="293">
        <f>P235*VLOOKUP(N235,'Selector Sheet '!$B$13:$D$43,2,FALSE)</f>
        <v>0</v>
      </c>
      <c r="T235" s="291"/>
      <c r="X235" s="291" t="str">
        <v>INE404A01024</v>
      </c>
      <c r="Z235" s="294" t="s">
        <v>1222</v>
      </c>
      <c r="AB235" t="s">
        <v>1334</v>
      </c>
      <c r="AC235" t="s">
        <v>1335</v>
      </c>
      <c r="AD235" t="s">
        <v>831</v>
      </c>
      <c r="AE235">
        <v>26.7389949034699</v>
      </c>
      <c r="AF235">
        <v>26.9905376500018</v>
      </c>
      <c r="AG235">
        <v>9306</v>
      </c>
      <c r="AH235">
        <v>32.26</v>
      </c>
      <c r="AI235">
        <v>248980196347.6</v>
      </c>
    </row>
    <row r="236" spans="1:35">
      <c r="A236" s="290" t="s">
        <v>1138</v>
      </c>
      <c r="B236" t="s">
        <v>49</v>
      </c>
      <c r="C236" s="291" t="str">
        <v>SBI Life Insurance Co Ltd</v>
      </c>
      <c r="D236" s="292">
        <v>0.0033790163500743</v>
      </c>
      <c r="E236" s="293">
        <f t="shared" si="6"/>
        <v>0</v>
      </c>
      <c r="F236" s="291" t="str">
        <v>Financials</v>
      </c>
      <c r="G236" s="293">
        <f t="shared" si="7"/>
        <v>0</v>
      </c>
      <c r="H236" s="291"/>
      <c r="J236" s="36"/>
      <c r="M236" s="290" t="s">
        <v>1117</v>
      </c>
      <c r="N236" s="298" t="s">
        <v>65</v>
      </c>
      <c r="O236" s="291" t="str">
        <v>ICICI Lombard General Insuranc</v>
      </c>
      <c r="P236" s="299">
        <v>0.00611331377855257</v>
      </c>
      <c r="Q236" s="293">
        <f>P236*VLOOKUP(N236,'Selector Sheet '!$B$13:$D$43,2,FALSE)</f>
        <v>0</v>
      </c>
      <c r="R236" s="291" t="str">
        <v>Financials</v>
      </c>
      <c r="S236" s="293">
        <f>P236*VLOOKUP(N236,'Selector Sheet '!$B$13:$D$43,2,FALSE)</f>
        <v>0</v>
      </c>
      <c r="T236" s="291"/>
      <c r="X236" s="291" t="str">
        <v>INE101I01011</v>
      </c>
      <c r="Z236" s="290" t="s">
        <v>1138</v>
      </c>
      <c r="AB236" t="s">
        <v>1336</v>
      </c>
      <c r="AC236" t="s">
        <v>1337</v>
      </c>
      <c r="AD236" t="s">
        <v>813</v>
      </c>
      <c r="AE236">
        <v>32.2485213052923</v>
      </c>
      <c r="AF236">
        <v>10.9933053545759</v>
      </c>
      <c r="AG236">
        <v>4868.1</v>
      </c>
      <c r="AH236">
        <v>13.236266</v>
      </c>
      <c r="AI236">
        <v>156988869742.35</v>
      </c>
    </row>
    <row r="237" spans="1:35">
      <c r="A237" s="294" t="s">
        <v>1224</v>
      </c>
      <c r="B237" t="s">
        <v>49</v>
      </c>
      <c r="C237" s="291" t="str">
        <v>Sharda Motor Industries Ltd</v>
      </c>
      <c r="D237" s="295">
        <v>0</v>
      </c>
      <c r="E237" s="293">
        <f t="shared" si="6"/>
        <v>0</v>
      </c>
      <c r="F237" s="291" t="str">
        <v>Consumer Discretionary</v>
      </c>
      <c r="G237" s="293">
        <f t="shared" si="7"/>
        <v>0</v>
      </c>
      <c r="H237" s="291"/>
      <c r="J237" s="36"/>
      <c r="M237" s="294" t="s">
        <v>952</v>
      </c>
      <c r="N237" s="300" t="s">
        <v>65</v>
      </c>
      <c r="O237" s="291" t="str">
        <v>Indus Towers Ltd</v>
      </c>
      <c r="P237" s="301">
        <v>0.00458259899126645</v>
      </c>
      <c r="Q237" s="293">
        <f>P237*VLOOKUP(N237,'Selector Sheet '!$B$13:$D$43,2,FALSE)</f>
        <v>0</v>
      </c>
      <c r="R237" s="291" t="str">
        <v>Communication Services</v>
      </c>
      <c r="S237" s="293">
        <f>P237*VLOOKUP(N237,'Selector Sheet '!$B$13:$D$43,2,FALSE)</f>
        <v>0</v>
      </c>
      <c r="T237" s="291"/>
      <c r="X237" s="291" t="str">
        <v>INE885A01032</v>
      </c>
      <c r="Z237" s="294" t="s">
        <v>1224</v>
      </c>
      <c r="AB237" t="s">
        <v>1338</v>
      </c>
      <c r="AC237" t="s">
        <v>1339</v>
      </c>
      <c r="AD237" t="s">
        <v>813</v>
      </c>
      <c r="AE237">
        <v>18.4182487407981</v>
      </c>
      <c r="AF237">
        <v>13.3165960194138</v>
      </c>
      <c r="AG237">
        <v>9446.7</v>
      </c>
      <c r="AH237">
        <v>51.62</v>
      </c>
      <c r="AI237">
        <v>174011364823</v>
      </c>
    </row>
    <row r="238" spans="1:35">
      <c r="A238" s="290" t="s">
        <v>1025</v>
      </c>
      <c r="B238" t="s">
        <v>49</v>
      </c>
      <c r="C238" s="291" t="str">
        <v>Shree Cement Ltd</v>
      </c>
      <c r="D238" s="292">
        <v>0.0147962906388183</v>
      </c>
      <c r="E238" s="293">
        <f t="shared" si="6"/>
        <v>0</v>
      </c>
      <c r="F238" s="291" t="str">
        <v>Materials</v>
      </c>
      <c r="G238" s="293">
        <f t="shared" si="7"/>
        <v>0</v>
      </c>
      <c r="H238" s="291"/>
      <c r="J238" s="36"/>
      <c r="M238" s="290" t="s">
        <v>955</v>
      </c>
      <c r="N238" s="298" t="s">
        <v>65</v>
      </c>
      <c r="O238" s="291" t="str">
        <v>Infosys Ltd</v>
      </c>
      <c r="P238" s="299">
        <v>0.0254197039291762</v>
      </c>
      <c r="Q238" s="293">
        <f>P238*VLOOKUP(N238,'Selector Sheet '!$B$13:$D$43,2,FALSE)</f>
        <v>0</v>
      </c>
      <c r="R238" s="291" t="str">
        <v>Information Technology</v>
      </c>
      <c r="S238" s="293">
        <f>P238*VLOOKUP(N238,'Selector Sheet '!$B$13:$D$43,2,FALSE)</f>
        <v>0</v>
      </c>
      <c r="T238" s="291"/>
      <c r="X238" s="291" t="str">
        <v>INE949L01017</v>
      </c>
      <c r="Z238" s="290" t="s">
        <v>1025</v>
      </c>
      <c r="AB238" t="s">
        <v>836</v>
      </c>
      <c r="AC238" t="s">
        <v>1340</v>
      </c>
      <c r="AD238" t="s">
        <v>831</v>
      </c>
      <c r="AE238">
        <v>26.8185028248588</v>
      </c>
      <c r="AF238">
        <v>14.1690091761728</v>
      </c>
      <c r="AG238">
        <v>21059.266</v>
      </c>
      <c r="AH238">
        <v>28.32</v>
      </c>
      <c r="AI238">
        <v>566322543619</v>
      </c>
    </row>
    <row r="239" spans="1:35">
      <c r="A239" s="294" t="s">
        <v>1226</v>
      </c>
      <c r="B239" t="s">
        <v>49</v>
      </c>
      <c r="C239" s="291" t="str">
        <v>SKF India Ltd</v>
      </c>
      <c r="D239" s="295">
        <v>0</v>
      </c>
      <c r="E239" s="293">
        <f t="shared" si="6"/>
        <v>0</v>
      </c>
      <c r="F239" s="291" t="str">
        <v>Industrials</v>
      </c>
      <c r="G239" s="293">
        <f t="shared" si="7"/>
        <v>0</v>
      </c>
      <c r="H239" s="291"/>
      <c r="J239" s="36"/>
      <c r="M239" s="294" t="s">
        <v>958</v>
      </c>
      <c r="N239" s="300" t="s">
        <v>65</v>
      </c>
      <c r="O239" s="291" t="str">
        <v>InterGlobe Aviation Ltd</v>
      </c>
      <c r="P239" s="301">
        <v>0.0184463659454113</v>
      </c>
      <c r="Q239" s="293">
        <f>P239*VLOOKUP(N239,'Selector Sheet '!$B$13:$D$43,2,FALSE)</f>
        <v>0</v>
      </c>
      <c r="R239" s="291" t="str">
        <v>Industrials</v>
      </c>
      <c r="S239" s="293">
        <f>P239*VLOOKUP(N239,'Selector Sheet '!$B$13:$D$43,2,FALSE)</f>
        <v>0</v>
      </c>
      <c r="T239" s="291"/>
      <c r="X239" s="291" t="str">
        <v>INE108V01019</v>
      </c>
      <c r="Z239" s="294" t="s">
        <v>1226</v>
      </c>
      <c r="AB239" t="s">
        <v>1341</v>
      </c>
      <c r="AC239" t="s">
        <v>1342</v>
      </c>
      <c r="AD239" t="s">
        <v>998</v>
      </c>
      <c r="AE239">
        <v>59.3333333333333</v>
      </c>
      <c r="AF239">
        <v>-8.34943380981238</v>
      </c>
      <c r="AG239">
        <v>678.7</v>
      </c>
      <c r="AH239">
        <v>9.75</v>
      </c>
      <c r="AI239">
        <v>41243893704</v>
      </c>
    </row>
    <row r="240" spans="1:35">
      <c r="A240" s="290" t="s">
        <v>1036</v>
      </c>
      <c r="B240" t="s">
        <v>49</v>
      </c>
      <c r="C240" s="291" t="str">
        <v>Sona Blw Precision Forgings Lt</v>
      </c>
      <c r="D240" s="292">
        <v>0.029463617952584</v>
      </c>
      <c r="E240" s="293">
        <f t="shared" si="6"/>
        <v>0</v>
      </c>
      <c r="F240" s="291" t="str">
        <v>Consumer Discretionary</v>
      </c>
      <c r="G240" s="293">
        <f t="shared" si="7"/>
        <v>0</v>
      </c>
      <c r="H240" s="291"/>
      <c r="J240" s="36"/>
      <c r="M240" s="290" t="s">
        <v>961</v>
      </c>
      <c r="N240" s="298" t="s">
        <v>65</v>
      </c>
      <c r="O240" s="291" t="str">
        <v>ITC Ltd</v>
      </c>
      <c r="P240" s="299">
        <v>0.0174878487974068</v>
      </c>
      <c r="Q240" s="293">
        <f>P240*VLOOKUP(N240,'Selector Sheet '!$B$13:$D$43,2,FALSE)</f>
        <v>0</v>
      </c>
      <c r="R240" s="291" t="str">
        <v>Consumer Staples</v>
      </c>
      <c r="S240" s="293">
        <f>P240*VLOOKUP(N240,'Selector Sheet '!$B$13:$D$43,2,FALSE)</f>
        <v>0</v>
      </c>
      <c r="T240" s="291"/>
      <c r="X240" s="291" t="str">
        <v>INE791I01019</v>
      </c>
      <c r="Z240" s="290" t="s">
        <v>1036</v>
      </c>
      <c r="AB240" t="s">
        <v>861</v>
      </c>
      <c r="AC240" t="s">
        <v>1343</v>
      </c>
      <c r="AD240" t="s">
        <v>998</v>
      </c>
      <c r="AE240">
        <v>32.9401535214694</v>
      </c>
      <c r="AF240">
        <v>14.7670734057661</v>
      </c>
      <c r="AG240">
        <v>6857.6</v>
      </c>
      <c r="AH240">
        <v>28.74</v>
      </c>
      <c r="AI240">
        <v>231399589986</v>
      </c>
    </row>
    <row r="241" spans="1:35">
      <c r="A241" s="294" t="s">
        <v>1228</v>
      </c>
      <c r="B241" t="s">
        <v>49</v>
      </c>
      <c r="C241" s="291" t="str">
        <v>Star Health &amp; Allied Insurance</v>
      </c>
      <c r="D241" s="295">
        <v>0.00849018665799734</v>
      </c>
      <c r="E241" s="293">
        <f t="shared" si="6"/>
        <v>0</v>
      </c>
      <c r="F241" s="291" t="str">
        <v>Financials</v>
      </c>
      <c r="G241" s="293">
        <f t="shared" si="7"/>
        <v>0</v>
      </c>
      <c r="H241" s="291"/>
      <c r="J241" s="36"/>
      <c r="M241" s="294" t="s">
        <v>1344</v>
      </c>
      <c r="N241" s="300" t="s">
        <v>65</v>
      </c>
      <c r="O241" s="291" t="str">
        <v>JB Chemicals &amp; Pharmaceuticals</v>
      </c>
      <c r="P241" s="301">
        <v>0.00354803249583997</v>
      </c>
      <c r="Q241" s="293">
        <f>P241*VLOOKUP(N241,'Selector Sheet '!$B$13:$D$43,2,FALSE)</f>
        <v>0</v>
      </c>
      <c r="R241" s="291" t="str">
        <v>Health Care</v>
      </c>
      <c r="S241" s="293">
        <f>P241*VLOOKUP(N241,'Selector Sheet '!$B$13:$D$43,2,FALSE)</f>
        <v>0</v>
      </c>
      <c r="T241" s="291"/>
      <c r="X241" s="291" t="str">
        <v>INE752H01013</v>
      </c>
      <c r="Z241" s="294" t="s">
        <v>1228</v>
      </c>
      <c r="AB241" t="s">
        <v>1345</v>
      </c>
      <c r="AC241" t="s">
        <v>1346</v>
      </c>
      <c r="AD241" t="s">
        <v>831</v>
      </c>
      <c r="AE241">
        <v>35.4565259443438</v>
      </c>
      <c r="AF241">
        <v>18.0174676828961</v>
      </c>
      <c r="AG241">
        <v>1372.387</v>
      </c>
      <c r="AH241">
        <v>45.89</v>
      </c>
      <c r="AI241">
        <v>48771531729.4</v>
      </c>
    </row>
    <row r="242" spans="1:35">
      <c r="A242" s="290" t="s">
        <v>1041</v>
      </c>
      <c r="B242" t="s">
        <v>49</v>
      </c>
      <c r="C242" s="291" t="str">
        <v>State Bank of India</v>
      </c>
      <c r="D242" s="292">
        <v>0.00808932017117824</v>
      </c>
      <c r="E242" s="293">
        <f t="shared" si="6"/>
        <v>0</v>
      </c>
      <c r="F242" s="291" t="str">
        <v>Financials</v>
      </c>
      <c r="G242" s="293">
        <f t="shared" si="7"/>
        <v>0</v>
      </c>
      <c r="H242" s="291"/>
      <c r="J242" s="36"/>
      <c r="M242" s="290" t="s">
        <v>1347</v>
      </c>
      <c r="N242" s="298" t="s">
        <v>65</v>
      </c>
      <c r="O242" s="291" t="str">
        <v>Jindal Steel &amp; Power Ltd</v>
      </c>
      <c r="P242" s="299">
        <v>7.9099988560951e-5</v>
      </c>
      <c r="Q242" s="293">
        <f>P242*VLOOKUP(N242,'Selector Sheet '!$B$13:$D$43,2,FALSE)</f>
        <v>0</v>
      </c>
      <c r="R242" s="291" t="str">
        <v>Materials</v>
      </c>
      <c r="S242" s="293">
        <f>P242*VLOOKUP(N242,'Selector Sheet '!$B$13:$D$43,2,FALSE)</f>
        <v>0</v>
      </c>
      <c r="T242" s="291"/>
      <c r="X242" s="291" t="str">
        <v>INE486A01021</v>
      </c>
      <c r="Z242" s="290" t="s">
        <v>1041</v>
      </c>
      <c r="AB242" t="s">
        <v>1348</v>
      </c>
      <c r="AC242" t="s">
        <v>1349</v>
      </c>
      <c r="AD242" t="s">
        <v>994</v>
      </c>
      <c r="AE242">
        <v>15.9292635067489</v>
      </c>
      <c r="AF242">
        <v>11.6735963544953</v>
      </c>
      <c r="AG242">
        <v>13690</v>
      </c>
      <c r="AH242">
        <v>10.32</v>
      </c>
      <c r="AI242">
        <v>217910522987.7</v>
      </c>
    </row>
    <row r="243" spans="1:35">
      <c r="A243" s="294" t="s">
        <v>1044</v>
      </c>
      <c r="B243" t="s">
        <v>49</v>
      </c>
      <c r="C243" s="291" t="str">
        <v>Sun Pharmaceutical Industries</v>
      </c>
      <c r="D243" s="295">
        <v>0.00605511181418703</v>
      </c>
      <c r="E243" s="293">
        <f t="shared" si="6"/>
        <v>0</v>
      </c>
      <c r="F243" s="291" t="str">
        <v>Health Care</v>
      </c>
      <c r="G243" s="293">
        <f t="shared" si="7"/>
        <v>0</v>
      </c>
      <c r="H243" s="291"/>
      <c r="J243" s="36"/>
      <c r="M243" s="294" t="s">
        <v>1350</v>
      </c>
      <c r="N243" s="300" t="s">
        <v>65</v>
      </c>
      <c r="O243" s="291" t="str">
        <v>Jubilant Foodworks Ltd</v>
      </c>
      <c r="P243" s="301">
        <v>0.00519546994502363</v>
      </c>
      <c r="Q243" s="293">
        <f>P243*VLOOKUP(N243,'Selector Sheet '!$B$13:$D$43,2,FALSE)</f>
        <v>0</v>
      </c>
      <c r="R243" s="291" t="str">
        <v>Consumer Discretionary</v>
      </c>
      <c r="S243" s="293">
        <f>P243*VLOOKUP(N243,'Selector Sheet '!$B$13:$D$43,2,FALSE)</f>
        <v>0</v>
      </c>
      <c r="T243" s="291"/>
      <c r="X243" s="291" t="str">
        <v>INE00LO01017</v>
      </c>
      <c r="Z243" s="294" t="s">
        <v>1044</v>
      </c>
      <c r="AB243" t="s">
        <v>889</v>
      </c>
      <c r="AC243" t="s">
        <v>1351</v>
      </c>
      <c r="AD243" t="s">
        <v>813</v>
      </c>
      <c r="AE243">
        <v>83.5803059273423</v>
      </c>
      <c r="AF243">
        <v>8.61936066910019</v>
      </c>
      <c r="AG243">
        <v>1945.7</v>
      </c>
      <c r="AH243">
        <v>83.68</v>
      </c>
      <c r="AI243">
        <v>166845947502</v>
      </c>
    </row>
    <row r="244" spans="1:35">
      <c r="A244" s="290" t="s">
        <v>1230</v>
      </c>
      <c r="B244" t="s">
        <v>49</v>
      </c>
      <c r="C244" s="291" t="str">
        <v>Sun TV Network Ltd</v>
      </c>
      <c r="D244" s="292">
        <v>0.00879569969529793</v>
      </c>
      <c r="E244" s="293">
        <f t="shared" si="6"/>
        <v>0</v>
      </c>
      <c r="F244" s="291" t="str">
        <v>Communication Services</v>
      </c>
      <c r="G244" s="293">
        <f t="shared" si="7"/>
        <v>0</v>
      </c>
      <c r="H244" s="291"/>
      <c r="J244" s="36"/>
      <c r="M244" s="290" t="s">
        <v>967</v>
      </c>
      <c r="N244" s="298" t="s">
        <v>65</v>
      </c>
      <c r="O244" s="291" t="str">
        <v>Jyoti CNC Automation Ltd</v>
      </c>
      <c r="P244" s="299">
        <v>0.00236246781723279</v>
      </c>
      <c r="Q244" s="293">
        <f>P244*VLOOKUP(N244,'Selector Sheet '!$B$13:$D$43,2,FALSE)</f>
        <v>0</v>
      </c>
      <c r="R244" s="291" t="str">
        <v>Industrials</v>
      </c>
      <c r="S244" s="293">
        <f>P244*VLOOKUP(N244,'Selector Sheet '!$B$13:$D$43,2,FALSE)</f>
        <v>0</v>
      </c>
      <c r="T244" s="291"/>
      <c r="X244" s="291" t="str">
        <v>INE055S01018</v>
      </c>
      <c r="Z244" s="290" t="s">
        <v>1230</v>
      </c>
      <c r="AB244" t="s">
        <v>1352</v>
      </c>
      <c r="AC244" t="s">
        <v>1353</v>
      </c>
      <c r="AD244" t="s">
        <v>884</v>
      </c>
      <c r="AE244">
        <v>49.6212121212121</v>
      </c>
      <c r="AF244">
        <v>7.32625094637198</v>
      </c>
      <c r="AG244">
        <v>680.76</v>
      </c>
      <c r="AH244">
        <v>8.58</v>
      </c>
      <c r="AI244">
        <v>33789391597</v>
      </c>
    </row>
    <row r="245" spans="1:35">
      <c r="A245" s="294" t="s">
        <v>1233</v>
      </c>
      <c r="B245" t="s">
        <v>49</v>
      </c>
      <c r="C245" s="291" t="str">
        <v>Suprajit Engineering Ltd</v>
      </c>
      <c r="D245" s="295">
        <v>0.00366634142452348</v>
      </c>
      <c r="E245" s="293">
        <f t="shared" si="6"/>
        <v>0</v>
      </c>
      <c r="F245" s="291" t="str">
        <v>Consumer Discretionary</v>
      </c>
      <c r="G245" s="293">
        <f t="shared" si="7"/>
        <v>0</v>
      </c>
      <c r="H245" s="291"/>
      <c r="J245" s="36"/>
      <c r="M245" s="294" t="s">
        <v>951</v>
      </c>
      <c r="N245" s="300" t="s">
        <v>65</v>
      </c>
      <c r="O245" s="291" t="str">
        <v>Kaynes Technology India Ltd</v>
      </c>
      <c r="P245" s="301">
        <v>0.00141150599541363</v>
      </c>
      <c r="Q245" s="293">
        <f>P245*VLOOKUP(N245,'Selector Sheet '!$B$13:$D$43,2,FALSE)</f>
        <v>0</v>
      </c>
      <c r="R245" s="291" t="str">
        <v>Information Technology</v>
      </c>
      <c r="S245" s="293">
        <f>P245*VLOOKUP(N245,'Selector Sheet '!$B$13:$D$43,2,FALSE)</f>
        <v>0</v>
      </c>
      <c r="T245" s="291"/>
      <c r="X245" s="291" t="str">
        <v>INE00R701025</v>
      </c>
      <c r="Z245" s="294" t="s">
        <v>1233</v>
      </c>
      <c r="AB245" t="s">
        <v>1295</v>
      </c>
      <c r="AC245" t="s">
        <v>1354</v>
      </c>
      <c r="AD245" t="s">
        <v>823</v>
      </c>
      <c r="AE245">
        <v>64.6238357401496</v>
      </c>
      <c r="AF245">
        <v>4.04489058659797</v>
      </c>
      <c r="AG245">
        <v>6830</v>
      </c>
      <c r="AH245">
        <v>36.42</v>
      </c>
      <c r="AI245">
        <v>441453362929.6</v>
      </c>
    </row>
    <row r="246" spans="1:35">
      <c r="A246" s="290" t="s">
        <v>1050</v>
      </c>
      <c r="B246" t="s">
        <v>49</v>
      </c>
      <c r="C246" s="291" t="str">
        <v>Syngene International Ltd</v>
      </c>
      <c r="D246" s="292">
        <v>0.00848439645033462</v>
      </c>
      <c r="E246" s="293">
        <f t="shared" si="6"/>
        <v>0</v>
      </c>
      <c r="F246" s="291" t="str">
        <v>Health Care</v>
      </c>
      <c r="G246" s="293">
        <f t="shared" si="7"/>
        <v>0</v>
      </c>
      <c r="H246" s="291"/>
      <c r="J246" s="36"/>
      <c r="M246" s="290" t="s">
        <v>1355</v>
      </c>
      <c r="N246" s="298" t="s">
        <v>65</v>
      </c>
      <c r="O246" s="291" t="str">
        <v>KEI Industries Ltd</v>
      </c>
      <c r="P246" s="299">
        <v>0.00230683210584372</v>
      </c>
      <c r="Q246" s="293">
        <f>P246*VLOOKUP(N246,'Selector Sheet '!$B$13:$D$43,2,FALSE)</f>
        <v>0</v>
      </c>
      <c r="R246" s="291" t="str">
        <v>Industrials</v>
      </c>
      <c r="S246" s="293">
        <f>P246*VLOOKUP(N246,'Selector Sheet '!$B$13:$D$43,2,FALSE)</f>
        <v>0</v>
      </c>
      <c r="T246" s="291"/>
      <c r="X246" s="291" t="str">
        <v>INE148O01028</v>
      </c>
      <c r="Z246" s="290" t="s">
        <v>1050</v>
      </c>
      <c r="AB246" t="s">
        <v>1356</v>
      </c>
      <c r="AC246" t="s">
        <v>1357</v>
      </c>
      <c r="AD246" t="s">
        <v>813</v>
      </c>
      <c r="AE246">
        <v>173.445695169856</v>
      </c>
      <c r="AF246" t="s">
        <v>824</v>
      </c>
      <c r="AG246">
        <v>1621.1</v>
      </c>
      <c r="AH246">
        <v>2.19</v>
      </c>
      <c r="AI246">
        <v>345746745474.9</v>
      </c>
    </row>
    <row r="247" spans="1:35">
      <c r="A247" s="294" t="s">
        <v>1235</v>
      </c>
      <c r="B247" t="s">
        <v>49</v>
      </c>
      <c r="C247" s="291" t="str">
        <v>Tata Communications Ltd</v>
      </c>
      <c r="D247" s="295">
        <v>0.00562812916784312</v>
      </c>
      <c r="E247" s="293">
        <f t="shared" si="6"/>
        <v>0</v>
      </c>
      <c r="F247" s="291" t="str">
        <v>Communication Services</v>
      </c>
      <c r="G247" s="293">
        <f t="shared" si="7"/>
        <v>0</v>
      </c>
      <c r="H247" s="291"/>
      <c r="J247" s="36"/>
      <c r="M247" s="294" t="s">
        <v>972</v>
      </c>
      <c r="N247" s="300" t="s">
        <v>65</v>
      </c>
      <c r="O247" s="291" t="str">
        <v>Kotak Mahindra Bank Ltd</v>
      </c>
      <c r="P247" s="301">
        <v>0.011068883585259</v>
      </c>
      <c r="Q247" s="293">
        <f>P247*VLOOKUP(N247,'Selector Sheet '!$B$13:$D$43,2,FALSE)</f>
        <v>0</v>
      </c>
      <c r="R247" s="291" t="str">
        <v>Financials</v>
      </c>
      <c r="S247" s="293">
        <f>P247*VLOOKUP(N247,'Selector Sheet '!$B$13:$D$43,2,FALSE)</f>
        <v>0</v>
      </c>
      <c r="T247" s="291"/>
      <c r="X247" s="291" t="str">
        <v>INE02YR01019</v>
      </c>
      <c r="Z247" s="294" t="s">
        <v>1235</v>
      </c>
      <c r="AB247" t="s">
        <v>1358</v>
      </c>
      <c r="AC247" t="s">
        <v>1359</v>
      </c>
      <c r="AD247" t="s">
        <v>838</v>
      </c>
      <c r="AE247">
        <v>30.46875</v>
      </c>
      <c r="AF247">
        <v>11.0356468604037</v>
      </c>
      <c r="AG247">
        <v>1600.48</v>
      </c>
      <c r="AH247">
        <v>4.16</v>
      </c>
      <c r="AI247">
        <v>48766905583.5</v>
      </c>
    </row>
    <row r="248" spans="1:35">
      <c r="A248" s="290" t="s">
        <v>1051</v>
      </c>
      <c r="B248" t="s">
        <v>49</v>
      </c>
      <c r="C248" s="291" t="str">
        <v>Tata Consultancy Services Ltd</v>
      </c>
      <c r="D248" s="292">
        <v>0.0187621613124857</v>
      </c>
      <c r="E248" s="293">
        <f t="shared" si="6"/>
        <v>0</v>
      </c>
      <c r="F248" s="291" t="str">
        <v>Information Technology</v>
      </c>
      <c r="G248" s="293">
        <f t="shared" si="7"/>
        <v>0</v>
      </c>
      <c r="H248" s="291"/>
      <c r="J248" s="36"/>
      <c r="M248" s="290" t="s">
        <v>1360</v>
      </c>
      <c r="N248" s="298" t="s">
        <v>65</v>
      </c>
      <c r="O248" s="291" t="str">
        <v>Krishna Institute of Medical S</v>
      </c>
      <c r="P248" s="299">
        <v>0.00441743100765511</v>
      </c>
      <c r="Q248" s="293">
        <f>P248*VLOOKUP(N248,'Selector Sheet '!$B$13:$D$43,2,FALSE)</f>
        <v>0</v>
      </c>
      <c r="R248" s="291" t="str">
        <v>Health Care</v>
      </c>
      <c r="S248" s="293">
        <f>P248*VLOOKUP(N248,'Selector Sheet '!$B$13:$D$43,2,FALSE)</f>
        <v>0</v>
      </c>
      <c r="T248" s="291"/>
      <c r="X248" s="291" t="str">
        <v>INE548C01032</v>
      </c>
      <c r="Z248" s="290" t="s">
        <v>1051</v>
      </c>
      <c r="AB248" t="s">
        <v>1361</v>
      </c>
      <c r="AC248" t="s">
        <v>1362</v>
      </c>
      <c r="AD248" t="s">
        <v>980</v>
      </c>
      <c r="AE248">
        <v>32.1861465255935</v>
      </c>
      <c r="AF248">
        <v>31.3716540895006</v>
      </c>
      <c r="AG248">
        <v>8064.681</v>
      </c>
      <c r="AH248">
        <v>18.48</v>
      </c>
      <c r="AI248">
        <v>261164816714</v>
      </c>
    </row>
    <row r="249" spans="1:35">
      <c r="A249" s="294" t="s">
        <v>1054</v>
      </c>
      <c r="B249" t="s">
        <v>49</v>
      </c>
      <c r="C249" s="291" t="str">
        <v>Tata Motors Ltd</v>
      </c>
      <c r="D249" s="295">
        <v>0.0111986831950043</v>
      </c>
      <c r="E249" s="293">
        <f t="shared" si="6"/>
        <v>0</v>
      </c>
      <c r="F249" s="291" t="str">
        <v>Consumer Discretionary</v>
      </c>
      <c r="G249" s="293">
        <f t="shared" si="7"/>
        <v>0</v>
      </c>
      <c r="H249" s="291"/>
      <c r="J249" s="36"/>
      <c r="M249" s="294" t="s">
        <v>975</v>
      </c>
      <c r="N249" s="300" t="s">
        <v>65</v>
      </c>
      <c r="O249" s="291" t="str">
        <v>Larsen &amp; Toubro Ltd</v>
      </c>
      <c r="P249" s="301">
        <v>0.0182833020488659</v>
      </c>
      <c r="Q249" s="293">
        <f>P249*VLOOKUP(N249,'Selector Sheet '!$B$13:$D$43,2,FALSE)</f>
        <v>0</v>
      </c>
      <c r="R249" s="291" t="str">
        <v>Industrials</v>
      </c>
      <c r="S249" s="293">
        <f>P249*VLOOKUP(N249,'Selector Sheet '!$B$13:$D$43,2,FALSE)</f>
        <v>0</v>
      </c>
      <c r="T249" s="291"/>
      <c r="X249" s="291" t="str">
        <v>INE168P01015</v>
      </c>
      <c r="Z249" s="294" t="s">
        <v>1054</v>
      </c>
      <c r="AB249" t="s">
        <v>1363</v>
      </c>
      <c r="AC249" t="s">
        <v>1364</v>
      </c>
      <c r="AD249" t="s">
        <v>819</v>
      </c>
      <c r="AE249">
        <v>38.7125810372653</v>
      </c>
      <c r="AF249">
        <v>19.1246864722958</v>
      </c>
      <c r="AG249">
        <v>7074.67</v>
      </c>
      <c r="AH249">
        <v>37.3367</v>
      </c>
      <c r="AI249">
        <v>273915364753.8</v>
      </c>
    </row>
    <row r="250" spans="1:35">
      <c r="A250" s="290" t="s">
        <v>1056</v>
      </c>
      <c r="B250" t="s">
        <v>49</v>
      </c>
      <c r="C250" s="291" t="str">
        <v>Tata Steel Ltd</v>
      </c>
      <c r="D250" s="292">
        <v>0.00562740216554371</v>
      </c>
      <c r="E250" s="293">
        <f t="shared" si="6"/>
        <v>0</v>
      </c>
      <c r="F250" s="291" t="str">
        <v>Materials</v>
      </c>
      <c r="G250" s="293">
        <f t="shared" si="7"/>
        <v>0</v>
      </c>
      <c r="H250" s="291"/>
      <c r="J250" s="36"/>
      <c r="M250" s="290" t="s">
        <v>1172</v>
      </c>
      <c r="N250" s="298" t="s">
        <v>65</v>
      </c>
      <c r="O250" s="291" t="str">
        <v>LIC Housing Finance Ltd</v>
      </c>
      <c r="P250" s="299">
        <v>0</v>
      </c>
      <c r="Q250" s="293">
        <f>P250*VLOOKUP(N250,'Selector Sheet '!$B$13:$D$43,2,FALSE)</f>
        <v>0</v>
      </c>
      <c r="R250" s="291" t="str">
        <v>Financials</v>
      </c>
      <c r="S250" s="293">
        <f>P250*VLOOKUP(N250,'Selector Sheet '!$B$13:$D$43,2,FALSE)</f>
        <v>0</v>
      </c>
      <c r="T250" s="291"/>
      <c r="X250" s="291" t="str">
        <v>INE302A01020</v>
      </c>
      <c r="Z250" s="290" t="s">
        <v>1056</v>
      </c>
      <c r="AB250" t="s">
        <v>1365</v>
      </c>
      <c r="AC250" t="s">
        <v>1366</v>
      </c>
      <c r="AD250" t="s">
        <v>838</v>
      </c>
      <c r="AE250">
        <v>40.3262019029913</v>
      </c>
      <c r="AF250">
        <v>5.93302492330172</v>
      </c>
      <c r="AG250">
        <v>7950.2</v>
      </c>
      <c r="AH250">
        <v>9.35</v>
      </c>
      <c r="AI250">
        <v>320492500000</v>
      </c>
    </row>
    <row r="251" spans="1:35">
      <c r="A251" s="294" t="s">
        <v>1059</v>
      </c>
      <c r="B251" t="s">
        <v>49</v>
      </c>
      <c r="C251" s="291" t="str">
        <v>Tech Mahindra Ltd</v>
      </c>
      <c r="D251" s="295">
        <v>0.00382998146872109</v>
      </c>
      <c r="E251" s="293">
        <f t="shared" si="6"/>
        <v>0</v>
      </c>
      <c r="F251" s="291" t="str">
        <v>Information Technology</v>
      </c>
      <c r="G251" s="293">
        <f t="shared" si="7"/>
        <v>0</v>
      </c>
      <c r="H251" s="291"/>
      <c r="J251" s="36"/>
      <c r="M251" s="294" t="s">
        <v>978</v>
      </c>
      <c r="N251" s="300" t="s">
        <v>65</v>
      </c>
      <c r="O251" s="291" t="str">
        <v>Lupin Ltd</v>
      </c>
      <c r="P251" s="301">
        <v>0.00129760018720331</v>
      </c>
      <c r="Q251" s="293">
        <f>P251*VLOOKUP(N251,'Selector Sheet '!$B$13:$D$43,2,FALSE)</f>
        <v>0</v>
      </c>
      <c r="R251" s="291" t="str">
        <v>Health Care</v>
      </c>
      <c r="S251" s="293">
        <f>P251*VLOOKUP(N251,'Selector Sheet '!$B$13:$D$43,2,FALSE)</f>
        <v>0</v>
      </c>
      <c r="T251" s="291"/>
      <c r="X251" s="291" t="str">
        <v>INE235A01022</v>
      </c>
      <c r="Z251" s="294" t="s">
        <v>1059</v>
      </c>
      <c r="AB251" t="s">
        <v>1367</v>
      </c>
      <c r="AC251" t="s">
        <v>1368</v>
      </c>
      <c r="AD251" t="s">
        <v>813</v>
      </c>
      <c r="AE251">
        <v>18.1143605412484</v>
      </c>
      <c r="AF251">
        <v>13.4232854552821</v>
      </c>
      <c r="AG251">
        <v>7007.7</v>
      </c>
      <c r="AH251">
        <v>45.82</v>
      </c>
      <c r="AI251">
        <v>126939656350</v>
      </c>
    </row>
    <row r="252" spans="1:35">
      <c r="A252" s="290" t="s">
        <v>1232</v>
      </c>
      <c r="B252" t="s">
        <v>49</v>
      </c>
      <c r="C252" s="291" t="str">
        <v>Phoenix Mills Ltd/The</v>
      </c>
      <c r="D252" s="292">
        <v>0.00544889944120144</v>
      </c>
      <c r="E252" s="293">
        <f t="shared" si="6"/>
        <v>0</v>
      </c>
      <c r="F252" s="291" t="str">
        <v>Real Estate</v>
      </c>
      <c r="G252" s="293">
        <f t="shared" si="7"/>
        <v>0</v>
      </c>
      <c r="H252" s="291"/>
      <c r="J252" s="36"/>
      <c r="M252" s="290" t="s">
        <v>966</v>
      </c>
      <c r="N252" s="298" t="s">
        <v>65</v>
      </c>
      <c r="O252" s="291" t="str">
        <v>Mahindra &amp; Mahindra Ltd</v>
      </c>
      <c r="P252" s="299">
        <v>0.0163747639309823</v>
      </c>
      <c r="Q252" s="293">
        <f>P252*VLOOKUP(N252,'Selector Sheet '!$B$13:$D$43,2,FALSE)</f>
        <v>0</v>
      </c>
      <c r="R252" s="291" t="str">
        <v>Consumer Discretionary</v>
      </c>
      <c r="S252" s="293">
        <f>P252*VLOOKUP(N252,'Selector Sheet '!$B$13:$D$43,2,FALSE)</f>
        <v>0</v>
      </c>
      <c r="T252" s="291"/>
      <c r="X252" s="291" t="str">
        <v>INE0BJS01011</v>
      </c>
      <c r="Z252" s="290" t="s">
        <v>1232</v>
      </c>
      <c r="AB252" t="s">
        <v>1369</v>
      </c>
      <c r="AC252" t="s">
        <v>1370</v>
      </c>
      <c r="AD252" t="s">
        <v>838</v>
      </c>
      <c r="AE252">
        <v>40.0953199187157</v>
      </c>
      <c r="AF252">
        <v>14.370367797387</v>
      </c>
      <c r="AG252">
        <v>934.987</v>
      </c>
      <c r="AH252">
        <v>17.31</v>
      </c>
      <c r="AI252">
        <v>37484935345.2</v>
      </c>
    </row>
    <row r="253" spans="1:35">
      <c r="A253" s="294" t="s">
        <v>1239</v>
      </c>
      <c r="B253" t="s">
        <v>49</v>
      </c>
      <c r="C253" s="291" t="str">
        <v>Tube Investments of India Ltd</v>
      </c>
      <c r="D253" s="295">
        <v>0.00359229043291418</v>
      </c>
      <c r="E253" s="293">
        <f t="shared" si="6"/>
        <v>0</v>
      </c>
      <c r="F253" s="291" t="str">
        <v>Consumer Discretionary</v>
      </c>
      <c r="G253" s="293">
        <f t="shared" si="7"/>
        <v>0</v>
      </c>
      <c r="H253" s="291"/>
      <c r="J253" s="36"/>
      <c r="M253" s="294" t="s">
        <v>1307</v>
      </c>
      <c r="N253" s="300" t="s">
        <v>65</v>
      </c>
      <c r="O253" s="291" t="str">
        <v>Mahindra Lifespace Developers</v>
      </c>
      <c r="P253" s="301">
        <v>0.00437217888040455</v>
      </c>
      <c r="Q253" s="293">
        <f>P253*VLOOKUP(N253,'Selector Sheet '!$B$13:$D$43,2,FALSE)</f>
        <v>0</v>
      </c>
      <c r="R253" s="291" t="str">
        <v>Real Estate</v>
      </c>
      <c r="S253" s="293">
        <f>P253*VLOOKUP(N253,'Selector Sheet '!$B$13:$D$43,2,FALSE)</f>
        <v>0</v>
      </c>
      <c r="T253" s="291"/>
      <c r="X253" s="291" t="str">
        <v>INE07Y701011</v>
      </c>
      <c r="Z253" s="294" t="s">
        <v>1239</v>
      </c>
      <c r="AB253" t="s">
        <v>1371</v>
      </c>
      <c r="AC253" t="s">
        <v>1372</v>
      </c>
      <c r="AD253" t="s">
        <v>813</v>
      </c>
      <c r="AE253">
        <v>237.325371273169</v>
      </c>
      <c r="AF253">
        <v>13.7775880071331</v>
      </c>
      <c r="AG253">
        <v>3839.8</v>
      </c>
      <c r="AH253">
        <v>86.147553</v>
      </c>
      <c r="AI253">
        <v>911281961535</v>
      </c>
    </row>
    <row r="254" spans="1:35">
      <c r="A254" s="290" t="s">
        <v>1069</v>
      </c>
      <c r="B254" t="s">
        <v>49</v>
      </c>
      <c r="C254" s="291" t="str">
        <v>TVS Motor Co Ltd</v>
      </c>
      <c r="D254" s="292">
        <v>0.00757988944157746</v>
      </c>
      <c r="E254" s="293">
        <f t="shared" si="6"/>
        <v>0</v>
      </c>
      <c r="F254" s="291" t="str">
        <v>Consumer Discretionary</v>
      </c>
      <c r="G254" s="293">
        <f t="shared" si="7"/>
        <v>0</v>
      </c>
      <c r="H254" s="291"/>
      <c r="J254" s="36"/>
      <c r="M254" s="290" t="s">
        <v>990</v>
      </c>
      <c r="N254" s="298" t="s">
        <v>65</v>
      </c>
      <c r="O254" s="291" t="str">
        <v>Maruti Suzuki India Ltd</v>
      </c>
      <c r="P254" s="299">
        <v>0.0110598000874376</v>
      </c>
      <c r="Q254" s="293">
        <f>P254*VLOOKUP(N254,'Selector Sheet '!$B$13:$D$43,2,FALSE)</f>
        <v>0</v>
      </c>
      <c r="R254" s="291" t="str">
        <v>Consumer Discretionary</v>
      </c>
      <c r="S254" s="293">
        <f>P254*VLOOKUP(N254,'Selector Sheet '!$B$13:$D$43,2,FALSE)</f>
        <v>0</v>
      </c>
      <c r="T254" s="291"/>
      <c r="X254" s="291" t="str">
        <v>INE09VQ01012</v>
      </c>
      <c r="Z254" s="290" t="s">
        <v>1069</v>
      </c>
      <c r="AB254" t="s">
        <v>1373</v>
      </c>
      <c r="AC254" t="s">
        <v>1374</v>
      </c>
      <c r="AD254" t="s">
        <v>823</v>
      </c>
      <c r="AE254">
        <v>37.6075252409904</v>
      </c>
      <c r="AF254">
        <v>14.6694001606134</v>
      </c>
      <c r="AG254">
        <v>1417.589</v>
      </c>
      <c r="AH254">
        <v>29.76</v>
      </c>
      <c r="AI254">
        <v>53312764074.4</v>
      </c>
    </row>
    <row r="255" spans="1:35">
      <c r="A255" s="294" t="s">
        <v>1090</v>
      </c>
      <c r="B255" t="s">
        <v>49</v>
      </c>
      <c r="C255" s="291" t="str">
        <v>United Breweries Ltd</v>
      </c>
      <c r="D255" s="295">
        <v>0.0128950333650545</v>
      </c>
      <c r="E255" s="293">
        <f t="shared" si="6"/>
        <v>0</v>
      </c>
      <c r="F255" s="291" t="str">
        <v>Consumer Staples</v>
      </c>
      <c r="G255" s="293">
        <f t="shared" si="7"/>
        <v>0</v>
      </c>
      <c r="H255" s="291"/>
      <c r="J255" s="36"/>
      <c r="M255" s="294" t="s">
        <v>1375</v>
      </c>
      <c r="N255" s="300" t="s">
        <v>65</v>
      </c>
      <c r="O255" s="291" t="str">
        <v>Metropolis Healthcare Ltd</v>
      </c>
      <c r="P255" s="301">
        <v>0.000670508113818748</v>
      </c>
      <c r="Q255" s="293">
        <f>P255*VLOOKUP(N255,'Selector Sheet '!$B$13:$D$43,2,FALSE)</f>
        <v>0</v>
      </c>
      <c r="R255" s="291" t="str">
        <v>Health Care</v>
      </c>
      <c r="S255" s="293">
        <f>P255*VLOOKUP(N255,'Selector Sheet '!$B$13:$D$43,2,FALSE)</f>
        <v>0</v>
      </c>
      <c r="T255" s="291"/>
      <c r="X255" s="291" t="str">
        <v>INE572A01036</v>
      </c>
      <c r="Z255" s="294" t="s">
        <v>1090</v>
      </c>
      <c r="AB255" t="s">
        <v>1344</v>
      </c>
      <c r="AC255" t="s">
        <v>1376</v>
      </c>
      <c r="AD255" t="s">
        <v>819</v>
      </c>
      <c r="AE255">
        <v>40.3910477169832</v>
      </c>
      <c r="AF255">
        <v>20.7525152736246</v>
      </c>
      <c r="AG255">
        <v>6595.818</v>
      </c>
      <c r="AH255">
        <v>42.45</v>
      </c>
      <c r="AI255">
        <v>268022844514.6</v>
      </c>
    </row>
    <row r="256" spans="1:35">
      <c r="A256" s="290" t="s">
        <v>1241</v>
      </c>
      <c r="B256" t="s">
        <v>49</v>
      </c>
      <c r="C256" s="291" t="str">
        <v>UPL Ltd</v>
      </c>
      <c r="D256" s="292">
        <v>0.011504875914928</v>
      </c>
      <c r="E256" s="293">
        <f t="shared" ref="E256:E319" si="8">_xlfn.IFNA(D256*VLOOKUP($B256,$AK$1:$AM$34,3,FALSE),0)</f>
        <v>0</v>
      </c>
      <c r="F256" s="291" t="str">
        <v>Materials</v>
      </c>
      <c r="G256" s="293">
        <f t="shared" ref="G256:G319" si="9">_xlfn.IFNA(D256*VLOOKUP($B256,$AK$1:$AM$34,3,FALSE),0)</f>
        <v>0</v>
      </c>
      <c r="H256" s="291"/>
      <c r="J256" s="36"/>
      <c r="M256" s="290" t="s">
        <v>974</v>
      </c>
      <c r="N256" s="298" t="s">
        <v>65</v>
      </c>
      <c r="O256" s="291" t="str">
        <v>Mphasis Ltd</v>
      </c>
      <c r="P256" s="299">
        <v>0.0105892942875445</v>
      </c>
      <c r="Q256" s="293">
        <f>P256*VLOOKUP(N256,'Selector Sheet '!$B$13:$D$43,2,FALSE)</f>
        <v>0</v>
      </c>
      <c r="R256" s="291" t="str">
        <v>Information Technology</v>
      </c>
      <c r="S256" s="293">
        <f>P256*VLOOKUP(N256,'Selector Sheet '!$B$13:$D$43,2,FALSE)</f>
        <v>0</v>
      </c>
      <c r="T256" s="291"/>
      <c r="X256" s="291" t="str">
        <v>INE797F01020</v>
      </c>
      <c r="Z256" s="290" t="s">
        <v>1241</v>
      </c>
      <c r="AB256" t="s">
        <v>1350</v>
      </c>
      <c r="AC256" t="s">
        <v>1377</v>
      </c>
      <c r="AD256" t="s">
        <v>838</v>
      </c>
      <c r="AE256">
        <v>163.183525768363</v>
      </c>
      <c r="AF256" t="s">
        <v>824</v>
      </c>
      <c r="AG256">
        <v>2107.64</v>
      </c>
      <c r="AH256">
        <v>3.194143</v>
      </c>
      <c r="AI256">
        <v>426754883100</v>
      </c>
    </row>
    <row r="257" spans="1:35">
      <c r="A257" s="294" t="s">
        <v>1243</v>
      </c>
      <c r="B257" t="s">
        <v>49</v>
      </c>
      <c r="C257" s="291" t="str">
        <v>V-Guard Industries Ltd</v>
      </c>
      <c r="D257" s="295">
        <v>0.00300054927729665</v>
      </c>
      <c r="E257" s="293">
        <f t="shared" si="8"/>
        <v>0</v>
      </c>
      <c r="F257" s="291" t="str">
        <v>Industrials</v>
      </c>
      <c r="G257" s="293">
        <f t="shared" si="9"/>
        <v>0</v>
      </c>
      <c r="H257" s="291"/>
      <c r="J257" s="36"/>
      <c r="M257" s="294" t="s">
        <v>1130</v>
      </c>
      <c r="N257" s="300" t="s">
        <v>65</v>
      </c>
      <c r="O257" s="291" t="str">
        <v>NTPC Green Energy Ltd</v>
      </c>
      <c r="P257" s="301">
        <v>0.00306194846867252</v>
      </c>
      <c r="Q257" s="293">
        <f>P257*VLOOKUP(N257,'Selector Sheet '!$B$13:$D$43,2,FALSE)</f>
        <v>0</v>
      </c>
      <c r="R257" s="291" t="str">
        <v>Utilities</v>
      </c>
      <c r="S257" s="293">
        <f>P257*VLOOKUP(N257,'Selector Sheet '!$B$13:$D$43,2,FALSE)</f>
        <v>0</v>
      </c>
      <c r="T257" s="291"/>
      <c r="X257" s="291" t="str">
        <v>INE531A01024</v>
      </c>
      <c r="Z257" s="294" t="s">
        <v>1243</v>
      </c>
      <c r="AB257" t="s">
        <v>1378</v>
      </c>
      <c r="AC257" t="s">
        <v>1379</v>
      </c>
      <c r="AD257" t="s">
        <v>823</v>
      </c>
      <c r="AE257">
        <v>16.7206501185135</v>
      </c>
      <c r="AF257">
        <v>19.0400908900091</v>
      </c>
      <c r="AG257">
        <v>11429.5</v>
      </c>
      <c r="AH257">
        <v>14.14</v>
      </c>
      <c r="AI257">
        <v>191154249857.88</v>
      </c>
    </row>
    <row r="258" spans="1:35">
      <c r="A258" s="290" t="s">
        <v>1246</v>
      </c>
      <c r="B258" t="s">
        <v>49</v>
      </c>
      <c r="C258" s="291" t="str">
        <v>Vedant Fashions Ltd</v>
      </c>
      <c r="D258" s="292">
        <v>0.00165379687569681</v>
      </c>
      <c r="E258" s="293">
        <f t="shared" si="8"/>
        <v>0</v>
      </c>
      <c r="F258" s="291" t="str">
        <v>Consumer Discretionary</v>
      </c>
      <c r="G258" s="293">
        <f t="shared" si="9"/>
        <v>0</v>
      </c>
      <c r="H258" s="291"/>
      <c r="J258" s="36"/>
      <c r="M258" s="290" t="s">
        <v>992</v>
      </c>
      <c r="N258" s="298" t="s">
        <v>65</v>
      </c>
      <c r="O258" s="291" t="str">
        <v>NTPC Ltd</v>
      </c>
      <c r="P258" s="299">
        <v>0.00770666079438205</v>
      </c>
      <c r="Q258" s="293">
        <f>P258*VLOOKUP(N258,'Selector Sheet '!$B$13:$D$43,2,FALSE)</f>
        <v>0</v>
      </c>
      <c r="R258" s="291" t="str">
        <v>Utilities</v>
      </c>
      <c r="S258" s="293">
        <f>P258*VLOOKUP(N258,'Selector Sheet '!$B$13:$D$43,2,FALSE)</f>
        <v>0</v>
      </c>
      <c r="T258" s="291"/>
      <c r="X258" s="291" t="str">
        <v>INE389H01022</v>
      </c>
      <c r="Z258" s="290" t="s">
        <v>1246</v>
      </c>
      <c r="AB258" t="s">
        <v>1380</v>
      </c>
      <c r="AC258" t="s">
        <v>1381</v>
      </c>
      <c r="AD258" t="s">
        <v>813</v>
      </c>
      <c r="AE258">
        <v>37.8899082568807</v>
      </c>
      <c r="AF258">
        <v>12.0879155790176</v>
      </c>
      <c r="AG258">
        <v>5707.4</v>
      </c>
      <c r="AH258">
        <v>21.8</v>
      </c>
      <c r="AI258">
        <v>219881200000</v>
      </c>
    </row>
    <row r="259" spans="1:35">
      <c r="A259" s="294" t="s">
        <v>1245</v>
      </c>
      <c r="B259" t="s">
        <v>49</v>
      </c>
      <c r="C259" s="291" t="str">
        <v>Vedanta Ltd</v>
      </c>
      <c r="D259" s="295">
        <v>0.0207887684087488</v>
      </c>
      <c r="E259" s="293">
        <f t="shared" si="8"/>
        <v>0</v>
      </c>
      <c r="F259" s="291" t="str">
        <v>Materials</v>
      </c>
      <c r="G259" s="293">
        <f t="shared" si="9"/>
        <v>0</v>
      </c>
      <c r="H259" s="291"/>
      <c r="J259" s="36"/>
      <c r="M259" s="294" t="s">
        <v>1382</v>
      </c>
      <c r="N259" s="300" t="s">
        <v>65</v>
      </c>
      <c r="O259" s="291" t="str">
        <v>Nuvama Wealth Management Ltd</v>
      </c>
      <c r="P259" s="301">
        <v>0.000861113312609615</v>
      </c>
      <c r="Q259" s="293">
        <f>P259*VLOOKUP(N259,'Selector Sheet '!$B$13:$D$43,2,FALSE)</f>
        <v>0</v>
      </c>
      <c r="R259" s="291" t="str">
        <v>Financials</v>
      </c>
      <c r="S259" s="293">
        <f>P259*VLOOKUP(N259,'Selector Sheet '!$B$13:$D$43,2,FALSE)</f>
        <v>0</v>
      </c>
      <c r="T259" s="291"/>
      <c r="X259" s="291" t="str">
        <v>INE717A01029</v>
      </c>
      <c r="Z259" s="294" t="s">
        <v>1245</v>
      </c>
      <c r="AB259" t="s">
        <v>1383</v>
      </c>
      <c r="AC259" t="s">
        <v>1384</v>
      </c>
      <c r="AD259" t="s">
        <v>813</v>
      </c>
      <c r="AE259">
        <v>42.3151732317337</v>
      </c>
      <c r="AF259">
        <v>18.5227272727273</v>
      </c>
      <c r="AG259">
        <v>1141</v>
      </c>
      <c r="AH259">
        <v>51.94</v>
      </c>
      <c r="AI259">
        <v>48304874784</v>
      </c>
    </row>
    <row r="260" spans="1:35">
      <c r="A260" s="290" t="s">
        <v>1103</v>
      </c>
      <c r="B260" t="s">
        <v>49</v>
      </c>
      <c r="C260" s="291" t="str">
        <v>Zee Entertainment Enterprises</v>
      </c>
      <c r="D260" s="292">
        <v>0.00270869441928963</v>
      </c>
      <c r="E260" s="293">
        <f t="shared" si="8"/>
        <v>0</v>
      </c>
      <c r="F260" s="291" t="str">
        <v>Communication Services</v>
      </c>
      <c r="G260" s="293">
        <f t="shared" si="9"/>
        <v>0</v>
      </c>
      <c r="H260" s="291"/>
      <c r="J260" s="36"/>
      <c r="M260" s="290" t="s">
        <v>995</v>
      </c>
      <c r="N260" s="298" t="s">
        <v>65</v>
      </c>
      <c r="O260" s="291" t="str">
        <v>Oberoi Realty Ltd</v>
      </c>
      <c r="P260" s="299">
        <v>0.00445787623681189</v>
      </c>
      <c r="Q260" s="293">
        <f>P260*VLOOKUP(N260,'Selector Sheet '!$B$13:$D$43,2,FALSE)</f>
        <v>0</v>
      </c>
      <c r="R260" s="291" t="str">
        <v>Real Estate</v>
      </c>
      <c r="S260" s="293">
        <f>P260*VLOOKUP(N260,'Selector Sheet '!$B$13:$D$43,2,FALSE)</f>
        <v>0</v>
      </c>
      <c r="T260" s="291"/>
      <c r="X260" s="291" t="str">
        <v>INE766P01016</v>
      </c>
      <c r="Z260" s="290" t="s">
        <v>1103</v>
      </c>
      <c r="AB260" t="s">
        <v>1385</v>
      </c>
      <c r="AC260" t="s">
        <v>1386</v>
      </c>
      <c r="AD260" t="s">
        <v>813</v>
      </c>
      <c r="AE260" t="s">
        <v>824</v>
      </c>
      <c r="AF260" t="s">
        <v>824</v>
      </c>
      <c r="AG260">
        <v>-358.5</v>
      </c>
      <c r="AH260">
        <v>-4.53558224</v>
      </c>
      <c r="AI260">
        <v>23648302439.5</v>
      </c>
    </row>
    <row r="261" spans="1:35">
      <c r="A261" s="294" t="s">
        <v>1087</v>
      </c>
      <c r="B261" t="s">
        <v>49</v>
      </c>
      <c r="C261" s="291" t="str">
        <v>Zydus Lifesciences Ltd</v>
      </c>
      <c r="D261" s="295">
        <v>0.00440598668107693</v>
      </c>
      <c r="E261" s="293">
        <f t="shared" si="8"/>
        <v>0</v>
      </c>
      <c r="F261" s="291" t="str">
        <v>Health Care</v>
      </c>
      <c r="G261" s="293">
        <f t="shared" si="9"/>
        <v>0</v>
      </c>
      <c r="H261" s="291"/>
      <c r="J261" s="36"/>
      <c r="M261" s="294" t="s">
        <v>1191</v>
      </c>
      <c r="N261" s="300" t="s">
        <v>65</v>
      </c>
      <c r="O261" s="291" t="str">
        <v>Oil &amp; Natural Gas Corp Ltd</v>
      </c>
      <c r="P261" s="301">
        <v>0.00407168787714727</v>
      </c>
      <c r="Q261" s="293">
        <f>P261*VLOOKUP(N261,'Selector Sheet '!$B$13:$D$43,2,FALSE)</f>
        <v>0</v>
      </c>
      <c r="R261" s="291" t="str">
        <v>Energy</v>
      </c>
      <c r="S261" s="293">
        <f>P261*VLOOKUP(N261,'Selector Sheet '!$B$13:$D$43,2,FALSE)</f>
        <v>0</v>
      </c>
      <c r="T261" s="291"/>
      <c r="X261" s="291" t="str">
        <v>INE804L01022</v>
      </c>
      <c r="Z261" s="294" t="s">
        <v>1087</v>
      </c>
      <c r="AB261" t="s">
        <v>1387</v>
      </c>
      <c r="AC261" t="s">
        <v>1388</v>
      </c>
      <c r="AD261" t="s">
        <v>980</v>
      </c>
      <c r="AE261">
        <v>64.7494052835372</v>
      </c>
      <c r="AF261">
        <v>9.05965448774489</v>
      </c>
      <c r="AG261">
        <v>1503.22</v>
      </c>
      <c r="AH261">
        <v>12.57</v>
      </c>
      <c r="AI261">
        <v>97459172793.6</v>
      </c>
    </row>
    <row r="262" spans="1:35">
      <c r="A262" s="290" t="s">
        <v>814</v>
      </c>
      <c r="B262" s="124" t="s">
        <v>44</v>
      </c>
      <c r="C262" s="291" t="str">
        <v>ABB India Ltd</v>
      </c>
      <c r="D262" s="292">
        <v>0.00337344175861055</v>
      </c>
      <c r="E262" s="293">
        <f t="shared" si="8"/>
        <v>0</v>
      </c>
      <c r="F262" s="291" t="str">
        <v>Industrials</v>
      </c>
      <c r="G262" s="293">
        <f t="shared" si="9"/>
        <v>0</v>
      </c>
      <c r="H262" s="291"/>
      <c r="J262" s="36"/>
      <c r="M262" s="290" t="s">
        <v>1002</v>
      </c>
      <c r="N262" s="298" t="s">
        <v>65</v>
      </c>
      <c r="O262" s="291" t="str">
        <v>PB Fintech Ltd</v>
      </c>
      <c r="P262" s="299">
        <v>0.00559736768102081</v>
      </c>
      <c r="Q262" s="293">
        <f>P262*VLOOKUP(N262,'Selector Sheet '!$B$13:$D$43,2,FALSE)</f>
        <v>0</v>
      </c>
      <c r="R262" s="291" t="str">
        <v>Financials</v>
      </c>
      <c r="S262" s="293">
        <f>P262*VLOOKUP(N262,'Selector Sheet '!$B$13:$D$43,2,FALSE)</f>
        <v>0</v>
      </c>
      <c r="T262" s="291"/>
      <c r="X262" s="291" t="str">
        <v>INE410P01011</v>
      </c>
      <c r="Z262" s="290" t="s">
        <v>814</v>
      </c>
      <c r="AB262" t="s">
        <v>1389</v>
      </c>
      <c r="AC262" t="s">
        <v>1390</v>
      </c>
      <c r="AD262" t="s">
        <v>819</v>
      </c>
      <c r="AE262">
        <v>47.4958947711735</v>
      </c>
      <c r="AF262" t="s">
        <v>824</v>
      </c>
      <c r="AG262">
        <v>7901.55</v>
      </c>
      <c r="AH262">
        <v>38.664667</v>
      </c>
      <c r="AI262">
        <v>372386257048.8</v>
      </c>
    </row>
    <row r="263" spans="1:35">
      <c r="A263" s="294" t="s">
        <v>1253</v>
      </c>
      <c r="B263" s="124" t="s">
        <v>44</v>
      </c>
      <c r="C263" s="291" t="str">
        <v>Ashok Leyland Ltd</v>
      </c>
      <c r="D263" s="295">
        <v>0.00132106022063543</v>
      </c>
      <c r="E263" s="293">
        <f t="shared" si="8"/>
        <v>0</v>
      </c>
      <c r="F263" s="291" t="str">
        <v>Industrials</v>
      </c>
      <c r="G263" s="293">
        <f t="shared" si="9"/>
        <v>0</v>
      </c>
      <c r="H263" s="291"/>
      <c r="J263" s="36"/>
      <c r="M263" s="294" t="s">
        <v>1005</v>
      </c>
      <c r="N263" s="300" t="s">
        <v>65</v>
      </c>
      <c r="O263" s="291" t="str">
        <v>Persistent Systems Ltd</v>
      </c>
      <c r="P263" s="301">
        <v>0.00878950154753323</v>
      </c>
      <c r="Q263" s="293">
        <f>P263*VLOOKUP(N263,'Selector Sheet '!$B$13:$D$43,2,FALSE)</f>
        <v>0</v>
      </c>
      <c r="R263" s="291" t="str">
        <v>Information Technology</v>
      </c>
      <c r="S263" s="293">
        <f>P263*VLOOKUP(N263,'Selector Sheet '!$B$13:$D$43,2,FALSE)</f>
        <v>0</v>
      </c>
      <c r="T263" s="291"/>
      <c r="X263" s="291" t="str">
        <v>INE995S01015</v>
      </c>
      <c r="Z263" s="294" t="s">
        <v>1253</v>
      </c>
      <c r="AB263" t="s">
        <v>1391</v>
      </c>
      <c r="AC263" t="s">
        <v>1392</v>
      </c>
      <c r="AD263" t="s">
        <v>831</v>
      </c>
      <c r="AE263">
        <v>170.588235294118</v>
      </c>
      <c r="AF263">
        <v>3.39164035982415</v>
      </c>
      <c r="AG263">
        <v>818.52</v>
      </c>
      <c r="AH263">
        <v>0.51</v>
      </c>
      <c r="AI263">
        <v>160576921902</v>
      </c>
    </row>
    <row r="264" spans="1:35">
      <c r="A264" s="290" t="s">
        <v>1101</v>
      </c>
      <c r="B264" s="124" t="s">
        <v>44</v>
      </c>
      <c r="C264" s="291" t="str">
        <v>Asian Paints Ltd</v>
      </c>
      <c r="D264" s="292">
        <v>0.0170569191147426</v>
      </c>
      <c r="E264" s="293">
        <f t="shared" si="8"/>
        <v>0</v>
      </c>
      <c r="F264" s="291" t="str">
        <v>Materials</v>
      </c>
      <c r="G264" s="293">
        <f t="shared" si="9"/>
        <v>0</v>
      </c>
      <c r="H264" s="291"/>
      <c r="J264" s="36"/>
      <c r="M264" s="290" t="s">
        <v>1393</v>
      </c>
      <c r="N264" s="298" t="s">
        <v>65</v>
      </c>
      <c r="O264" s="291" t="str">
        <v>Piramal Pharma Ltd</v>
      </c>
      <c r="P264" s="299">
        <v>0.000983053426174778</v>
      </c>
      <c r="Q264" s="293">
        <f>P264*VLOOKUP(N264,'Selector Sheet '!$B$13:$D$43,2,FALSE)</f>
        <v>0</v>
      </c>
      <c r="R264" s="291" t="str">
        <v>Health Care</v>
      </c>
      <c r="S264" s="293">
        <f>P264*VLOOKUP(N264,'Selector Sheet '!$B$13:$D$43,2,FALSE)</f>
        <v>0</v>
      </c>
      <c r="T264" s="291"/>
      <c r="X264" s="291" t="str">
        <v>INE589A01014</v>
      </c>
      <c r="Z264" s="290" t="s">
        <v>1101</v>
      </c>
      <c r="AB264" t="s">
        <v>1394</v>
      </c>
      <c r="AC264" t="s">
        <v>1395</v>
      </c>
      <c r="AD264" t="s">
        <v>994</v>
      </c>
      <c r="AE264">
        <v>12.1277463637144</v>
      </c>
      <c r="AF264">
        <v>14.8712685815689</v>
      </c>
      <c r="AG264">
        <v>26213.6</v>
      </c>
      <c r="AH264">
        <v>19.57</v>
      </c>
      <c r="AI264">
        <v>329104332780.06</v>
      </c>
    </row>
    <row r="265" spans="1:35">
      <c r="A265" s="294" t="s">
        <v>1255</v>
      </c>
      <c r="B265" s="124" t="s">
        <v>44</v>
      </c>
      <c r="C265" s="291" t="str">
        <v>Aurobindo Pharma Ltd</v>
      </c>
      <c r="D265" s="295">
        <v>0.00520502694343344</v>
      </c>
      <c r="E265" s="293">
        <f t="shared" si="8"/>
        <v>0</v>
      </c>
      <c r="F265" s="291" t="str">
        <v>Health Care</v>
      </c>
      <c r="G265" s="293">
        <f t="shared" si="9"/>
        <v>0</v>
      </c>
      <c r="H265" s="291"/>
      <c r="J265" s="36"/>
      <c r="M265" s="294" t="s">
        <v>1020</v>
      </c>
      <c r="N265" s="300" t="s">
        <v>65</v>
      </c>
      <c r="O265" s="291" t="str">
        <v>Power Finance Corp Ltd</v>
      </c>
      <c r="P265" s="301">
        <v>0.00613332256314458</v>
      </c>
      <c r="Q265" s="293">
        <f>P265*VLOOKUP(N265,'Selector Sheet '!$B$13:$D$43,2,FALSE)</f>
        <v>0</v>
      </c>
      <c r="R265" s="291" t="str">
        <v>Financials</v>
      </c>
      <c r="S265" s="293">
        <f>P265*VLOOKUP(N265,'Selector Sheet '!$B$13:$D$43,2,FALSE)</f>
        <v>0</v>
      </c>
      <c r="T265" s="291"/>
      <c r="X265" s="291" t="str">
        <v>INE0LXG01040</v>
      </c>
      <c r="Z265" s="294" t="s">
        <v>1255</v>
      </c>
      <c r="AB265" t="s">
        <v>1396</v>
      </c>
      <c r="AC265" t="s">
        <v>1397</v>
      </c>
      <c r="AD265" t="s">
        <v>838</v>
      </c>
      <c r="AE265" t="s">
        <v>824</v>
      </c>
      <c r="AF265">
        <v>-63.5546572146334</v>
      </c>
      <c r="AG265">
        <v>-22760</v>
      </c>
      <c r="AH265">
        <v>-5.159828</v>
      </c>
      <c r="AI265">
        <v>185034313675.75</v>
      </c>
    </row>
    <row r="266" spans="1:35">
      <c r="A266" s="290" t="s">
        <v>840</v>
      </c>
      <c r="B266" s="124" t="s">
        <v>44</v>
      </c>
      <c r="C266" s="291" t="str">
        <v>Avenue Supermarts Ltd</v>
      </c>
      <c r="D266" s="292">
        <v>0.00602243104829246</v>
      </c>
      <c r="E266" s="293">
        <f t="shared" si="8"/>
        <v>0</v>
      </c>
      <c r="F266" s="291" t="str">
        <v>Consumer Staples</v>
      </c>
      <c r="G266" s="293">
        <f t="shared" si="9"/>
        <v>0</v>
      </c>
      <c r="H266" s="291"/>
      <c r="J266" s="36"/>
      <c r="M266" s="290" t="s">
        <v>1023</v>
      </c>
      <c r="N266" s="298" t="s">
        <v>65</v>
      </c>
      <c r="O266" s="291" t="str">
        <v>Power Grid Corp of India Ltd</v>
      </c>
      <c r="P266" s="299">
        <v>0.00710886057806479</v>
      </c>
      <c r="Q266" s="293">
        <f>P266*VLOOKUP(N266,'Selector Sheet '!$B$13:$D$43,2,FALSE)</f>
        <v>0</v>
      </c>
      <c r="R266" s="291" t="str">
        <v>Utilities</v>
      </c>
      <c r="S266" s="293">
        <f>P266*VLOOKUP(N266,'Selector Sheet '!$B$13:$D$43,2,FALSE)</f>
        <v>0</v>
      </c>
      <c r="T266" s="291"/>
      <c r="X266" s="291" t="str">
        <v>INE182A01018</v>
      </c>
      <c r="Z266" s="290" t="s">
        <v>840</v>
      </c>
      <c r="AB266" t="s">
        <v>1398</v>
      </c>
      <c r="AC266" t="s">
        <v>1399</v>
      </c>
      <c r="AD266" t="s">
        <v>819</v>
      </c>
      <c r="AE266">
        <v>33.4167709637046</v>
      </c>
      <c r="AF266">
        <v>19.6494281929361</v>
      </c>
      <c r="AG266">
        <v>7676</v>
      </c>
      <c r="AH266">
        <v>167.79</v>
      </c>
      <c r="AI266">
        <v>256507533324</v>
      </c>
    </row>
    <row r="267" spans="1:35">
      <c r="A267" s="294" t="s">
        <v>843</v>
      </c>
      <c r="B267" s="124" t="s">
        <v>44</v>
      </c>
      <c r="C267" s="291" t="str">
        <v>Axis Bank Ltd</v>
      </c>
      <c r="D267" s="295">
        <v>0.0378721444480625</v>
      </c>
      <c r="E267" s="293">
        <f t="shared" si="8"/>
        <v>0</v>
      </c>
      <c r="F267" s="291" t="str">
        <v>Financials</v>
      </c>
      <c r="G267" s="293">
        <f t="shared" si="9"/>
        <v>0</v>
      </c>
      <c r="H267" s="291"/>
      <c r="J267" s="36"/>
      <c r="M267" s="294" t="s">
        <v>1028</v>
      </c>
      <c r="N267" s="300" t="s">
        <v>65</v>
      </c>
      <c r="O267" s="291" t="str">
        <v>Punjab National Bank</v>
      </c>
      <c r="P267" s="301">
        <v>0.000822019488966746</v>
      </c>
      <c r="Q267" s="293">
        <f>P267*VLOOKUP(N267,'Selector Sheet '!$B$13:$D$43,2,FALSE)</f>
        <v>0</v>
      </c>
      <c r="R267" s="291" t="str">
        <v>Financials</v>
      </c>
      <c r="S267" s="293">
        <f>P267*VLOOKUP(N267,'Selector Sheet '!$B$13:$D$43,2,FALSE)</f>
        <v>0</v>
      </c>
      <c r="T267" s="291"/>
      <c r="X267" s="291" t="str">
        <v>INE572E01012</v>
      </c>
      <c r="Z267" s="294" t="s">
        <v>843</v>
      </c>
      <c r="AB267" t="s">
        <v>1400</v>
      </c>
      <c r="AC267" t="s">
        <v>1401</v>
      </c>
      <c r="AD267" t="s">
        <v>831</v>
      </c>
      <c r="AE267">
        <v>10.3690286125474</v>
      </c>
      <c r="AF267">
        <v>12.1626116566057</v>
      </c>
      <c r="AG267">
        <v>19361.4</v>
      </c>
      <c r="AH267">
        <v>74.52</v>
      </c>
      <c r="AI267">
        <v>201251478301.4</v>
      </c>
    </row>
    <row r="268" spans="1:35">
      <c r="A268" s="290" t="s">
        <v>839</v>
      </c>
      <c r="B268" s="124" t="s">
        <v>44</v>
      </c>
      <c r="C268" s="291" t="str">
        <v>Bajaj Auto Ltd</v>
      </c>
      <c r="D268" s="292">
        <v>0.00323162950072398</v>
      </c>
      <c r="E268" s="293">
        <f t="shared" si="8"/>
        <v>0</v>
      </c>
      <c r="F268" s="291" t="str">
        <v>Consumer Discretionary</v>
      </c>
      <c r="G268" s="293">
        <f t="shared" si="9"/>
        <v>0</v>
      </c>
      <c r="H268" s="291"/>
      <c r="J268" s="36"/>
      <c r="M268" s="290" t="s">
        <v>1402</v>
      </c>
      <c r="N268" s="298" t="s">
        <v>65</v>
      </c>
      <c r="O268" s="291" t="str">
        <v>Rainbow Children's Medicare Lt</v>
      </c>
      <c r="P268" s="299">
        <v>0.000215871349981292</v>
      </c>
      <c r="Q268" s="293">
        <f>P268*VLOOKUP(N268,'Selector Sheet '!$B$13:$D$43,2,FALSE)</f>
        <v>0</v>
      </c>
      <c r="R268" s="291" t="str">
        <v>Health Care</v>
      </c>
      <c r="S268" s="293">
        <f>P268*VLOOKUP(N268,'Selector Sheet '!$B$13:$D$43,2,FALSE)</f>
        <v>0</v>
      </c>
      <c r="T268" s="291"/>
      <c r="X268" s="291" t="str">
        <v>INE570L01029</v>
      </c>
      <c r="Z268" s="290" t="s">
        <v>839</v>
      </c>
      <c r="AB268" t="s">
        <v>1403</v>
      </c>
      <c r="AC268" t="s">
        <v>1404</v>
      </c>
      <c r="AD268" t="s">
        <v>819</v>
      </c>
      <c r="AE268">
        <v>102.389578209053</v>
      </c>
      <c r="AF268">
        <v>10.965253901649</v>
      </c>
      <c r="AG268">
        <v>1701.32</v>
      </c>
      <c r="AH268">
        <v>8.83</v>
      </c>
      <c r="AI268">
        <v>188491775809.9</v>
      </c>
    </row>
    <row r="269" spans="1:35">
      <c r="A269" s="294" t="s">
        <v>1257</v>
      </c>
      <c r="B269" s="124" t="s">
        <v>44</v>
      </c>
      <c r="C269" s="291" t="str">
        <v>Bank of Baroda</v>
      </c>
      <c r="D269" s="295">
        <v>0.00507204486808137</v>
      </c>
      <c r="E269" s="293">
        <f t="shared" si="8"/>
        <v>0</v>
      </c>
      <c r="F269" s="291" t="str">
        <v>Financials</v>
      </c>
      <c r="G269" s="293">
        <f t="shared" si="9"/>
        <v>0</v>
      </c>
      <c r="H269" s="291"/>
      <c r="J269" s="36"/>
      <c r="M269" s="294" t="s">
        <v>1220</v>
      </c>
      <c r="N269" s="300" t="s">
        <v>65</v>
      </c>
      <c r="O269" s="291" t="str">
        <v>Ratnamani Metals &amp; Tubes Ltd</v>
      </c>
      <c r="P269" s="301">
        <v>0.00437269207237186</v>
      </c>
      <c r="Q269" s="293">
        <f>P269*VLOOKUP(N269,'Selector Sheet '!$B$13:$D$43,2,FALSE)</f>
        <v>0</v>
      </c>
      <c r="R269" s="291" t="str">
        <v>Materials</v>
      </c>
      <c r="S269" s="293">
        <f>P269*VLOOKUP(N269,'Selector Sheet '!$B$13:$D$43,2,FALSE)</f>
        <v>0</v>
      </c>
      <c r="T269" s="291"/>
      <c r="X269" s="291" t="str">
        <v>INE0UOS01011</v>
      </c>
      <c r="Z269" s="294" t="s">
        <v>1257</v>
      </c>
      <c r="AB269" t="s">
        <v>1405</v>
      </c>
      <c r="AC269" t="s">
        <v>1406</v>
      </c>
      <c r="AD269" t="s">
        <v>819</v>
      </c>
      <c r="AE269" t="s">
        <v>824</v>
      </c>
      <c r="AF269" t="s">
        <v>824</v>
      </c>
      <c r="AG269">
        <v>1810</v>
      </c>
      <c r="AH269" t="s">
        <v>824</v>
      </c>
      <c r="AI269">
        <v>120685065404.4</v>
      </c>
    </row>
    <row r="270" spans="1:35">
      <c r="A270" s="290" t="s">
        <v>853</v>
      </c>
      <c r="B270" s="124" t="s">
        <v>44</v>
      </c>
      <c r="C270" s="291" t="str">
        <v>Bharat Petroleum Corp Ltd</v>
      </c>
      <c r="D270" s="292">
        <v>0.00917110920972832</v>
      </c>
      <c r="E270" s="293">
        <f t="shared" si="8"/>
        <v>0</v>
      </c>
      <c r="F270" s="291" t="str">
        <v>Energy</v>
      </c>
      <c r="G270" s="293">
        <f t="shared" si="9"/>
        <v>0</v>
      </c>
      <c r="H270" s="291"/>
      <c r="J270" s="36"/>
      <c r="M270" s="290" t="s">
        <v>1034</v>
      </c>
      <c r="N270" s="298" t="s">
        <v>65</v>
      </c>
      <c r="O270" s="291" t="str">
        <v>Reliance Industries Ltd</v>
      </c>
      <c r="P270" s="299">
        <v>0.0388364407648656</v>
      </c>
      <c r="Q270" s="293">
        <f>P270*VLOOKUP(N270,'Selector Sheet '!$B$13:$D$43,2,FALSE)</f>
        <v>0</v>
      </c>
      <c r="R270" s="291" t="str">
        <v>Energy</v>
      </c>
      <c r="S270" s="293">
        <f>P270*VLOOKUP(N270,'Selector Sheet '!$B$13:$D$43,2,FALSE)</f>
        <v>0</v>
      </c>
      <c r="T270" s="291"/>
      <c r="X270" s="291" t="str">
        <v>INE058A01010</v>
      </c>
      <c r="Z270" s="290" t="s">
        <v>853</v>
      </c>
      <c r="AB270" t="s">
        <v>1407</v>
      </c>
      <c r="AC270" t="s">
        <v>1408</v>
      </c>
      <c r="AD270" t="s">
        <v>819</v>
      </c>
      <c r="AE270">
        <v>37.809265105352</v>
      </c>
      <c r="AF270">
        <v>44.0665316131784</v>
      </c>
      <c r="AG270">
        <v>4133</v>
      </c>
      <c r="AH270">
        <v>179.46</v>
      </c>
      <c r="AI270">
        <v>118607703300</v>
      </c>
    </row>
    <row r="271" spans="1:35">
      <c r="A271" s="294" t="s">
        <v>855</v>
      </c>
      <c r="B271" s="124" t="s">
        <v>44</v>
      </c>
      <c r="C271" s="291" t="str">
        <v>Bharti Airtel Ltd</v>
      </c>
      <c r="D271" s="295">
        <v>0.0449387532872666</v>
      </c>
      <c r="E271" s="293">
        <f t="shared" si="8"/>
        <v>0</v>
      </c>
      <c r="F271" s="291" t="str">
        <v>Communication Services</v>
      </c>
      <c r="G271" s="293">
        <f t="shared" si="9"/>
        <v>0</v>
      </c>
      <c r="H271" s="291"/>
      <c r="J271" s="36"/>
      <c r="M271" s="294" t="s">
        <v>1019</v>
      </c>
      <c r="N271" s="300" t="s">
        <v>65</v>
      </c>
      <c r="O271" s="291" t="str">
        <v>Samvardhana Motherson Internat</v>
      </c>
      <c r="P271" s="301">
        <v>0.00471764260639685</v>
      </c>
      <c r="Q271" s="293">
        <f>P271*VLOOKUP(N271,'Selector Sheet '!$B$13:$D$43,2,FALSE)</f>
        <v>0</v>
      </c>
      <c r="R271" s="291" t="str">
        <v>Consumer Discretionary</v>
      </c>
      <c r="S271" s="293">
        <f>P271*VLOOKUP(N271,'Selector Sheet '!$B$13:$D$43,2,FALSE)</f>
        <v>0</v>
      </c>
      <c r="T271" s="291"/>
      <c r="X271" s="291" t="str">
        <v>INE953O01021</v>
      </c>
      <c r="Z271" s="294" t="s">
        <v>855</v>
      </c>
      <c r="AB271" t="s">
        <v>1409</v>
      </c>
      <c r="AC271" t="s">
        <v>1410</v>
      </c>
      <c r="AD271" t="s">
        <v>838</v>
      </c>
      <c r="AE271">
        <v>36.9118150815859</v>
      </c>
      <c r="AF271">
        <v>10.5017114503914</v>
      </c>
      <c r="AG271">
        <v>2151.64</v>
      </c>
      <c r="AH271">
        <v>34.747681</v>
      </c>
      <c r="AI271">
        <v>79644007667.4</v>
      </c>
    </row>
    <row r="272" spans="1:35">
      <c r="A272" s="290" t="s">
        <v>1261</v>
      </c>
      <c r="B272" s="124" t="s">
        <v>44</v>
      </c>
      <c r="C272" s="291" t="str">
        <v>Birla Corp Ltd</v>
      </c>
      <c r="D272" s="292">
        <v>0.000376524610963056</v>
      </c>
      <c r="E272" s="293">
        <f t="shared" si="8"/>
        <v>0</v>
      </c>
      <c r="F272" s="291" t="str">
        <v>Materials</v>
      </c>
      <c r="G272" s="293">
        <f t="shared" si="9"/>
        <v>0</v>
      </c>
      <c r="H272" s="291"/>
      <c r="J272" s="36"/>
      <c r="M272" s="290" t="s">
        <v>1409</v>
      </c>
      <c r="N272" s="298" t="s">
        <v>65</v>
      </c>
      <c r="O272" s="291" t="str">
        <v>Sansera Engineering Ltd</v>
      </c>
      <c r="P272" s="299">
        <v>0.00382954680057282</v>
      </c>
      <c r="Q272" s="293">
        <f>P272*VLOOKUP(N272,'Selector Sheet '!$B$13:$D$43,2,FALSE)</f>
        <v>0</v>
      </c>
      <c r="R272" s="291" t="str">
        <v>Consumer Discretionary</v>
      </c>
      <c r="S272" s="293">
        <f>P272*VLOOKUP(N272,'Selector Sheet '!$B$13:$D$43,2,FALSE)</f>
        <v>0</v>
      </c>
      <c r="T272" s="291"/>
      <c r="X272" s="291" t="str">
        <v>INE806T01020</v>
      </c>
      <c r="Z272" s="290" t="s">
        <v>1261</v>
      </c>
      <c r="AB272" t="s">
        <v>1411</v>
      </c>
      <c r="AC272" t="s">
        <v>1412</v>
      </c>
      <c r="AD272" t="s">
        <v>838</v>
      </c>
      <c r="AE272">
        <v>517.5</v>
      </c>
      <c r="AF272">
        <v>1.4067629546333</v>
      </c>
      <c r="AG272">
        <v>192.53</v>
      </c>
      <c r="AH272">
        <v>0.6</v>
      </c>
      <c r="AI272">
        <v>99789392002.5</v>
      </c>
    </row>
    <row r="273" spans="1:35">
      <c r="A273" s="294" t="s">
        <v>878</v>
      </c>
      <c r="B273" s="124" t="s">
        <v>44</v>
      </c>
      <c r="C273" s="291" t="str">
        <v>Cipla Ltd/India</v>
      </c>
      <c r="D273" s="295">
        <v>0.00149169768236907</v>
      </c>
      <c r="E273" s="293">
        <f t="shared" si="8"/>
        <v>0</v>
      </c>
      <c r="F273" s="291" t="str">
        <v>Health Care</v>
      </c>
      <c r="G273" s="293">
        <f t="shared" si="9"/>
        <v>0</v>
      </c>
      <c r="H273" s="291"/>
      <c r="J273" s="36"/>
      <c r="M273" s="294" t="s">
        <v>1022</v>
      </c>
      <c r="N273" s="300" t="s">
        <v>65</v>
      </c>
      <c r="O273" s="291" t="str">
        <v>Schaeffler India Ltd</v>
      </c>
      <c r="P273" s="301">
        <v>0.00716825969721412</v>
      </c>
      <c r="Q273" s="293">
        <f>P273*VLOOKUP(N273,'Selector Sheet '!$B$13:$D$43,2,FALSE)</f>
        <v>0</v>
      </c>
      <c r="R273" s="291" t="str">
        <v>Industrials</v>
      </c>
      <c r="S273" s="293">
        <f>P273*VLOOKUP(N273,'Selector Sheet '!$B$13:$D$43,2,FALSE)</f>
        <v>0</v>
      </c>
      <c r="T273" s="291"/>
      <c r="X273" s="291" t="str">
        <v>INE839M01018</v>
      </c>
      <c r="Z273" s="294" t="s">
        <v>878</v>
      </c>
      <c r="AB273" t="s">
        <v>1413</v>
      </c>
      <c r="AC273" t="s">
        <v>1414</v>
      </c>
      <c r="AD273" t="s">
        <v>813</v>
      </c>
      <c r="AE273">
        <v>76.9642857142857</v>
      </c>
      <c r="AF273">
        <v>69.2642819283027</v>
      </c>
      <c r="AG273">
        <v>2678.9</v>
      </c>
      <c r="AH273">
        <v>11.2</v>
      </c>
      <c r="AI273">
        <v>206107678170</v>
      </c>
    </row>
    <row r="274" spans="1:35">
      <c r="A274" s="290" t="s">
        <v>880</v>
      </c>
      <c r="B274" s="124" t="s">
        <v>44</v>
      </c>
      <c r="C274" s="291" t="str">
        <v>Coal India Ltd</v>
      </c>
      <c r="D274" s="292">
        <v>0</v>
      </c>
      <c r="E274" s="293">
        <f t="shared" si="8"/>
        <v>0</v>
      </c>
      <c r="F274" s="291" t="str">
        <v>Energy</v>
      </c>
      <c r="G274" s="293">
        <f t="shared" si="9"/>
        <v>0</v>
      </c>
      <c r="H274" s="291"/>
      <c r="J274" s="36"/>
      <c r="M274" s="290" t="s">
        <v>1311</v>
      </c>
      <c r="N274" s="298" t="s">
        <v>65</v>
      </c>
      <c r="O274" s="291" t="str">
        <v>Shriram Finance Ltd</v>
      </c>
      <c r="P274" s="299">
        <v>0.00418210968211287</v>
      </c>
      <c r="Q274" s="293">
        <f>P274*VLOOKUP(N274,'Selector Sheet '!$B$13:$D$43,2,FALSE)</f>
        <v>0</v>
      </c>
      <c r="R274" s="291" t="str">
        <v>Financials</v>
      </c>
      <c r="S274" s="293">
        <f>P274*VLOOKUP(N274,'Selector Sheet '!$B$13:$D$43,2,FALSE)</f>
        <v>0</v>
      </c>
      <c r="T274" s="291"/>
      <c r="X274" s="291" t="str">
        <v>INE916U01025</v>
      </c>
      <c r="Z274" s="290" t="s">
        <v>880</v>
      </c>
      <c r="AB274" t="s">
        <v>1415</v>
      </c>
      <c r="AC274" t="s">
        <v>1416</v>
      </c>
      <c r="AD274" t="s">
        <v>838</v>
      </c>
      <c r="AE274">
        <v>76.565873189889</v>
      </c>
      <c r="AF274">
        <v>3.22699269065502</v>
      </c>
      <c r="AG274">
        <v>960.9</v>
      </c>
      <c r="AH274">
        <v>8.8401</v>
      </c>
      <c r="AI274">
        <v>73580890089.3</v>
      </c>
    </row>
    <row r="275" spans="1:35">
      <c r="A275" s="294" t="s">
        <v>897</v>
      </c>
      <c r="B275" s="124" t="s">
        <v>44</v>
      </c>
      <c r="C275" s="291" t="str">
        <v>Cummins India Ltd</v>
      </c>
      <c r="D275" s="295">
        <v>0.0116534171377551</v>
      </c>
      <c r="E275" s="293">
        <f t="shared" si="8"/>
        <v>0</v>
      </c>
      <c r="F275" s="291" t="str">
        <v>Industrials</v>
      </c>
      <c r="G275" s="293">
        <f t="shared" si="9"/>
        <v>0</v>
      </c>
      <c r="H275" s="291"/>
      <c r="J275" s="36"/>
      <c r="M275" s="294" t="s">
        <v>1033</v>
      </c>
      <c r="N275" s="300" t="s">
        <v>65</v>
      </c>
      <c r="O275" s="291" t="str">
        <v>Solar Industries India Ltd</v>
      </c>
      <c r="P275" s="301">
        <v>0.0124125513047276</v>
      </c>
      <c r="Q275" s="293">
        <f>P275*VLOOKUP(N275,'Selector Sheet '!$B$13:$D$43,2,FALSE)</f>
        <v>0</v>
      </c>
      <c r="R275" s="291" t="str">
        <v>Materials</v>
      </c>
      <c r="S275" s="293">
        <f>P275*VLOOKUP(N275,'Selector Sheet '!$B$13:$D$43,2,FALSE)</f>
        <v>0</v>
      </c>
      <c r="T275" s="291"/>
      <c r="X275" s="291" t="str">
        <v>INE498B01024</v>
      </c>
      <c r="Z275" s="294" t="s">
        <v>897</v>
      </c>
      <c r="AB275" t="s">
        <v>1417</v>
      </c>
      <c r="AC275" t="s">
        <v>1418</v>
      </c>
      <c r="AD275" t="s">
        <v>838</v>
      </c>
      <c r="AE275">
        <v>316.257668711656</v>
      </c>
      <c r="AF275" t="s">
        <v>824</v>
      </c>
      <c r="AG275">
        <v>108.9</v>
      </c>
      <c r="AH275">
        <v>0.99</v>
      </c>
      <c r="AI275">
        <v>56735456255.5</v>
      </c>
    </row>
    <row r="276" spans="1:35">
      <c r="A276" s="290" t="s">
        <v>1265</v>
      </c>
      <c r="B276" s="124" t="s">
        <v>44</v>
      </c>
      <c r="C276" s="291" t="str">
        <v>DLF Ltd</v>
      </c>
      <c r="D276" s="292">
        <v>0.0118665743173754</v>
      </c>
      <c r="E276" s="293">
        <f t="shared" si="8"/>
        <v>0</v>
      </c>
      <c r="F276" s="291" t="str">
        <v>Real Estate</v>
      </c>
      <c r="G276" s="293">
        <f t="shared" si="9"/>
        <v>0</v>
      </c>
      <c r="H276" s="291"/>
      <c r="J276" s="36"/>
      <c r="M276" s="290" t="s">
        <v>1039</v>
      </c>
      <c r="N276" s="298" t="s">
        <v>65</v>
      </c>
      <c r="O276" s="291" t="str">
        <v>SRF Ltd</v>
      </c>
      <c r="P276" s="299">
        <v>0.00324890430236253</v>
      </c>
      <c r="Q276" s="293">
        <f>P276*VLOOKUP(N276,'Selector Sheet '!$B$13:$D$43,2,FALSE)</f>
        <v>0</v>
      </c>
      <c r="R276" s="291" t="str">
        <v>Materials</v>
      </c>
      <c r="S276" s="293">
        <f>P276*VLOOKUP(N276,'Selector Sheet '!$B$13:$D$43,2,FALSE)</f>
        <v>0</v>
      </c>
      <c r="T276" s="291"/>
      <c r="X276" s="291" t="str">
        <v>INE985S01024</v>
      </c>
      <c r="Z276" s="290" t="s">
        <v>1265</v>
      </c>
      <c r="AB276" t="s">
        <v>1419</v>
      </c>
      <c r="AC276" t="s">
        <v>1420</v>
      </c>
      <c r="AD276" t="s">
        <v>813</v>
      </c>
      <c r="AE276">
        <v>26.8640151775218</v>
      </c>
      <c r="AF276">
        <v>12.7583698941886</v>
      </c>
      <c r="AG276">
        <v>1087.6</v>
      </c>
      <c r="AH276">
        <v>64.86</v>
      </c>
      <c r="AI276">
        <v>29218131360</v>
      </c>
    </row>
    <row r="277" spans="1:35">
      <c r="A277" s="294" t="s">
        <v>895</v>
      </c>
      <c r="B277" s="124" t="s">
        <v>44</v>
      </c>
      <c r="C277" s="291" t="str">
        <v>Dr Reddy's Laboratories Ltd</v>
      </c>
      <c r="D277" s="295">
        <v>0.00646873624986659</v>
      </c>
      <c r="E277" s="293">
        <f t="shared" si="8"/>
        <v>0</v>
      </c>
      <c r="F277" s="291" t="str">
        <v>Health Care</v>
      </c>
      <c r="G277" s="293">
        <f t="shared" si="9"/>
        <v>0</v>
      </c>
      <c r="H277" s="291"/>
      <c r="J277" s="36"/>
      <c r="M277" s="294" t="s">
        <v>1041</v>
      </c>
      <c r="N277" s="300" t="s">
        <v>65</v>
      </c>
      <c r="O277" s="291" t="str">
        <v>State Bank of India</v>
      </c>
      <c r="P277" s="301">
        <v>0.0260122125660972</v>
      </c>
      <c r="Q277" s="293">
        <f>P277*VLOOKUP(N277,'Selector Sheet '!$B$13:$D$43,2,FALSE)</f>
        <v>0</v>
      </c>
      <c r="R277" s="291" t="str">
        <v>Financials</v>
      </c>
      <c r="S277" s="293">
        <f>P277*VLOOKUP(N277,'Selector Sheet '!$B$13:$D$43,2,FALSE)</f>
        <v>0</v>
      </c>
      <c r="T277" s="291"/>
      <c r="X277" s="291" t="str">
        <v>INE325A01013</v>
      </c>
      <c r="Z277" s="294" t="s">
        <v>895</v>
      </c>
      <c r="AB277" t="s">
        <v>1421</v>
      </c>
      <c r="AC277" t="s">
        <v>1422</v>
      </c>
      <c r="AD277" t="s">
        <v>813</v>
      </c>
      <c r="AE277">
        <v>47.9505732625462</v>
      </c>
      <c r="AF277">
        <v>17.0039921104177</v>
      </c>
      <c r="AG277">
        <v>4473.86</v>
      </c>
      <c r="AH277">
        <v>59.48</v>
      </c>
      <c r="AI277">
        <v>214531351241.4</v>
      </c>
    </row>
    <row r="278" spans="1:35">
      <c r="A278" s="290" t="s">
        <v>1267</v>
      </c>
      <c r="B278" s="124" t="s">
        <v>44</v>
      </c>
      <c r="C278" s="291" t="str">
        <v>Gillette India Ltd</v>
      </c>
      <c r="D278" s="292">
        <v>0.000893481023764145</v>
      </c>
      <c r="E278" s="293">
        <f t="shared" si="8"/>
        <v>0</v>
      </c>
      <c r="F278" s="291" t="str">
        <v>Consumer Staples</v>
      </c>
      <c r="G278" s="293">
        <f t="shared" si="9"/>
        <v>0</v>
      </c>
      <c r="H278" s="291"/>
      <c r="J278" s="36"/>
      <c r="M278" s="290" t="s">
        <v>1423</v>
      </c>
      <c r="N278" s="298" t="s">
        <v>65</v>
      </c>
      <c r="O278" s="291" t="str">
        <v>Steel Authority of India Ltd</v>
      </c>
      <c r="P278" s="299">
        <v>3.66133958008843e-5</v>
      </c>
      <c r="Q278" s="293">
        <f>P278*VLOOKUP(N278,'Selector Sheet '!$B$13:$D$43,2,FALSE)</f>
        <v>0</v>
      </c>
      <c r="R278" s="291" t="str">
        <v>Materials</v>
      </c>
      <c r="S278" s="293">
        <f>P278*VLOOKUP(N278,'Selector Sheet '!$B$13:$D$43,2,FALSE)</f>
        <v>0</v>
      </c>
      <c r="T278" s="291"/>
      <c r="X278" s="291" t="str">
        <v>INE152M01016</v>
      </c>
      <c r="Z278" s="290" t="s">
        <v>1267</v>
      </c>
      <c r="AB278" t="s">
        <v>1424</v>
      </c>
      <c r="AC278" t="s">
        <v>1425</v>
      </c>
      <c r="AD278" t="s">
        <v>813</v>
      </c>
      <c r="AE278">
        <v>45.1019503546099</v>
      </c>
      <c r="AF278">
        <v>32.8278349160602</v>
      </c>
      <c r="AG278">
        <v>3572</v>
      </c>
      <c r="AH278">
        <v>11.28</v>
      </c>
      <c r="AI278">
        <v>161719879488.75</v>
      </c>
    </row>
    <row r="279" spans="1:35">
      <c r="A279" s="294" t="s">
        <v>1269</v>
      </c>
      <c r="B279" s="124" t="s">
        <v>44</v>
      </c>
      <c r="C279" s="291" t="str">
        <v>Gujarat Pipavav Port Ltd</v>
      </c>
      <c r="D279" s="295">
        <v>0.000570465452349604</v>
      </c>
      <c r="E279" s="293">
        <f t="shared" si="8"/>
        <v>0</v>
      </c>
      <c r="F279" s="291" t="str">
        <v>Industrials</v>
      </c>
      <c r="G279" s="293">
        <f t="shared" si="9"/>
        <v>0</v>
      </c>
      <c r="H279" s="291"/>
      <c r="J279" s="36"/>
      <c r="M279" s="294" t="s">
        <v>1044</v>
      </c>
      <c r="N279" s="300" t="s">
        <v>65</v>
      </c>
      <c r="O279" s="291" t="str">
        <v>Sun Pharmaceutical Industries</v>
      </c>
      <c r="P279" s="301">
        <v>0.00973086667956375</v>
      </c>
      <c r="Q279" s="293">
        <f>P279*VLOOKUP(N279,'Selector Sheet '!$B$13:$D$43,2,FALSE)</f>
        <v>0</v>
      </c>
      <c r="R279" s="291" t="str">
        <v>Health Care</v>
      </c>
      <c r="S279" s="293">
        <f>P279*VLOOKUP(N279,'Selector Sheet '!$B$13:$D$43,2,FALSE)</f>
        <v>0</v>
      </c>
      <c r="T279" s="291"/>
      <c r="X279" s="291" t="str">
        <v>INE094J01016</v>
      </c>
      <c r="Z279" s="294" t="s">
        <v>1269</v>
      </c>
      <c r="AB279" t="s">
        <v>1426</v>
      </c>
      <c r="AC279" t="s">
        <v>1427</v>
      </c>
      <c r="AD279" t="s">
        <v>831</v>
      </c>
      <c r="AE279">
        <v>23.4270869770987</v>
      </c>
      <c r="AF279">
        <v>16.2783038287361</v>
      </c>
      <c r="AG279">
        <v>7314.9</v>
      </c>
      <c r="AH279">
        <v>57.326803</v>
      </c>
      <c r="AI279">
        <v>172043547101</v>
      </c>
    </row>
    <row r="280" spans="1:35">
      <c r="A280" s="290" t="s">
        <v>919</v>
      </c>
      <c r="B280" s="124" t="s">
        <v>44</v>
      </c>
      <c r="C280" s="291" t="str">
        <v>HCL Technologies Ltd</v>
      </c>
      <c r="D280" s="292">
        <v>0.0061882947230651</v>
      </c>
      <c r="E280" s="293">
        <f t="shared" si="8"/>
        <v>0</v>
      </c>
      <c r="F280" s="291" t="str">
        <v>Information Technology</v>
      </c>
      <c r="G280" s="293">
        <f t="shared" si="9"/>
        <v>0</v>
      </c>
      <c r="H280" s="291"/>
      <c r="J280" s="36"/>
      <c r="M280" s="290" t="s">
        <v>1046</v>
      </c>
      <c r="N280" s="298" t="s">
        <v>65</v>
      </c>
      <c r="O280" s="291" t="str">
        <v>Suzlon Energy Ltd</v>
      </c>
      <c r="P280" s="299">
        <v>0.000702502781913867</v>
      </c>
      <c r="Q280" s="293">
        <f>P280*VLOOKUP(N280,'Selector Sheet '!$B$13:$D$43,2,FALSE)</f>
        <v>0</v>
      </c>
      <c r="R280" s="291" t="str">
        <v>Industrials</v>
      </c>
      <c r="S280" s="293">
        <f>P280*VLOOKUP(N280,'Selector Sheet '!$B$13:$D$43,2,FALSE)</f>
        <v>0</v>
      </c>
      <c r="T280" s="291"/>
      <c r="X280" s="291" t="str">
        <v>INE764D01017</v>
      </c>
      <c r="Z280" s="290" t="s">
        <v>919</v>
      </c>
      <c r="AB280" t="s">
        <v>1428</v>
      </c>
      <c r="AC280" t="s">
        <v>1429</v>
      </c>
      <c r="AD280" t="s">
        <v>813</v>
      </c>
      <c r="AE280">
        <v>49.0009293680297</v>
      </c>
      <c r="AF280">
        <v>9.65681134208436</v>
      </c>
      <c r="AG280">
        <v>929.7</v>
      </c>
      <c r="AH280">
        <v>107.6</v>
      </c>
      <c r="AI280">
        <v>45572105055</v>
      </c>
    </row>
    <row r="281" spans="1:35">
      <c r="A281" s="294" t="s">
        <v>926</v>
      </c>
      <c r="B281" s="124" t="s">
        <v>44</v>
      </c>
      <c r="C281" s="291" t="str">
        <v>HDFC Asset Management Co Ltd</v>
      </c>
      <c r="D281" s="295">
        <v>0.0121399505837549</v>
      </c>
      <c r="E281" s="293">
        <f t="shared" si="8"/>
        <v>0</v>
      </c>
      <c r="F281" s="291" t="str">
        <v>Financials</v>
      </c>
      <c r="G281" s="293">
        <f t="shared" si="9"/>
        <v>0</v>
      </c>
      <c r="H281" s="291"/>
      <c r="J281" s="36"/>
      <c r="M281" s="294" t="s">
        <v>1235</v>
      </c>
      <c r="N281" s="300" t="s">
        <v>65</v>
      </c>
      <c r="O281" s="291" t="str">
        <v>Tata Communications Ltd</v>
      </c>
      <c r="P281" s="301">
        <v>0.00157351499735954</v>
      </c>
      <c r="Q281" s="293">
        <f>P281*VLOOKUP(N281,'Selector Sheet '!$B$13:$D$43,2,FALSE)</f>
        <v>0</v>
      </c>
      <c r="R281" s="291" t="str">
        <v>Communication Services</v>
      </c>
      <c r="S281" s="293">
        <f>P281*VLOOKUP(N281,'Selector Sheet '!$B$13:$D$43,2,FALSE)</f>
        <v>0</v>
      </c>
      <c r="T281" s="291"/>
      <c r="X281" s="291" t="str">
        <v>INE386A01023</v>
      </c>
      <c r="Z281" s="294" t="s">
        <v>926</v>
      </c>
      <c r="AB281" t="s">
        <v>1430</v>
      </c>
      <c r="AC281" t="s">
        <v>1431</v>
      </c>
      <c r="AD281" t="s">
        <v>813</v>
      </c>
      <c r="AE281">
        <v>39.4843839166683</v>
      </c>
      <c r="AF281">
        <v>20.1575139167775</v>
      </c>
      <c r="AG281">
        <v>2645.2</v>
      </c>
      <c r="AH281">
        <v>13.033</v>
      </c>
      <c r="AI281">
        <v>104443627680</v>
      </c>
    </row>
    <row r="282" spans="1:35">
      <c r="A282" s="290" t="s">
        <v>924</v>
      </c>
      <c r="B282" s="124" t="s">
        <v>44</v>
      </c>
      <c r="C282" s="291" t="str">
        <v>HDFC Bank Ltd</v>
      </c>
      <c r="D282" s="292">
        <v>0.0990611931179268</v>
      </c>
      <c r="E282" s="293">
        <f t="shared" si="8"/>
        <v>0</v>
      </c>
      <c r="F282" s="291" t="str">
        <v>Financials</v>
      </c>
      <c r="G282" s="293">
        <f t="shared" si="9"/>
        <v>0</v>
      </c>
      <c r="H282" s="291"/>
      <c r="J282" s="36"/>
      <c r="M282" s="290" t="s">
        <v>1051</v>
      </c>
      <c r="N282" s="298" t="s">
        <v>65</v>
      </c>
      <c r="O282" s="291" t="str">
        <v>Tata Consultancy Services Ltd</v>
      </c>
      <c r="P282" s="299">
        <v>0.0101355413543174</v>
      </c>
      <c r="Q282" s="293">
        <f>P282*VLOOKUP(N282,'Selector Sheet '!$B$13:$D$43,2,FALSE)</f>
        <v>0</v>
      </c>
      <c r="R282" s="291" t="str">
        <v>Information Technology</v>
      </c>
      <c r="S282" s="293">
        <f>P282*VLOOKUP(N282,'Selector Sheet '!$B$13:$D$43,2,FALSE)</f>
        <v>0</v>
      </c>
      <c r="T282" s="291"/>
      <c r="X282" s="291" t="str">
        <v>INE043W01024</v>
      </c>
      <c r="Z282" s="290" t="s">
        <v>924</v>
      </c>
      <c r="AB282" t="s">
        <v>1432</v>
      </c>
      <c r="AC282" t="s">
        <v>1433</v>
      </c>
      <c r="AD282" t="s">
        <v>819</v>
      </c>
      <c r="AE282">
        <v>71.7952251759812</v>
      </c>
      <c r="AF282" t="s">
        <v>824</v>
      </c>
      <c r="AG282">
        <v>1430.753</v>
      </c>
      <c r="AH282">
        <v>13.95</v>
      </c>
      <c r="AI282">
        <v>108046087684.8</v>
      </c>
    </row>
    <row r="283" spans="1:35">
      <c r="A283" s="294" t="s">
        <v>927</v>
      </c>
      <c r="B283" s="124" t="s">
        <v>44</v>
      </c>
      <c r="C283" s="291" t="str">
        <v>HDFC Life Insurance Co Ltd</v>
      </c>
      <c r="D283" s="295">
        <v>0.011191646928057</v>
      </c>
      <c r="E283" s="293">
        <f t="shared" si="8"/>
        <v>0</v>
      </c>
      <c r="F283" s="291" t="str">
        <v>Financials</v>
      </c>
      <c r="G283" s="293">
        <f t="shared" si="9"/>
        <v>0</v>
      </c>
      <c r="H283" s="291"/>
      <c r="J283" s="36"/>
      <c r="M283" s="294" t="s">
        <v>1054</v>
      </c>
      <c r="N283" s="300" t="s">
        <v>65</v>
      </c>
      <c r="O283" s="291" t="str">
        <v>Tata Motors Ltd</v>
      </c>
      <c r="P283" s="301">
        <v>0.0022784012708549</v>
      </c>
      <c r="Q283" s="293">
        <f>P283*VLOOKUP(N283,'Selector Sheet '!$B$13:$D$43,2,FALSE)</f>
        <v>0</v>
      </c>
      <c r="R283" s="291" t="str">
        <v>Consumer Discretionary</v>
      </c>
      <c r="S283" s="293">
        <f>P283*VLOOKUP(N283,'Selector Sheet '!$B$13:$D$43,2,FALSE)</f>
        <v>0</v>
      </c>
      <c r="T283" s="291"/>
      <c r="X283" s="291" t="str">
        <v>INE226A01021</v>
      </c>
      <c r="Z283" s="294" t="s">
        <v>927</v>
      </c>
      <c r="AB283" t="s">
        <v>1248</v>
      </c>
      <c r="AC283" t="s">
        <v>1434</v>
      </c>
      <c r="AD283" t="s">
        <v>813</v>
      </c>
      <c r="AE283">
        <v>53.2874548008627</v>
      </c>
      <c r="AF283">
        <v>13.6433769129421</v>
      </c>
      <c r="AG283">
        <v>8413.7</v>
      </c>
      <c r="AH283">
        <v>25.43</v>
      </c>
      <c r="AI283">
        <v>448381911174</v>
      </c>
    </row>
    <row r="284" spans="1:35">
      <c r="A284" s="290" t="s">
        <v>929</v>
      </c>
      <c r="B284" s="124" t="s">
        <v>44</v>
      </c>
      <c r="C284" s="291" t="str">
        <v>Hero MotoCorp Ltd</v>
      </c>
      <c r="D284" s="292">
        <v>0.0187306559064309</v>
      </c>
      <c r="E284" s="293">
        <f t="shared" si="8"/>
        <v>0</v>
      </c>
      <c r="F284" s="291" t="str">
        <v>Consumer Discretionary</v>
      </c>
      <c r="G284" s="293">
        <f t="shared" si="9"/>
        <v>0</v>
      </c>
      <c r="H284" s="291"/>
      <c r="J284" s="36"/>
      <c r="M284" s="290" t="s">
        <v>1059</v>
      </c>
      <c r="N284" s="298" t="s">
        <v>65</v>
      </c>
      <c r="O284" s="291" t="str">
        <v>Tech Mahindra Ltd</v>
      </c>
      <c r="P284" s="299">
        <v>0.00794103556585125</v>
      </c>
      <c r="Q284" s="293">
        <f>P284*VLOOKUP(N284,'Selector Sheet '!$B$13:$D$43,2,FALSE)</f>
        <v>0</v>
      </c>
      <c r="R284" s="291" t="str">
        <v>Information Technology</v>
      </c>
      <c r="S284" s="293">
        <f>P284*VLOOKUP(N284,'Selector Sheet '!$B$13:$D$43,2,FALSE)</f>
        <v>0</v>
      </c>
      <c r="T284" s="291"/>
      <c r="X284" s="291" t="str">
        <v>INE366I01010</v>
      </c>
      <c r="Z284" s="290" t="s">
        <v>929</v>
      </c>
      <c r="AB284" t="s">
        <v>1435</v>
      </c>
      <c r="AC284" t="s">
        <v>1436</v>
      </c>
      <c r="AD284" t="s">
        <v>813</v>
      </c>
      <c r="AE284">
        <v>27.1257777239135</v>
      </c>
      <c r="AF284">
        <v>18.0198753325726</v>
      </c>
      <c r="AG284">
        <v>1829.329</v>
      </c>
      <c r="AH284">
        <v>10.455</v>
      </c>
      <c r="AI284">
        <v>49612130364</v>
      </c>
    </row>
    <row r="285" spans="1:35">
      <c r="A285" s="294" t="s">
        <v>931</v>
      </c>
      <c r="B285" s="124" t="s">
        <v>44</v>
      </c>
      <c r="C285" s="291" t="str">
        <v>Hindalco Industries Ltd</v>
      </c>
      <c r="D285" s="295">
        <v>0.0042328877847622</v>
      </c>
      <c r="E285" s="293">
        <f t="shared" si="8"/>
        <v>0</v>
      </c>
      <c r="F285" s="291" t="str">
        <v>Materials</v>
      </c>
      <c r="G285" s="293">
        <f t="shared" si="9"/>
        <v>0</v>
      </c>
      <c r="H285" s="291"/>
      <c r="J285" s="36"/>
      <c r="M285" s="294" t="s">
        <v>1437</v>
      </c>
      <c r="N285" s="300" t="s">
        <v>65</v>
      </c>
      <c r="O285" s="291" t="str">
        <v>Techno Electric &amp; Engineering</v>
      </c>
      <c r="P285" s="301">
        <v>0.00130453398089492</v>
      </c>
      <c r="Q285" s="293">
        <f>P285*VLOOKUP(N285,'Selector Sheet '!$B$13:$D$43,2,FALSE)</f>
        <v>0</v>
      </c>
      <c r="R285" s="291" t="str">
        <v>Industrials</v>
      </c>
      <c r="S285" s="293">
        <f>P285*VLOOKUP(N285,'Selector Sheet '!$B$13:$D$43,2,FALSE)</f>
        <v>0</v>
      </c>
      <c r="T285" s="291"/>
      <c r="X285" s="291" t="str">
        <v>INE716A01013</v>
      </c>
      <c r="Z285" s="294" t="s">
        <v>931</v>
      </c>
      <c r="AB285" t="s">
        <v>1438</v>
      </c>
      <c r="AC285" t="s">
        <v>1439</v>
      </c>
      <c r="AD285" t="s">
        <v>838</v>
      </c>
      <c r="AE285">
        <v>46.2897526501767</v>
      </c>
      <c r="AF285">
        <v>9.39989893144882</v>
      </c>
      <c r="AG285">
        <v>3590</v>
      </c>
      <c r="AH285">
        <v>28.3</v>
      </c>
      <c r="AI285">
        <v>166202097300</v>
      </c>
    </row>
    <row r="286" spans="1:35">
      <c r="A286" s="290" t="s">
        <v>1271</v>
      </c>
      <c r="B286" s="124" t="s">
        <v>44</v>
      </c>
      <c r="C286" s="291" t="str">
        <v>Hindustan Aeronautics Ltd</v>
      </c>
      <c r="D286" s="292">
        <v>0.0037716483053915</v>
      </c>
      <c r="E286" s="293">
        <f t="shared" si="8"/>
        <v>0</v>
      </c>
      <c r="F286" s="291" t="str">
        <v>Industrials</v>
      </c>
      <c r="G286" s="293">
        <f t="shared" si="9"/>
        <v>0</v>
      </c>
      <c r="H286" s="291"/>
      <c r="J286" s="36"/>
      <c r="M286" s="290" t="s">
        <v>1061</v>
      </c>
      <c r="N286" s="298" t="s">
        <v>65</v>
      </c>
      <c r="O286" s="291" t="str">
        <v>Federal Bank Ltd</v>
      </c>
      <c r="P286" s="299">
        <v>0</v>
      </c>
      <c r="Q286" s="293">
        <f>P286*VLOOKUP(N286,'Selector Sheet '!$B$13:$D$43,2,FALSE)</f>
        <v>0</v>
      </c>
      <c r="R286" s="291" t="str">
        <v>Financials</v>
      </c>
      <c r="S286" s="293">
        <f>P286*VLOOKUP(N286,'Selector Sheet '!$B$13:$D$43,2,FALSE)</f>
        <v>0</v>
      </c>
      <c r="T286" s="291"/>
      <c r="X286" s="291" t="str">
        <v>INE118A01012</v>
      </c>
      <c r="Z286" s="290" t="s">
        <v>1271</v>
      </c>
      <c r="AB286" t="s">
        <v>1440</v>
      </c>
      <c r="AC286" t="s">
        <v>1441</v>
      </c>
      <c r="AD286" t="s">
        <v>831</v>
      </c>
      <c r="AE286">
        <v>24.901603702637</v>
      </c>
      <c r="AF286">
        <v>11.1526346332742</v>
      </c>
      <c r="AG286">
        <v>65206.7</v>
      </c>
      <c r="AH286">
        <v>585.9</v>
      </c>
      <c r="AI286">
        <v>1623755616873.5</v>
      </c>
    </row>
    <row r="287" spans="1:35">
      <c r="A287" s="294" t="s">
        <v>1273</v>
      </c>
      <c r="B287" s="124" t="s">
        <v>44</v>
      </c>
      <c r="C287" s="291" t="str">
        <v>Hyundai Motor India Ltd</v>
      </c>
      <c r="D287" s="295">
        <v>0.00524113889358718</v>
      </c>
      <c r="E287" s="293">
        <f t="shared" si="8"/>
        <v>0</v>
      </c>
      <c r="F287" s="291" t="str">
        <v>Consumer Discretionary</v>
      </c>
      <c r="G287" s="293">
        <f t="shared" si="9"/>
        <v>0</v>
      </c>
      <c r="H287" s="291"/>
      <c r="J287" s="36"/>
      <c r="M287" s="294" t="s">
        <v>1081</v>
      </c>
      <c r="N287" s="300" t="s">
        <v>65</v>
      </c>
      <c r="O287" s="291" t="str">
        <v>Titan Co Ltd</v>
      </c>
      <c r="P287" s="301">
        <v>0.00312641108189927</v>
      </c>
      <c r="Q287" s="293">
        <f>P287*VLOOKUP(N287,'Selector Sheet '!$B$13:$D$43,2,FALSE)</f>
        <v>0</v>
      </c>
      <c r="R287" s="291" t="str">
        <v>Consumer Discretionary</v>
      </c>
      <c r="S287" s="293">
        <f>P287*VLOOKUP(N287,'Selector Sheet '!$B$13:$D$43,2,FALSE)</f>
        <v>0</v>
      </c>
      <c r="T287" s="291"/>
      <c r="X287" s="291" t="str">
        <v>INE545U01014</v>
      </c>
      <c r="Z287" s="294" t="s">
        <v>1273</v>
      </c>
      <c r="AB287" t="s">
        <v>1442</v>
      </c>
      <c r="AC287" t="s">
        <v>1443</v>
      </c>
      <c r="AD287" t="s">
        <v>831</v>
      </c>
      <c r="AE287">
        <v>13.0616458105626</v>
      </c>
      <c r="AF287">
        <v>8.55570506144553</v>
      </c>
      <c r="AG287">
        <v>27452.955</v>
      </c>
      <c r="AH287">
        <v>17.04</v>
      </c>
      <c r="AI287">
        <v>268355616644.9</v>
      </c>
    </row>
    <row r="288" spans="1:35">
      <c r="A288" s="290" t="s">
        <v>936</v>
      </c>
      <c r="B288" s="124" t="s">
        <v>44</v>
      </c>
      <c r="C288" s="291" t="str">
        <v>ICICI Bank Ltd</v>
      </c>
      <c r="D288" s="292">
        <v>0.0903119239739699</v>
      </c>
      <c r="E288" s="293">
        <f t="shared" si="8"/>
        <v>0</v>
      </c>
      <c r="F288" s="291" t="str">
        <v>Financials</v>
      </c>
      <c r="G288" s="293">
        <f t="shared" si="9"/>
        <v>0</v>
      </c>
      <c r="H288" s="291"/>
      <c r="J288" s="36"/>
      <c r="M288" s="290" t="s">
        <v>1071</v>
      </c>
      <c r="N288" s="298" t="s">
        <v>65</v>
      </c>
      <c r="O288" s="291" t="str">
        <v>UltraTech Cement Ltd</v>
      </c>
      <c r="P288" s="299">
        <v>0.00932806800655729</v>
      </c>
      <c r="Q288" s="293">
        <f>P288*VLOOKUP(N288,'Selector Sheet '!$B$13:$D$43,2,FALSE)</f>
        <v>0</v>
      </c>
      <c r="R288" s="291" t="str">
        <v>Materials</v>
      </c>
      <c r="S288" s="293">
        <f>P288*VLOOKUP(N288,'Selector Sheet '!$B$13:$D$43,2,FALSE)</f>
        <v>0</v>
      </c>
      <c r="T288" s="291"/>
      <c r="X288" s="291" t="str">
        <v>INE257A01026</v>
      </c>
      <c r="Z288" s="290" t="s">
        <v>936</v>
      </c>
      <c r="AB288" t="s">
        <v>1444</v>
      </c>
      <c r="AC288" t="s">
        <v>1445</v>
      </c>
      <c r="AD288" t="s">
        <v>813</v>
      </c>
      <c r="AE288">
        <v>145.130720948861</v>
      </c>
      <c r="AF288">
        <v>2.17205534245672</v>
      </c>
      <c r="AG288">
        <v>5339</v>
      </c>
      <c r="AH288">
        <v>1.53</v>
      </c>
      <c r="AI288">
        <v>773192167977.75</v>
      </c>
    </row>
    <row r="289" spans="1:35">
      <c r="A289" s="294" t="s">
        <v>1152</v>
      </c>
      <c r="B289" s="124" t="s">
        <v>44</v>
      </c>
      <c r="C289" s="291" t="str">
        <v>ICICI Prudential Life Insuranc</v>
      </c>
      <c r="D289" s="295">
        <v>0.014453058618809</v>
      </c>
      <c r="E289" s="293">
        <f t="shared" si="8"/>
        <v>0</v>
      </c>
      <c r="F289" s="291" t="str">
        <v>Financials</v>
      </c>
      <c r="G289" s="293">
        <f t="shared" si="9"/>
        <v>0</v>
      </c>
      <c r="H289" s="291"/>
      <c r="J289" s="36"/>
      <c r="M289" s="294" t="s">
        <v>1090</v>
      </c>
      <c r="N289" s="300" t="s">
        <v>65</v>
      </c>
      <c r="O289" s="291" t="str">
        <v>United Breweries Ltd</v>
      </c>
      <c r="P289" s="301">
        <v>0</v>
      </c>
      <c r="Q289" s="293">
        <f>P289*VLOOKUP(N289,'Selector Sheet '!$B$13:$D$43,2,FALSE)</f>
        <v>0</v>
      </c>
      <c r="R289" s="291" t="str">
        <v>Consumer Staples</v>
      </c>
      <c r="S289" s="293">
        <f>P289*VLOOKUP(N289,'Selector Sheet '!$B$13:$D$43,2,FALSE)</f>
        <v>0</v>
      </c>
      <c r="T289" s="291"/>
      <c r="X289" s="291" t="str">
        <v>INE126A01031</v>
      </c>
      <c r="Z289" s="294" t="s">
        <v>1152</v>
      </c>
      <c r="AB289" t="s">
        <v>1446</v>
      </c>
      <c r="AC289" t="s">
        <v>1447</v>
      </c>
      <c r="AD289" t="s">
        <v>823</v>
      </c>
      <c r="AE289">
        <v>23.4485546796038</v>
      </c>
      <c r="AF289">
        <v>11.7160353688614</v>
      </c>
      <c r="AG289">
        <v>8783.5</v>
      </c>
      <c r="AH289">
        <v>49.47</v>
      </c>
      <c r="AI289">
        <v>206243457440</v>
      </c>
    </row>
    <row r="290" spans="1:35">
      <c r="A290" s="290" t="s">
        <v>1275</v>
      </c>
      <c r="B290" s="124" t="s">
        <v>44</v>
      </c>
      <c r="C290" s="291" t="str">
        <v>Indian Oil Corp Ltd</v>
      </c>
      <c r="D290" s="292">
        <v>0.000797684896157571</v>
      </c>
      <c r="E290" s="293">
        <f t="shared" si="8"/>
        <v>0</v>
      </c>
      <c r="F290" s="291" t="str">
        <v>Energy</v>
      </c>
      <c r="G290" s="293">
        <f t="shared" si="9"/>
        <v>0</v>
      </c>
      <c r="H290" s="291"/>
      <c r="J290" s="36"/>
      <c r="M290" s="290" t="s">
        <v>1076</v>
      </c>
      <c r="N290" s="298" t="s">
        <v>65</v>
      </c>
      <c r="O290" s="291" t="str">
        <v>United Spirits Ltd</v>
      </c>
      <c r="P290" s="299">
        <v>0.00579855033647118</v>
      </c>
      <c r="Q290" s="293">
        <f>P290*VLOOKUP(N290,'Selector Sheet '!$B$13:$D$43,2,FALSE)</f>
        <v>0</v>
      </c>
      <c r="R290" s="291" t="str">
        <v>Consumer Staples</v>
      </c>
      <c r="S290" s="293">
        <f>P290*VLOOKUP(N290,'Selector Sheet '!$B$13:$D$43,2,FALSE)</f>
        <v>0</v>
      </c>
      <c r="T290" s="291"/>
      <c r="X290" s="291" t="str">
        <v>INE129A01019</v>
      </c>
      <c r="Z290" s="290" t="s">
        <v>1275</v>
      </c>
      <c r="AB290" t="s">
        <v>906</v>
      </c>
      <c r="AC290" t="s">
        <v>1448</v>
      </c>
      <c r="AD290" t="s">
        <v>994</v>
      </c>
      <c r="AE290">
        <v>9.15478093247532</v>
      </c>
      <c r="AF290">
        <v>15.3706234764551</v>
      </c>
      <c r="AG290">
        <v>124498</v>
      </c>
      <c r="AH290">
        <v>18.93</v>
      </c>
      <c r="AI290">
        <v>1139464768131.9</v>
      </c>
    </row>
    <row r="291" spans="1:35">
      <c r="A291" s="294" t="s">
        <v>1119</v>
      </c>
      <c r="B291" s="124" t="s">
        <v>44</v>
      </c>
      <c r="C291" s="291" t="str">
        <v>Info Edge India Ltd</v>
      </c>
      <c r="D291" s="295">
        <v>0.000875145057097207</v>
      </c>
      <c r="E291" s="293">
        <f t="shared" si="8"/>
        <v>0</v>
      </c>
      <c r="F291" s="291" t="str">
        <v>Communication Services</v>
      </c>
      <c r="G291" s="293">
        <f t="shared" si="9"/>
        <v>0</v>
      </c>
      <c r="H291" s="291"/>
      <c r="J291" s="36"/>
      <c r="M291" s="294" t="s">
        <v>1243</v>
      </c>
      <c r="N291" s="300" t="s">
        <v>65</v>
      </c>
      <c r="O291" s="291" t="str">
        <v>V-Guard Industries Ltd</v>
      </c>
      <c r="P291" s="301">
        <v>0.00641408418632538</v>
      </c>
      <c r="Q291" s="293">
        <f>P291*VLOOKUP(N291,'Selector Sheet '!$B$13:$D$43,2,FALSE)</f>
        <v>0</v>
      </c>
      <c r="R291" s="291" t="str">
        <v>Industrials</v>
      </c>
      <c r="S291" s="293">
        <f>P291*VLOOKUP(N291,'Selector Sheet '!$B$13:$D$43,2,FALSE)</f>
        <v>0</v>
      </c>
      <c r="T291" s="291"/>
      <c r="X291" s="291" t="str">
        <v>INE776C01039</v>
      </c>
      <c r="Z291" s="294" t="s">
        <v>1119</v>
      </c>
      <c r="AB291" t="s">
        <v>1449</v>
      </c>
      <c r="AC291" t="s">
        <v>1450</v>
      </c>
      <c r="AD291" t="s">
        <v>813</v>
      </c>
      <c r="AE291" t="s">
        <v>824</v>
      </c>
      <c r="AF291" t="s">
        <v>824</v>
      </c>
      <c r="AG291">
        <v>-3928.5</v>
      </c>
      <c r="AH291">
        <v>-0.372052</v>
      </c>
      <c r="AI291">
        <v>955692913415.52</v>
      </c>
    </row>
    <row r="292" spans="1:35">
      <c r="A292" s="290" t="s">
        <v>955</v>
      </c>
      <c r="B292" s="124" t="s">
        <v>44</v>
      </c>
      <c r="C292" s="291" t="str">
        <v>Infosys Ltd</v>
      </c>
      <c r="D292" s="292">
        <v>0.0343007472422815</v>
      </c>
      <c r="E292" s="293">
        <f t="shared" si="8"/>
        <v>0</v>
      </c>
      <c r="F292" s="291" t="str">
        <v>Information Technology</v>
      </c>
      <c r="G292" s="293">
        <f t="shared" si="9"/>
        <v>0</v>
      </c>
      <c r="H292" s="291"/>
      <c r="J292" s="36"/>
      <c r="M292" s="290" t="s">
        <v>1245</v>
      </c>
      <c r="N292" s="298" t="s">
        <v>65</v>
      </c>
      <c r="O292" s="291" t="str">
        <v>Vedanta Ltd</v>
      </c>
      <c r="P292" s="299">
        <v>0.00836237757527641</v>
      </c>
      <c r="Q292" s="293">
        <f>P292*VLOOKUP(N292,'Selector Sheet '!$B$13:$D$43,2,FALSE)</f>
        <v>0</v>
      </c>
      <c r="R292" s="291" t="str">
        <v>Materials</v>
      </c>
      <c r="S292" s="293">
        <f>P292*VLOOKUP(N292,'Selector Sheet '!$B$13:$D$43,2,FALSE)</f>
        <v>0</v>
      </c>
      <c r="T292" s="291"/>
      <c r="X292" s="291" t="str">
        <v>INE484J01027</v>
      </c>
      <c r="Z292" s="290" t="s">
        <v>955</v>
      </c>
      <c r="AB292" t="s">
        <v>1315</v>
      </c>
      <c r="AC292" t="s">
        <v>1451</v>
      </c>
      <c r="AD292" t="s">
        <v>998</v>
      </c>
      <c r="AE292">
        <v>39.5750595710882</v>
      </c>
      <c r="AF292">
        <v>10.4127683690948</v>
      </c>
      <c r="AG292">
        <v>13998.9</v>
      </c>
      <c r="AH292">
        <v>49.02</v>
      </c>
      <c r="AI292">
        <v>600303809118</v>
      </c>
    </row>
    <row r="293" spans="1:35">
      <c r="A293" s="294" t="s">
        <v>958</v>
      </c>
      <c r="B293" s="124" t="s">
        <v>44</v>
      </c>
      <c r="C293" s="291" t="str">
        <v>InterGlobe Aviation Ltd</v>
      </c>
      <c r="D293" s="295">
        <v>0.0177858221962597</v>
      </c>
      <c r="E293" s="293">
        <f t="shared" si="8"/>
        <v>0</v>
      </c>
      <c r="F293" s="291" t="str">
        <v>Industrials</v>
      </c>
      <c r="G293" s="293">
        <f t="shared" si="9"/>
        <v>0</v>
      </c>
      <c r="H293" s="291"/>
      <c r="J293" s="36"/>
      <c r="M293" s="294" t="s">
        <v>1287</v>
      </c>
      <c r="N293" s="300" t="s">
        <v>65</v>
      </c>
      <c r="O293" s="291" t="str">
        <v>Wipro Ltd</v>
      </c>
      <c r="P293" s="301">
        <v>0.00447578093433794</v>
      </c>
      <c r="Q293" s="293">
        <f>P293*VLOOKUP(N293,'Selector Sheet '!$B$13:$D$43,2,FALSE)</f>
        <v>0</v>
      </c>
      <c r="R293" s="291" t="str">
        <v>Information Technology</v>
      </c>
      <c r="S293" s="293">
        <f>P293*VLOOKUP(N293,'Selector Sheet '!$B$13:$D$43,2,FALSE)</f>
        <v>0</v>
      </c>
      <c r="T293" s="291"/>
      <c r="X293" s="291" t="str">
        <v>INE531E01026</v>
      </c>
      <c r="Z293" s="294" t="s">
        <v>958</v>
      </c>
      <c r="AB293" t="s">
        <v>1328</v>
      </c>
      <c r="AC293" t="s">
        <v>1452</v>
      </c>
      <c r="AD293" t="s">
        <v>823</v>
      </c>
      <c r="AE293">
        <v>50.2577973998262</v>
      </c>
      <c r="AF293">
        <v>18.8081419699309</v>
      </c>
      <c r="AG293">
        <v>4651.2</v>
      </c>
      <c r="AH293">
        <v>4.81</v>
      </c>
      <c r="AI293">
        <v>233768386594.8</v>
      </c>
    </row>
    <row r="294" spans="1:35">
      <c r="A294" s="290" t="s">
        <v>961</v>
      </c>
      <c r="B294" s="124" t="s">
        <v>44</v>
      </c>
      <c r="C294" s="291" t="str">
        <v>ITC Ltd</v>
      </c>
      <c r="D294" s="292">
        <v>0.0133176411803461</v>
      </c>
      <c r="E294" s="293">
        <f t="shared" si="8"/>
        <v>0</v>
      </c>
      <c r="F294" s="291" t="str">
        <v>Consumer Staples</v>
      </c>
      <c r="G294" s="293">
        <f t="shared" si="9"/>
        <v>0</v>
      </c>
      <c r="H294" s="291"/>
      <c r="J294" s="36"/>
      <c r="M294" s="290" t="s">
        <v>1453</v>
      </c>
      <c r="N294" s="298" t="s">
        <v>65</v>
      </c>
      <c r="O294" s="291" t="str">
        <v>Yatharth Hospital &amp; Trauma Car</v>
      </c>
      <c r="P294" s="299">
        <v>0.00569389338793833</v>
      </c>
      <c r="Q294" s="293">
        <f>P294*VLOOKUP(N294,'Selector Sheet '!$B$13:$D$43,2,FALSE)</f>
        <v>0</v>
      </c>
      <c r="R294" s="291" t="str">
        <v>Health Care</v>
      </c>
      <c r="S294" s="293">
        <f>P294*VLOOKUP(N294,'Selector Sheet '!$B$13:$D$43,2,FALSE)</f>
        <v>0</v>
      </c>
      <c r="T294" s="291"/>
      <c r="X294" s="291" t="str">
        <v>INE725G01011</v>
      </c>
      <c r="Z294" s="290" t="s">
        <v>961</v>
      </c>
      <c r="AB294" t="s">
        <v>1454</v>
      </c>
      <c r="AC294" t="s">
        <v>1455</v>
      </c>
      <c r="AD294" t="s">
        <v>831</v>
      </c>
      <c r="AE294">
        <v>34.7507497312284</v>
      </c>
      <c r="AF294">
        <v>16.7520093798238</v>
      </c>
      <c r="AG294">
        <v>1700.093</v>
      </c>
      <c r="AH294">
        <v>176.73</v>
      </c>
      <c r="AI294">
        <v>59273035186.5</v>
      </c>
    </row>
    <row r="295" spans="1:35">
      <c r="A295" s="294" t="s">
        <v>975</v>
      </c>
      <c r="B295" s="124" t="s">
        <v>44</v>
      </c>
      <c r="C295" s="291" t="str">
        <v>Larsen &amp; Toubro Ltd</v>
      </c>
      <c r="D295" s="295">
        <v>0.0624888782844091</v>
      </c>
      <c r="E295" s="293">
        <f t="shared" si="8"/>
        <v>0</v>
      </c>
      <c r="F295" s="291" t="str">
        <v>Industrials</v>
      </c>
      <c r="G295" s="293">
        <f t="shared" si="9"/>
        <v>0</v>
      </c>
      <c r="H295" s="291"/>
      <c r="J295" s="36"/>
      <c r="M295" s="294" t="s">
        <v>1456</v>
      </c>
      <c r="N295" s="300" t="s">
        <v>65</v>
      </c>
      <c r="O295" s="291" t="str">
        <v>Zen Technologies Ltd</v>
      </c>
      <c r="P295" s="301">
        <v>0.00175879440395635</v>
      </c>
      <c r="Q295" s="293">
        <f>P295*VLOOKUP(N295,'Selector Sheet '!$B$13:$D$43,2,FALSE)</f>
        <v>0</v>
      </c>
      <c r="R295" s="291" t="str">
        <v>Industrials</v>
      </c>
      <c r="S295" s="293">
        <f>P295*VLOOKUP(N295,'Selector Sheet '!$B$13:$D$43,2,FALSE)</f>
        <v>0</v>
      </c>
      <c r="T295" s="291"/>
      <c r="X295" s="291" t="str">
        <v>INE530B01024</v>
      </c>
      <c r="Z295" s="294" t="s">
        <v>975</v>
      </c>
      <c r="AB295" t="s">
        <v>1457</v>
      </c>
      <c r="AC295" t="s">
        <v>1458</v>
      </c>
      <c r="AD295" t="s">
        <v>831</v>
      </c>
      <c r="AE295">
        <v>49.3109151047409</v>
      </c>
      <c r="AF295">
        <v>3.28662451332325</v>
      </c>
      <c r="AG295">
        <v>3787.7</v>
      </c>
      <c r="AH295">
        <v>9.07</v>
      </c>
      <c r="AI295">
        <v>190050151365.75</v>
      </c>
    </row>
    <row r="296" spans="1:35">
      <c r="A296" s="290" t="s">
        <v>1277</v>
      </c>
      <c r="B296" s="124" t="s">
        <v>44</v>
      </c>
      <c r="C296" s="291" t="str">
        <v>Life Insurance Corp of India</v>
      </c>
      <c r="D296" s="292">
        <v>0.000924345569341852</v>
      </c>
      <c r="E296" s="293">
        <f t="shared" si="8"/>
        <v>0</v>
      </c>
      <c r="F296" s="291" t="str">
        <v>Financials</v>
      </c>
      <c r="G296" s="293">
        <f t="shared" si="9"/>
        <v>0</v>
      </c>
      <c r="H296" s="291"/>
      <c r="J296" s="36"/>
      <c r="M296" s="290" t="s">
        <v>1106</v>
      </c>
      <c r="N296" s="298" t="s">
        <v>65</v>
      </c>
      <c r="O296" s="291" t="str">
        <v>ZF Commercial Vehicle Control</v>
      </c>
      <c r="P296" s="299">
        <v>0.00152203614090566</v>
      </c>
      <c r="Q296" s="293">
        <f>P296*VLOOKUP(N296,'Selector Sheet '!$B$13:$D$43,2,FALSE)</f>
        <v>0</v>
      </c>
      <c r="R296" s="291" t="str">
        <v>Consumer Discretionary</v>
      </c>
      <c r="S296" s="293">
        <f>P296*VLOOKUP(N296,'Selector Sheet '!$B$13:$D$43,2,FALSE)</f>
        <v>0</v>
      </c>
      <c r="T296" s="291"/>
      <c r="X296" s="291" t="str">
        <v>INE022Q01020</v>
      </c>
      <c r="Z296" s="290" t="s">
        <v>1277</v>
      </c>
      <c r="AB296" t="s">
        <v>946</v>
      </c>
      <c r="AC296" t="s">
        <v>1459</v>
      </c>
      <c r="AD296" t="s">
        <v>831</v>
      </c>
      <c r="AE296">
        <v>29.0600415342343</v>
      </c>
      <c r="AF296">
        <v>40.7089694804926</v>
      </c>
      <c r="AG296">
        <v>4291.691</v>
      </c>
      <c r="AH296">
        <v>4.83</v>
      </c>
      <c r="AI296">
        <v>125157992284.6</v>
      </c>
    </row>
    <row r="297" spans="1:35">
      <c r="A297" s="294" t="s">
        <v>963</v>
      </c>
      <c r="B297" s="124" t="s">
        <v>44</v>
      </c>
      <c r="C297" s="291" t="str">
        <v>LTIMindtree Ltd</v>
      </c>
      <c r="D297" s="295">
        <v>0.00050389431757691</v>
      </c>
      <c r="E297" s="293">
        <f t="shared" si="8"/>
        <v>0</v>
      </c>
      <c r="F297" s="291" t="str">
        <v>Information Technology</v>
      </c>
      <c r="G297" s="293">
        <f t="shared" si="9"/>
        <v>0</v>
      </c>
      <c r="H297" s="291"/>
      <c r="J297" s="36"/>
      <c r="M297" s="294" t="s">
        <v>1087</v>
      </c>
      <c r="N297" s="300" t="s">
        <v>65</v>
      </c>
      <c r="O297" s="291" t="str">
        <v>Zydus Lifesciences Ltd</v>
      </c>
      <c r="P297" s="301">
        <v>0.000442947391248792</v>
      </c>
      <c r="Q297" s="293">
        <f>P297*VLOOKUP(N297,'Selector Sheet '!$B$13:$D$43,2,FALSE)</f>
        <v>0</v>
      </c>
      <c r="R297" s="291" t="str">
        <v>Health Care</v>
      </c>
      <c r="S297" s="293">
        <f>P297*VLOOKUP(N297,'Selector Sheet '!$B$13:$D$43,2,FALSE)</f>
        <v>0</v>
      </c>
      <c r="T297" s="291"/>
      <c r="X297" s="291" t="str">
        <v>INE121J01017</v>
      </c>
      <c r="Z297" s="294" t="s">
        <v>963</v>
      </c>
      <c r="AB297" t="s">
        <v>952</v>
      </c>
      <c r="AC297" t="s">
        <v>1460</v>
      </c>
      <c r="AD297" t="s">
        <v>857</v>
      </c>
      <c r="AE297">
        <v>9.00132679185102</v>
      </c>
      <c r="AF297">
        <v>30.8086597279645</v>
      </c>
      <c r="AG297">
        <v>99317</v>
      </c>
      <c r="AH297">
        <v>37.31</v>
      </c>
      <c r="AI297">
        <v>877452932978.2</v>
      </c>
    </row>
    <row r="298" spans="1:35">
      <c r="A298" s="290" t="s">
        <v>978</v>
      </c>
      <c r="B298" s="124" t="s">
        <v>44</v>
      </c>
      <c r="C298" s="291" t="str">
        <v>Lupin Ltd</v>
      </c>
      <c r="D298" s="292">
        <v>0.00532168174800352</v>
      </c>
      <c r="E298" s="293">
        <f t="shared" si="8"/>
        <v>0</v>
      </c>
      <c r="F298" s="291" t="str">
        <v>Health Care</v>
      </c>
      <c r="G298" s="293">
        <f t="shared" si="9"/>
        <v>0</v>
      </c>
      <c r="H298" s="291"/>
      <c r="J298" s="36"/>
      <c r="M298" s="290" t="s">
        <v>815</v>
      </c>
      <c r="N298" s="298" t="s">
        <v>64</v>
      </c>
      <c r="O298" s="291" t="str">
        <v>Aarti Industries Ltd</v>
      </c>
      <c r="P298" s="299">
        <v>0</v>
      </c>
      <c r="Q298" s="293">
        <f>P298*VLOOKUP(N298,'Selector Sheet '!$B$13:$D$43,2,FALSE)</f>
        <v>0</v>
      </c>
      <c r="R298" s="291" t="str">
        <v>Materials</v>
      </c>
      <c r="S298" s="293">
        <f>P298*VLOOKUP(N298,'Selector Sheet '!$B$13:$D$43,2,FALSE)</f>
        <v>0</v>
      </c>
      <c r="T298" s="291"/>
      <c r="X298" s="291" t="str">
        <v>INE571A01038</v>
      </c>
      <c r="Z298" s="290" t="s">
        <v>978</v>
      </c>
      <c r="AB298" t="s">
        <v>1461</v>
      </c>
      <c r="AC298" t="s">
        <v>1462</v>
      </c>
      <c r="AD298" t="s">
        <v>819</v>
      </c>
      <c r="AE298">
        <v>46.7709757766829</v>
      </c>
      <c r="AF298">
        <v>11.1091031757506</v>
      </c>
      <c r="AG298">
        <v>7376.8</v>
      </c>
      <c r="AH298">
        <v>29.08</v>
      </c>
      <c r="AI298">
        <v>344999182201.8</v>
      </c>
    </row>
    <row r="299" spans="1:35">
      <c r="A299" s="294" t="s">
        <v>966</v>
      </c>
      <c r="B299" s="124" t="s">
        <v>44</v>
      </c>
      <c r="C299" s="291" t="str">
        <v>Mahindra &amp; Mahindra Ltd</v>
      </c>
      <c r="D299" s="295">
        <v>0.0222798836288492</v>
      </c>
      <c r="E299" s="293">
        <f t="shared" si="8"/>
        <v>0</v>
      </c>
      <c r="F299" s="291" t="str">
        <v>Consumer Discretionary</v>
      </c>
      <c r="G299" s="293">
        <f t="shared" si="9"/>
        <v>0</v>
      </c>
      <c r="H299" s="291"/>
      <c r="J299" s="36"/>
      <c r="M299" s="294" t="s">
        <v>814</v>
      </c>
      <c r="N299" s="300" t="s">
        <v>64</v>
      </c>
      <c r="O299" s="291" t="str">
        <v>ABB India Ltd</v>
      </c>
      <c r="P299" s="301">
        <v>0.00190881964129707</v>
      </c>
      <c r="Q299" s="293">
        <f>P299*VLOOKUP(N299,'Selector Sheet '!$B$13:$D$43,2,FALSE)</f>
        <v>0</v>
      </c>
      <c r="R299" s="291" t="str">
        <v>Industrials</v>
      </c>
      <c r="S299" s="293">
        <f>P299*VLOOKUP(N299,'Selector Sheet '!$B$13:$D$43,2,FALSE)</f>
        <v>0</v>
      </c>
      <c r="T299" s="291"/>
      <c r="X299" s="291" t="str">
        <v>INE749A01030</v>
      </c>
      <c r="Z299" s="294" t="s">
        <v>966</v>
      </c>
      <c r="AB299" t="s">
        <v>1347</v>
      </c>
      <c r="AC299" t="s">
        <v>1463</v>
      </c>
      <c r="AD299" t="s">
        <v>823</v>
      </c>
      <c r="AE299">
        <v>35.8828061546423</v>
      </c>
      <c r="AF299">
        <v>6.14667245313133</v>
      </c>
      <c r="AG299">
        <v>28121.3</v>
      </c>
      <c r="AH299">
        <v>27.567521</v>
      </c>
      <c r="AI299">
        <v>1009071145552.4</v>
      </c>
    </row>
    <row r="300" spans="1:35">
      <c r="A300" s="290" t="s">
        <v>990</v>
      </c>
      <c r="B300" s="124" t="s">
        <v>44</v>
      </c>
      <c r="C300" s="291" t="str">
        <v>Maruti Suzuki India Ltd</v>
      </c>
      <c r="D300" s="292">
        <v>0.0414228557080102</v>
      </c>
      <c r="E300" s="293">
        <f t="shared" si="8"/>
        <v>0</v>
      </c>
      <c r="F300" s="291" t="str">
        <v>Consumer Discretionary</v>
      </c>
      <c r="G300" s="293">
        <f t="shared" si="9"/>
        <v>0</v>
      </c>
      <c r="H300" s="291"/>
      <c r="J300" s="36"/>
      <c r="M300" s="290" t="s">
        <v>1092</v>
      </c>
      <c r="N300" s="298" t="s">
        <v>64</v>
      </c>
      <c r="O300" s="291" t="str">
        <v>ACC Ltd</v>
      </c>
      <c r="P300" s="299">
        <v>4.45620207371164e-6</v>
      </c>
      <c r="Q300" s="293">
        <f>P300*VLOOKUP(N300,'Selector Sheet '!$B$13:$D$43,2,FALSE)</f>
        <v>0</v>
      </c>
      <c r="R300" s="291" t="str">
        <v>Materials</v>
      </c>
      <c r="S300" s="293">
        <f>P300*VLOOKUP(N300,'Selector Sheet '!$B$13:$D$43,2,FALSE)</f>
        <v>0</v>
      </c>
      <c r="T300" s="291"/>
      <c r="X300" s="291" t="str">
        <v>INE758E01017</v>
      </c>
      <c r="Z300" s="290" t="s">
        <v>990</v>
      </c>
      <c r="AB300" t="s">
        <v>1464</v>
      </c>
      <c r="AC300" t="s">
        <v>1465</v>
      </c>
      <c r="AD300" t="s">
        <v>831</v>
      </c>
      <c r="AE300">
        <v>130.059057521069</v>
      </c>
      <c r="AF300">
        <v>1.22796553116083</v>
      </c>
      <c r="AG300">
        <v>16125.9</v>
      </c>
      <c r="AH300">
        <v>2.54</v>
      </c>
      <c r="AI300">
        <v>2098760335158.05</v>
      </c>
    </row>
    <row r="301" spans="1:35">
      <c r="A301" s="294" t="s">
        <v>1181</v>
      </c>
      <c r="B301" s="124" t="s">
        <v>44</v>
      </c>
      <c r="C301" s="291" t="str">
        <v>Max Financial Services Ltd</v>
      </c>
      <c r="D301" s="295">
        <v>0</v>
      </c>
      <c r="E301" s="293">
        <f t="shared" si="8"/>
        <v>0</v>
      </c>
      <c r="F301" s="291" t="str">
        <v>Financials</v>
      </c>
      <c r="G301" s="293">
        <f t="shared" si="9"/>
        <v>0</v>
      </c>
      <c r="H301" s="291"/>
      <c r="J301" s="36"/>
      <c r="M301" s="294" t="s">
        <v>1466</v>
      </c>
      <c r="N301" s="300" t="s">
        <v>64</v>
      </c>
      <c r="O301" s="291" t="str">
        <v>Adani Energy Solutions Ltd</v>
      </c>
      <c r="P301" s="301">
        <v>0.000733369237920633</v>
      </c>
      <c r="Q301" s="293">
        <f>P301*VLOOKUP(N301,'Selector Sheet '!$B$13:$D$43,2,FALSE)</f>
        <v>0</v>
      </c>
      <c r="R301" s="291" t="str">
        <v>Utilities</v>
      </c>
      <c r="S301" s="293">
        <f>P301*VLOOKUP(N301,'Selector Sheet '!$B$13:$D$43,2,FALSE)</f>
        <v>0</v>
      </c>
      <c r="T301" s="291"/>
      <c r="X301" s="291" t="str">
        <v>INE019A01038</v>
      </c>
      <c r="Z301" s="294" t="s">
        <v>1181</v>
      </c>
      <c r="AB301" t="s">
        <v>1467</v>
      </c>
      <c r="AC301" t="s">
        <v>1468</v>
      </c>
      <c r="AD301" t="s">
        <v>823</v>
      </c>
      <c r="AE301">
        <v>74.4498590240904</v>
      </c>
      <c r="AF301">
        <v>4.45900804886584</v>
      </c>
      <c r="AG301">
        <v>35040</v>
      </c>
      <c r="AH301">
        <v>14.36</v>
      </c>
      <c r="AI301">
        <v>2614434835050.6</v>
      </c>
    </row>
    <row r="302" spans="1:35">
      <c r="A302" s="290" t="s">
        <v>1281</v>
      </c>
      <c r="B302" s="124" t="s">
        <v>44</v>
      </c>
      <c r="C302" s="291" t="str">
        <v>NHPC Ltd</v>
      </c>
      <c r="D302" s="292">
        <v>0.00298366839136327</v>
      </c>
      <c r="E302" s="293">
        <f t="shared" si="8"/>
        <v>0</v>
      </c>
      <c r="F302" s="291" t="str">
        <v>Utilities</v>
      </c>
      <c r="G302" s="293">
        <f t="shared" si="9"/>
        <v>0</v>
      </c>
      <c r="H302" s="291"/>
      <c r="J302" s="36"/>
      <c r="M302" s="290" t="s">
        <v>1094</v>
      </c>
      <c r="N302" s="298" t="s">
        <v>64</v>
      </c>
      <c r="O302" s="291" t="str">
        <v>Adani Ports &amp; Special Economic</v>
      </c>
      <c r="P302" s="299">
        <v>0.0110891442154116</v>
      </c>
      <c r="Q302" s="293">
        <f>P302*VLOOKUP(N302,'Selector Sheet '!$B$13:$D$43,2,FALSE)</f>
        <v>0</v>
      </c>
      <c r="R302" s="291" t="str">
        <v>Industrials</v>
      </c>
      <c r="S302" s="293">
        <f>P302*VLOOKUP(N302,'Selector Sheet '!$B$13:$D$43,2,FALSE)</f>
        <v>0</v>
      </c>
      <c r="T302" s="291"/>
      <c r="X302" s="291" t="str">
        <v>INE002S01010</v>
      </c>
      <c r="Z302" s="290" t="s">
        <v>1281</v>
      </c>
      <c r="AB302" t="s">
        <v>1469</v>
      </c>
      <c r="AC302" t="s">
        <v>1470</v>
      </c>
      <c r="AD302" t="s">
        <v>994</v>
      </c>
      <c r="AE302">
        <v>12.4608373682711</v>
      </c>
      <c r="AF302">
        <v>18.8875346119603</v>
      </c>
      <c r="AG302">
        <v>10405.7</v>
      </c>
      <c r="AH302">
        <v>105.33</v>
      </c>
      <c r="AI302">
        <v>129645833625</v>
      </c>
    </row>
    <row r="303" spans="1:35">
      <c r="A303" s="294" t="s">
        <v>992</v>
      </c>
      <c r="B303" s="124" t="s">
        <v>44</v>
      </c>
      <c r="C303" s="291" t="str">
        <v>NTPC Ltd</v>
      </c>
      <c r="D303" s="295">
        <v>0.0232879104658035</v>
      </c>
      <c r="E303" s="293">
        <f t="shared" si="8"/>
        <v>0</v>
      </c>
      <c r="F303" s="291" t="str">
        <v>Utilities</v>
      </c>
      <c r="G303" s="293">
        <f t="shared" si="9"/>
        <v>0</v>
      </c>
      <c r="H303" s="291"/>
      <c r="J303" s="36"/>
      <c r="M303" s="294" t="s">
        <v>1149</v>
      </c>
      <c r="N303" s="300" t="s">
        <v>64</v>
      </c>
      <c r="O303" s="291" t="str">
        <v>Alkem Laboratories Ltd</v>
      </c>
      <c r="P303" s="301">
        <v>0.00521378633363909</v>
      </c>
      <c r="Q303" s="293">
        <f>P303*VLOOKUP(N303,'Selector Sheet '!$B$13:$D$43,2,FALSE)</f>
        <v>0</v>
      </c>
      <c r="R303" s="291" t="str">
        <v>Health Care</v>
      </c>
      <c r="S303" s="293">
        <f>P303*VLOOKUP(N303,'Selector Sheet '!$B$13:$D$43,2,FALSE)</f>
        <v>0</v>
      </c>
      <c r="T303" s="291"/>
      <c r="X303" s="291" t="str">
        <v>INE288A01013</v>
      </c>
      <c r="Z303" s="294" t="s">
        <v>992</v>
      </c>
      <c r="AB303" t="s">
        <v>1471</v>
      </c>
      <c r="AC303" t="s">
        <v>1472</v>
      </c>
      <c r="AD303" t="s">
        <v>831</v>
      </c>
      <c r="AE303">
        <v>86.1031460304504</v>
      </c>
      <c r="AF303">
        <v>0.740675599118791</v>
      </c>
      <c r="AG303">
        <v>2143.5</v>
      </c>
      <c r="AH303">
        <v>187.6</v>
      </c>
      <c r="AI303">
        <v>184605087475.6</v>
      </c>
    </row>
    <row r="304" spans="1:35">
      <c r="A304" s="290" t="s">
        <v>1191</v>
      </c>
      <c r="B304" s="124" t="s">
        <v>44</v>
      </c>
      <c r="C304" s="291" t="str">
        <v>Oil &amp; Natural Gas Corp Ltd</v>
      </c>
      <c r="D304" s="292">
        <v>0.012266818812894</v>
      </c>
      <c r="E304" s="293">
        <f t="shared" si="8"/>
        <v>0</v>
      </c>
      <c r="F304" s="291" t="str">
        <v>Energy</v>
      </c>
      <c r="G304" s="293">
        <f t="shared" si="9"/>
        <v>0</v>
      </c>
      <c r="H304" s="291"/>
      <c r="J304" s="36"/>
      <c r="M304" s="290" t="s">
        <v>1097</v>
      </c>
      <c r="N304" s="298" t="s">
        <v>64</v>
      </c>
      <c r="O304" s="291" t="str">
        <v>Ambuja Cements Ltd</v>
      </c>
      <c r="P304" s="299">
        <v>0.0120064838181382</v>
      </c>
      <c r="Q304" s="293">
        <f>P304*VLOOKUP(N304,'Selector Sheet '!$B$13:$D$43,2,FALSE)</f>
        <v>0</v>
      </c>
      <c r="R304" s="291" t="str">
        <v>Materials</v>
      </c>
      <c r="S304" s="293">
        <f>P304*VLOOKUP(N304,'Selector Sheet '!$B$13:$D$43,2,FALSE)</f>
        <v>0</v>
      </c>
      <c r="T304" s="291"/>
      <c r="X304" s="291" t="str">
        <v>INE338I01027</v>
      </c>
      <c r="Z304" s="290" t="s">
        <v>1191</v>
      </c>
      <c r="AB304" t="s">
        <v>1473</v>
      </c>
      <c r="AC304" t="s">
        <v>1474</v>
      </c>
      <c r="AD304" t="s">
        <v>831</v>
      </c>
      <c r="AE304">
        <v>22.4324641545766</v>
      </c>
      <c r="AF304">
        <v>25.2549328406802</v>
      </c>
      <c r="AG304">
        <v>25016.4</v>
      </c>
      <c r="AH304">
        <v>41.83</v>
      </c>
      <c r="AI304">
        <v>562550848454.7</v>
      </c>
    </row>
    <row r="305" spans="1:35">
      <c r="A305" s="294" t="s">
        <v>999</v>
      </c>
      <c r="B305" s="124" t="s">
        <v>44</v>
      </c>
      <c r="C305" s="291" t="str">
        <v>Oil India Ltd</v>
      </c>
      <c r="D305" s="295">
        <v>0.00135525401944826</v>
      </c>
      <c r="E305" s="293">
        <f t="shared" si="8"/>
        <v>0</v>
      </c>
      <c r="F305" s="291" t="str">
        <v>Energy</v>
      </c>
      <c r="G305" s="293">
        <f t="shared" si="9"/>
        <v>0</v>
      </c>
      <c r="H305" s="291"/>
      <c r="J305" s="36"/>
      <c r="M305" s="294" t="s">
        <v>829</v>
      </c>
      <c r="N305" s="300" t="s">
        <v>64</v>
      </c>
      <c r="O305" s="291" t="str">
        <v>Apollo Hospitals Enterprise Lt</v>
      </c>
      <c r="P305" s="301">
        <v>0.0146189447452669</v>
      </c>
      <c r="Q305" s="293">
        <f>P305*VLOOKUP(N305,'Selector Sheet '!$B$13:$D$43,2,FALSE)</f>
        <v>0</v>
      </c>
      <c r="R305" s="291" t="str">
        <v>Health Care</v>
      </c>
      <c r="S305" s="293">
        <f>P305*VLOOKUP(N305,'Selector Sheet '!$B$13:$D$43,2,FALSE)</f>
        <v>0</v>
      </c>
      <c r="T305" s="291"/>
      <c r="X305" s="291" t="str">
        <v>INE317F01035</v>
      </c>
      <c r="Z305" s="294" t="s">
        <v>999</v>
      </c>
      <c r="AB305" t="s">
        <v>1475</v>
      </c>
      <c r="AC305" t="s">
        <v>1476</v>
      </c>
      <c r="AD305" t="s">
        <v>998</v>
      </c>
      <c r="AE305">
        <v>25.6338028169014</v>
      </c>
      <c r="AF305">
        <v>15.2344226351923</v>
      </c>
      <c r="AG305">
        <v>3752.198</v>
      </c>
      <c r="AH305">
        <v>53.25</v>
      </c>
      <c r="AI305">
        <v>96177845400</v>
      </c>
    </row>
    <row r="306" spans="1:35">
      <c r="A306" s="290" t="s">
        <v>1008</v>
      </c>
      <c r="B306" s="124" t="s">
        <v>44</v>
      </c>
      <c r="C306" s="291" t="str">
        <v>Page Industries Ltd</v>
      </c>
      <c r="D306" s="292">
        <v>0.00230754720705637</v>
      </c>
      <c r="E306" s="293">
        <f t="shared" si="8"/>
        <v>0</v>
      </c>
      <c r="F306" s="291" t="str">
        <v>Consumer Discretionary</v>
      </c>
      <c r="G306" s="293">
        <f t="shared" si="9"/>
        <v>0</v>
      </c>
      <c r="H306" s="291"/>
      <c r="J306" s="36"/>
      <c r="M306" s="290" t="s">
        <v>843</v>
      </c>
      <c r="N306" s="298" t="s">
        <v>64</v>
      </c>
      <c r="O306" s="291" t="str">
        <v>Axis Bank Ltd</v>
      </c>
      <c r="P306" s="299">
        <v>0.0186204048556847</v>
      </c>
      <c r="Q306" s="293">
        <f>P306*VLOOKUP(N306,'Selector Sheet '!$B$13:$D$43,2,FALSE)</f>
        <v>0</v>
      </c>
      <c r="R306" s="291" t="str">
        <v>Financials</v>
      </c>
      <c r="S306" s="293">
        <f>P306*VLOOKUP(N306,'Selector Sheet '!$B$13:$D$43,2,FALSE)</f>
        <v>0</v>
      </c>
      <c r="T306" s="291"/>
      <c r="X306" s="291" t="str">
        <v>INE455K01017</v>
      </c>
      <c r="Z306" s="290" t="s">
        <v>1008</v>
      </c>
      <c r="AB306" t="s">
        <v>1196</v>
      </c>
      <c r="AC306" t="s">
        <v>1477</v>
      </c>
      <c r="AD306" t="s">
        <v>813</v>
      </c>
      <c r="AE306">
        <v>48.3683138353624</v>
      </c>
      <c r="AF306" t="s">
        <v>824</v>
      </c>
      <c r="AG306">
        <v>20199.9</v>
      </c>
      <c r="AH306">
        <v>134.34</v>
      </c>
      <c r="AI306">
        <v>1075519316391.5</v>
      </c>
    </row>
    <row r="307" spans="1:35">
      <c r="A307" s="294" t="s">
        <v>1023</v>
      </c>
      <c r="B307" s="124" t="s">
        <v>44</v>
      </c>
      <c r="C307" s="291" t="str">
        <v>Power Grid Corp of India Ltd</v>
      </c>
      <c r="D307" s="295">
        <v>0.0120618747199157</v>
      </c>
      <c r="E307" s="293">
        <f t="shared" si="8"/>
        <v>0</v>
      </c>
      <c r="F307" s="291" t="str">
        <v>Utilities</v>
      </c>
      <c r="G307" s="293">
        <f t="shared" si="9"/>
        <v>0</v>
      </c>
      <c r="H307" s="291"/>
      <c r="J307" s="36"/>
      <c r="M307" s="294" t="s">
        <v>839</v>
      </c>
      <c r="N307" s="300" t="s">
        <v>64</v>
      </c>
      <c r="O307" s="291" t="str">
        <v>Bajaj Auto Ltd</v>
      </c>
      <c r="P307" s="301">
        <v>0.0025965601613399</v>
      </c>
      <c r="Q307" s="293">
        <f>P307*VLOOKUP(N307,'Selector Sheet '!$B$13:$D$43,2,FALSE)</f>
        <v>0</v>
      </c>
      <c r="R307" s="291" t="str">
        <v>Consumer Discretionary</v>
      </c>
      <c r="S307" s="293">
        <f>P307*VLOOKUP(N307,'Selector Sheet '!$B$13:$D$43,2,FALSE)</f>
        <v>0</v>
      </c>
      <c r="T307" s="291"/>
      <c r="X307" s="291" t="str">
        <v>INE160A01022</v>
      </c>
      <c r="Z307" s="294" t="s">
        <v>1023</v>
      </c>
      <c r="AB307" t="s">
        <v>1028</v>
      </c>
      <c r="AC307" t="s">
        <v>1478</v>
      </c>
      <c r="AD307" t="s">
        <v>831</v>
      </c>
      <c r="AE307">
        <v>7.32740922407671</v>
      </c>
      <c r="AF307">
        <v>15.1773440302911</v>
      </c>
      <c r="AG307">
        <v>184802.9</v>
      </c>
      <c r="AH307">
        <v>16.42</v>
      </c>
      <c r="AI307">
        <v>1232043518329.6</v>
      </c>
    </row>
    <row r="308" spans="1:35">
      <c r="A308" s="290" t="s">
        <v>1214</v>
      </c>
      <c r="B308" s="124" t="s">
        <v>44</v>
      </c>
      <c r="C308" s="291" t="str">
        <v>Procter &amp; Gamble Hygiene &amp; Hea</v>
      </c>
      <c r="D308" s="292">
        <v>0.00907948091713409</v>
      </c>
      <c r="E308" s="293">
        <f t="shared" si="8"/>
        <v>0</v>
      </c>
      <c r="F308" s="291" t="str">
        <v>Consumer Staples</v>
      </c>
      <c r="G308" s="293">
        <f t="shared" si="9"/>
        <v>0</v>
      </c>
      <c r="H308" s="291"/>
      <c r="J308" s="36"/>
      <c r="M308" s="290" t="s">
        <v>842</v>
      </c>
      <c r="N308" s="298" t="s">
        <v>64</v>
      </c>
      <c r="O308" s="291" t="str">
        <v>Bajaj Finance Ltd</v>
      </c>
      <c r="P308" s="299">
        <v>0.0110735923692483</v>
      </c>
      <c r="Q308" s="293">
        <f>P308*VLOOKUP(N308,'Selector Sheet '!$B$13:$D$43,2,FALSE)</f>
        <v>0</v>
      </c>
      <c r="R308" s="291" t="str">
        <v>Financials</v>
      </c>
      <c r="S308" s="293">
        <f>P308*VLOOKUP(N308,'Selector Sheet '!$B$13:$D$43,2,FALSE)</f>
        <v>0</v>
      </c>
      <c r="T308" s="291"/>
      <c r="X308" s="291" t="str">
        <v>INE976G01028</v>
      </c>
      <c r="Z308" s="290" t="s">
        <v>1214</v>
      </c>
      <c r="AB308" t="s">
        <v>1479</v>
      </c>
      <c r="AC308" t="s">
        <v>1480</v>
      </c>
      <c r="AD308" t="s">
        <v>831</v>
      </c>
      <c r="AE308">
        <v>26.670156748507</v>
      </c>
      <c r="AF308">
        <v>3.7209734825408</v>
      </c>
      <c r="AG308">
        <v>7170.6</v>
      </c>
      <c r="AH308">
        <v>11.81</v>
      </c>
      <c r="AI308">
        <v>155509003909.8</v>
      </c>
    </row>
    <row r="309" spans="1:35">
      <c r="A309" s="294" t="s">
        <v>1034</v>
      </c>
      <c r="B309" s="124" t="s">
        <v>44</v>
      </c>
      <c r="C309" s="291" t="str">
        <v>Reliance Industries Ltd</v>
      </c>
      <c r="D309" s="295">
        <v>0.0671126538308069</v>
      </c>
      <c r="E309" s="293">
        <f t="shared" si="8"/>
        <v>0</v>
      </c>
      <c r="F309" s="291" t="str">
        <v>Energy</v>
      </c>
      <c r="G309" s="293">
        <f t="shared" si="9"/>
        <v>0</v>
      </c>
      <c r="H309" s="291"/>
      <c r="J309" s="36"/>
      <c r="M309" s="294" t="s">
        <v>848</v>
      </c>
      <c r="N309" s="300" t="s">
        <v>64</v>
      </c>
      <c r="O309" s="291" t="str">
        <v>Bajaj Finserv Ltd</v>
      </c>
      <c r="P309" s="301">
        <v>0.0140014168229984</v>
      </c>
      <c r="Q309" s="293">
        <f>P309*VLOOKUP(N309,'Selector Sheet '!$B$13:$D$43,2,FALSE)</f>
        <v>0</v>
      </c>
      <c r="R309" s="291" t="str">
        <v>Financials</v>
      </c>
      <c r="S309" s="293">
        <f>P309*VLOOKUP(N309,'Selector Sheet '!$B$13:$D$43,2,FALSE)</f>
        <v>0</v>
      </c>
      <c r="T309" s="291"/>
      <c r="X309" s="291" t="str">
        <v>INE114A01011</v>
      </c>
      <c r="Z309" s="294" t="s">
        <v>1034</v>
      </c>
      <c r="AB309" t="s">
        <v>1423</v>
      </c>
      <c r="AC309" t="s">
        <v>1481</v>
      </c>
      <c r="AD309" t="s">
        <v>823</v>
      </c>
      <c r="AE309">
        <v>21.2752618025404</v>
      </c>
      <c r="AF309">
        <v>4.08910265400661</v>
      </c>
      <c r="AG309">
        <v>23718.2</v>
      </c>
      <c r="AH309">
        <v>5.74</v>
      </c>
      <c r="AI309">
        <v>504366853846.48</v>
      </c>
    </row>
    <row r="310" spans="1:35">
      <c r="A310" s="290" t="s">
        <v>1019</v>
      </c>
      <c r="B310" s="124" t="s">
        <v>44</v>
      </c>
      <c r="C310" s="291" t="str">
        <v>Samvardhana Motherson Internat</v>
      </c>
      <c r="D310" s="292">
        <v>0</v>
      </c>
      <c r="E310" s="293">
        <f t="shared" si="8"/>
        <v>0</v>
      </c>
      <c r="F310" s="291" t="str">
        <v>Consumer Discretionary</v>
      </c>
      <c r="G310" s="293">
        <f t="shared" si="9"/>
        <v>0</v>
      </c>
      <c r="H310" s="291"/>
      <c r="J310" s="36"/>
      <c r="M310" s="290" t="s">
        <v>853</v>
      </c>
      <c r="N310" s="298" t="s">
        <v>64</v>
      </c>
      <c r="O310" s="291" t="str">
        <v>Bharat Petroleum Corp Ltd</v>
      </c>
      <c r="P310" s="299">
        <v>0.00855597776545144</v>
      </c>
      <c r="Q310" s="293">
        <f>P310*VLOOKUP(N310,'Selector Sheet '!$B$13:$D$43,2,FALSE)</f>
        <v>0</v>
      </c>
      <c r="R310" s="291" t="str">
        <v>Energy</v>
      </c>
      <c r="S310" s="293">
        <f>P310*VLOOKUP(N310,'Selector Sheet '!$B$13:$D$43,2,FALSE)</f>
        <v>0</v>
      </c>
      <c r="T310" s="291"/>
      <c r="X310" s="291" t="str">
        <v>INE277A01016</v>
      </c>
      <c r="Z310" s="290" t="s">
        <v>1019</v>
      </c>
      <c r="AB310" t="s">
        <v>1482</v>
      </c>
      <c r="AC310" t="s">
        <v>1483</v>
      </c>
      <c r="AD310" t="s">
        <v>813</v>
      </c>
      <c r="AE310">
        <v>29.6399297423888</v>
      </c>
      <c r="AF310">
        <v>42.1403296535204</v>
      </c>
      <c r="AG310">
        <v>1659.837</v>
      </c>
      <c r="AH310">
        <v>136.64</v>
      </c>
      <c r="AI310">
        <v>49197237300</v>
      </c>
    </row>
    <row r="311" spans="1:35">
      <c r="A311" s="294" t="s">
        <v>1138</v>
      </c>
      <c r="B311" s="124" t="s">
        <v>44</v>
      </c>
      <c r="C311" s="291" t="str">
        <v>SBI Life Insurance Co Ltd</v>
      </c>
      <c r="D311" s="295">
        <v>0.0130085987215682</v>
      </c>
      <c r="E311" s="293">
        <f t="shared" si="8"/>
        <v>0</v>
      </c>
      <c r="F311" s="291" t="str">
        <v>Financials</v>
      </c>
      <c r="G311" s="293">
        <f t="shared" si="9"/>
        <v>0</v>
      </c>
      <c r="H311" s="291"/>
      <c r="J311" s="36"/>
      <c r="M311" s="294" t="s">
        <v>855</v>
      </c>
      <c r="N311" s="300" t="s">
        <v>64</v>
      </c>
      <c r="O311" s="291" t="str">
        <v>Bharti Airtel Ltd</v>
      </c>
      <c r="P311" s="301">
        <v>0.0226034818864069</v>
      </c>
      <c r="Q311" s="293">
        <f>P311*VLOOKUP(N311,'Selector Sheet '!$B$13:$D$43,2,FALSE)</f>
        <v>0</v>
      </c>
      <c r="R311" s="291" t="str">
        <v>Communication Services</v>
      </c>
      <c r="S311" s="293">
        <f>P311*VLOOKUP(N311,'Selector Sheet '!$B$13:$D$43,2,FALSE)</f>
        <v>0</v>
      </c>
      <c r="T311" s="291"/>
      <c r="X311" s="291" t="str">
        <v>INE768C01010</v>
      </c>
      <c r="Z311" s="294" t="s">
        <v>1138</v>
      </c>
      <c r="AB311" t="s">
        <v>1484</v>
      </c>
      <c r="AC311" t="s">
        <v>1485</v>
      </c>
      <c r="AD311" t="s">
        <v>980</v>
      </c>
      <c r="AE311">
        <v>36.3132804260478</v>
      </c>
      <c r="AF311">
        <v>6.29063114850713</v>
      </c>
      <c r="AG311">
        <v>3469</v>
      </c>
      <c r="AH311">
        <v>54.52</v>
      </c>
      <c r="AI311">
        <v>125978918691.2</v>
      </c>
    </row>
    <row r="312" spans="1:35">
      <c r="A312" s="290" t="s">
        <v>1025</v>
      </c>
      <c r="B312" s="124" t="s">
        <v>44</v>
      </c>
      <c r="C312" s="291" t="str">
        <v>Shree Cement Ltd</v>
      </c>
      <c r="D312" s="292">
        <v>0.00626716041392701</v>
      </c>
      <c r="E312" s="293">
        <f t="shared" si="8"/>
        <v>0</v>
      </c>
      <c r="F312" s="291" t="str">
        <v>Materials</v>
      </c>
      <c r="G312" s="293">
        <f t="shared" si="9"/>
        <v>0</v>
      </c>
      <c r="H312" s="291"/>
      <c r="J312" s="36"/>
      <c r="M312" s="290" t="s">
        <v>889</v>
      </c>
      <c r="N312" s="298" t="s">
        <v>64</v>
      </c>
      <c r="O312" s="291" t="str">
        <v>Craftsman Automation Ltd</v>
      </c>
      <c r="P312" s="299">
        <v>0</v>
      </c>
      <c r="Q312" s="293">
        <f>P312*VLOOKUP(N312,'Selector Sheet '!$B$13:$D$43,2,FALSE)</f>
        <v>0</v>
      </c>
      <c r="R312" s="291" t="str">
        <v>Industrials</v>
      </c>
      <c r="S312" s="293">
        <f>P312*VLOOKUP(N312,'Selector Sheet '!$B$13:$D$43,2,FALSE)</f>
        <v>0</v>
      </c>
      <c r="T312" s="291"/>
      <c r="X312" s="291" t="str">
        <v>INE365D01021</v>
      </c>
      <c r="Z312" s="290" t="s">
        <v>1025</v>
      </c>
      <c r="AB312" t="s">
        <v>1486</v>
      </c>
      <c r="AC312" t="s">
        <v>1487</v>
      </c>
      <c r="AD312" t="s">
        <v>998</v>
      </c>
      <c r="AE312">
        <v>84.4196255968441</v>
      </c>
      <c r="AF312">
        <v>2.02937817090339</v>
      </c>
      <c r="AG312">
        <v>182.4</v>
      </c>
      <c r="AH312">
        <v>1.86</v>
      </c>
      <c r="AI312">
        <v>31419044055.35</v>
      </c>
    </row>
    <row r="313" spans="1:35">
      <c r="A313" s="294" t="s">
        <v>1027</v>
      </c>
      <c r="B313" s="124" t="s">
        <v>44</v>
      </c>
      <c r="C313" s="291" t="str">
        <v>Siemens Energy India Ltd</v>
      </c>
      <c r="D313" s="295">
        <v>0</v>
      </c>
      <c r="E313" s="293">
        <f t="shared" si="8"/>
        <v>0</v>
      </c>
      <c r="F313" s="291" t="str">
        <v>Industrials</v>
      </c>
      <c r="G313" s="293">
        <f t="shared" si="9"/>
        <v>0</v>
      </c>
      <c r="H313" s="291"/>
      <c r="J313" s="36"/>
      <c r="M313" s="294" t="s">
        <v>897</v>
      </c>
      <c r="N313" s="300" t="s">
        <v>64</v>
      </c>
      <c r="O313" s="291" t="str">
        <v>Cummins India Ltd</v>
      </c>
      <c r="P313" s="301">
        <v>0.0114328699230168</v>
      </c>
      <c r="Q313" s="293">
        <f>P313*VLOOKUP(N313,'Selector Sheet '!$B$13:$D$43,2,FALSE)</f>
        <v>0</v>
      </c>
      <c r="R313" s="291" t="str">
        <v>Industrials</v>
      </c>
      <c r="S313" s="293">
        <f>P313*VLOOKUP(N313,'Selector Sheet '!$B$13:$D$43,2,FALSE)</f>
        <v>0</v>
      </c>
      <c r="T313" s="291"/>
      <c r="X313" s="291" t="str">
        <v>INE914M01019</v>
      </c>
      <c r="Z313" s="294" t="s">
        <v>1027</v>
      </c>
      <c r="AB313" t="s">
        <v>1488</v>
      </c>
      <c r="AC313" t="s">
        <v>1489</v>
      </c>
      <c r="AD313" t="s">
        <v>819</v>
      </c>
      <c r="AE313">
        <v>94.9601631500994</v>
      </c>
      <c r="AF313" t="s">
        <v>824</v>
      </c>
      <c r="AG313">
        <v>53778.3</v>
      </c>
      <c r="AH313">
        <v>107.98</v>
      </c>
      <c r="AI313">
        <v>319266178069.8</v>
      </c>
    </row>
    <row r="314" spans="1:35">
      <c r="A314" s="290" t="s">
        <v>1030</v>
      </c>
      <c r="B314" s="124" t="s">
        <v>44</v>
      </c>
      <c r="C314" s="291" t="str">
        <v>Siemens Ltd</v>
      </c>
      <c r="D314" s="292">
        <v>0.00374116126091284</v>
      </c>
      <c r="E314" s="293">
        <f t="shared" si="8"/>
        <v>0</v>
      </c>
      <c r="F314" s="291" t="str">
        <v>Industrials</v>
      </c>
      <c r="G314" s="293">
        <f t="shared" si="9"/>
        <v>0</v>
      </c>
      <c r="H314" s="291"/>
      <c r="J314" s="36"/>
      <c r="M314" s="290" t="s">
        <v>1161</v>
      </c>
      <c r="N314" s="298" t="s">
        <v>64</v>
      </c>
      <c r="O314" s="291" t="str">
        <v>Dabur India Ltd</v>
      </c>
      <c r="P314" s="299">
        <v>0.00449281869612046</v>
      </c>
      <c r="Q314" s="293">
        <f>P314*VLOOKUP(N314,'Selector Sheet '!$B$13:$D$43,2,FALSE)</f>
        <v>0</v>
      </c>
      <c r="R314" s="291" t="str">
        <v>Consumer Staples</v>
      </c>
      <c r="S314" s="293">
        <f>P314*VLOOKUP(N314,'Selector Sheet '!$B$13:$D$43,2,FALSE)</f>
        <v>0</v>
      </c>
      <c r="T314" s="291"/>
      <c r="X314" s="291" t="str">
        <v>INE449A01011</v>
      </c>
      <c r="Z314" s="290" t="s">
        <v>1030</v>
      </c>
      <c r="AB314" t="s">
        <v>1490</v>
      </c>
      <c r="AC314" t="s">
        <v>1491</v>
      </c>
      <c r="AD314" t="s">
        <v>838</v>
      </c>
      <c r="AE314">
        <v>16.0425570888645</v>
      </c>
      <c r="AF314">
        <v>16.7434575264013</v>
      </c>
      <c r="AG314">
        <v>1555.35</v>
      </c>
      <c r="AH314">
        <v>102.92</v>
      </c>
      <c r="AI314">
        <v>24951381922.5</v>
      </c>
    </row>
    <row r="315" spans="1:35">
      <c r="A315" s="294" t="s">
        <v>1044</v>
      </c>
      <c r="B315" s="124" t="s">
        <v>44</v>
      </c>
      <c r="C315" s="291" t="str">
        <v>Sun Pharmaceutical Industries</v>
      </c>
      <c r="D315" s="295">
        <v>0.0275081108704546</v>
      </c>
      <c r="E315" s="293">
        <f t="shared" si="8"/>
        <v>0</v>
      </c>
      <c r="F315" s="291" t="str">
        <v>Health Care</v>
      </c>
      <c r="G315" s="293">
        <f t="shared" si="9"/>
        <v>0</v>
      </c>
      <c r="H315" s="291"/>
      <c r="J315" s="36"/>
      <c r="M315" s="294" t="s">
        <v>1356</v>
      </c>
      <c r="N315" s="300" t="s">
        <v>64</v>
      </c>
      <c r="O315" s="291" t="str">
        <v>Delhivery Ltd</v>
      </c>
      <c r="P315" s="301">
        <v>0.00532041617117917</v>
      </c>
      <c r="Q315" s="293">
        <f>P315*VLOOKUP(N315,'Selector Sheet '!$B$13:$D$43,2,FALSE)</f>
        <v>0</v>
      </c>
      <c r="R315" s="291" t="str">
        <v>Industrials</v>
      </c>
      <c r="S315" s="293">
        <f>P315*VLOOKUP(N315,'Selector Sheet '!$B$13:$D$43,2,FALSE)</f>
        <v>0</v>
      </c>
      <c r="T315" s="291"/>
      <c r="X315" s="291" t="str">
        <v>INE084A01016</v>
      </c>
      <c r="Z315" s="294" t="s">
        <v>1044</v>
      </c>
      <c r="AB315" t="s">
        <v>1492</v>
      </c>
      <c r="AC315" t="s">
        <v>1493</v>
      </c>
      <c r="AD315" t="s">
        <v>831</v>
      </c>
      <c r="AE315">
        <v>5.48489211560439</v>
      </c>
      <c r="AF315">
        <v>12.5095408098833</v>
      </c>
      <c r="AG315">
        <v>95482.8</v>
      </c>
      <c r="AH315">
        <v>20.972933</v>
      </c>
      <c r="AI315">
        <v>520643097155.76</v>
      </c>
    </row>
    <row r="316" spans="1:35">
      <c r="A316" s="290" t="s">
        <v>1051</v>
      </c>
      <c r="B316" s="124" t="s">
        <v>44</v>
      </c>
      <c r="C316" s="291" t="str">
        <v>Tata Consultancy Services Ltd</v>
      </c>
      <c r="D316" s="292">
        <v>0.00531803489236772</v>
      </c>
      <c r="E316" s="293">
        <f t="shared" si="8"/>
        <v>0</v>
      </c>
      <c r="F316" s="291" t="str">
        <v>Information Technology</v>
      </c>
      <c r="G316" s="293">
        <f t="shared" si="9"/>
        <v>0</v>
      </c>
      <c r="H316" s="291"/>
      <c r="J316" s="36"/>
      <c r="M316" s="290" t="s">
        <v>1265</v>
      </c>
      <c r="N316" s="298" t="s">
        <v>64</v>
      </c>
      <c r="O316" s="291" t="str">
        <v>DLF Ltd</v>
      </c>
      <c r="P316" s="299">
        <v>0.00431589650774874</v>
      </c>
      <c r="Q316" s="293">
        <f>P316*VLOOKUP(N316,'Selector Sheet '!$B$13:$D$43,2,FALSE)</f>
        <v>0</v>
      </c>
      <c r="R316" s="291" t="str">
        <v>Real Estate</v>
      </c>
      <c r="S316" s="293">
        <f>P316*VLOOKUP(N316,'Selector Sheet '!$B$13:$D$43,2,FALSE)</f>
        <v>0</v>
      </c>
      <c r="T316" s="291"/>
      <c r="X316" s="291" t="str">
        <v>INE131C01011</v>
      </c>
      <c r="Z316" s="290" t="s">
        <v>1051</v>
      </c>
      <c r="AB316" t="s">
        <v>1494</v>
      </c>
      <c r="AC316" t="s">
        <v>1495</v>
      </c>
      <c r="AD316" t="s">
        <v>813</v>
      </c>
      <c r="AE316">
        <v>40.0553879495405</v>
      </c>
      <c r="AF316">
        <v>19.673794287498</v>
      </c>
      <c r="AG316">
        <v>504.2</v>
      </c>
      <c r="AH316">
        <v>346.718654</v>
      </c>
      <c r="AI316">
        <v>20195926329.75</v>
      </c>
    </row>
    <row r="317" spans="1:35">
      <c r="A317" s="294" t="s">
        <v>1054</v>
      </c>
      <c r="B317" s="124" t="s">
        <v>44</v>
      </c>
      <c r="C317" s="291" t="str">
        <v>Tata Motors Ltd</v>
      </c>
      <c r="D317" s="295">
        <v>0.00711894079967996</v>
      </c>
      <c r="E317" s="293">
        <f t="shared" si="8"/>
        <v>0</v>
      </c>
      <c r="F317" s="291" t="str">
        <v>Consumer Discretionary</v>
      </c>
      <c r="G317" s="293">
        <f t="shared" si="9"/>
        <v>0</v>
      </c>
      <c r="H317" s="291"/>
      <c r="J317" s="36"/>
      <c r="M317" s="294" t="s">
        <v>911</v>
      </c>
      <c r="N317" s="300" t="s">
        <v>64</v>
      </c>
      <c r="O317" s="291" t="str">
        <v>Dr Lal PathLabs Ltd</v>
      </c>
      <c r="P317" s="301">
        <v>0.00913491517714418</v>
      </c>
      <c r="Q317" s="293">
        <f>P317*VLOOKUP(N317,'Selector Sheet '!$B$13:$D$43,2,FALSE)</f>
        <v>0</v>
      </c>
      <c r="R317" s="291" t="str">
        <v>Health Care</v>
      </c>
      <c r="S317" s="293">
        <f>P317*VLOOKUP(N317,'Selector Sheet '!$B$13:$D$43,2,FALSE)</f>
        <v>0</v>
      </c>
      <c r="T317" s="291"/>
      <c r="X317" s="291" t="str">
        <v>INE063P01018</v>
      </c>
      <c r="Z317" s="294" t="s">
        <v>1054</v>
      </c>
      <c r="AB317" t="s">
        <v>1496</v>
      </c>
      <c r="AC317" t="s">
        <v>1497</v>
      </c>
      <c r="AD317" t="s">
        <v>831</v>
      </c>
      <c r="AE317">
        <v>41.64844835554</v>
      </c>
      <c r="AF317" t="s">
        <v>824</v>
      </c>
      <c r="AG317">
        <v>1470.499</v>
      </c>
      <c r="AH317">
        <v>1.295723</v>
      </c>
      <c r="AI317">
        <v>61262107876.84</v>
      </c>
    </row>
    <row r="318" spans="1:35">
      <c r="A318" s="290" t="s">
        <v>1063</v>
      </c>
      <c r="B318" s="124" t="s">
        <v>44</v>
      </c>
      <c r="C318" s="291" t="str">
        <v>Tata Power Co Ltd/The</v>
      </c>
      <c r="D318" s="292">
        <v>0.00109826074357016</v>
      </c>
      <c r="E318" s="293">
        <f t="shared" si="8"/>
        <v>0</v>
      </c>
      <c r="F318" s="291" t="str">
        <v>Utilities</v>
      </c>
      <c r="G318" s="293">
        <f t="shared" si="9"/>
        <v>0</v>
      </c>
      <c r="H318" s="291"/>
      <c r="J318" s="36"/>
      <c r="M318" s="290" t="s">
        <v>1365</v>
      </c>
      <c r="N318" s="298" t="s">
        <v>64</v>
      </c>
      <c r="O318" s="291" t="str">
        <v>Exide Industries Ltd</v>
      </c>
      <c r="P318" s="299">
        <v>0.00402039149238193</v>
      </c>
      <c r="Q318" s="293">
        <f>P318*VLOOKUP(N318,'Selector Sheet '!$B$13:$D$43,2,FALSE)</f>
        <v>0</v>
      </c>
      <c r="R318" s="291" t="str">
        <v>Consumer Discretionary</v>
      </c>
      <c r="S318" s="293">
        <f>P318*VLOOKUP(N318,'Selector Sheet '!$B$13:$D$43,2,FALSE)</f>
        <v>0</v>
      </c>
      <c r="T318" s="291"/>
      <c r="X318" s="291" t="str">
        <v>INE079J01017</v>
      </c>
      <c r="Z318" s="290" t="s">
        <v>1063</v>
      </c>
      <c r="AB318" t="s">
        <v>1498</v>
      </c>
      <c r="AC318" t="s">
        <v>1499</v>
      </c>
      <c r="AD318" t="s">
        <v>813</v>
      </c>
      <c r="AE318">
        <v>9.14420464610796</v>
      </c>
      <c r="AF318">
        <v>17.9330031177393</v>
      </c>
      <c r="AG318">
        <v>3708.64</v>
      </c>
      <c r="AH318">
        <v>7.42</v>
      </c>
      <c r="AI318">
        <v>33900834272.6</v>
      </c>
    </row>
    <row r="319" spans="1:35">
      <c r="A319" s="294" t="s">
        <v>1056</v>
      </c>
      <c r="B319" s="124" t="s">
        <v>44</v>
      </c>
      <c r="C319" s="291" t="str">
        <v>Tata Steel Ltd</v>
      </c>
      <c r="D319" s="295">
        <v>0.00366952938262415</v>
      </c>
      <c r="E319" s="293">
        <f t="shared" si="8"/>
        <v>0</v>
      </c>
      <c r="F319" s="291" t="str">
        <v>Materials</v>
      </c>
      <c r="G319" s="293">
        <f t="shared" si="9"/>
        <v>0</v>
      </c>
      <c r="H319" s="291"/>
      <c r="J319" s="36"/>
      <c r="M319" s="294" t="s">
        <v>906</v>
      </c>
      <c r="N319" s="300" t="s">
        <v>64</v>
      </c>
      <c r="O319" s="291" t="str">
        <v>GAIL India Ltd</v>
      </c>
      <c r="P319" s="301">
        <v>0</v>
      </c>
      <c r="Q319" s="293">
        <f>P319*VLOOKUP(N319,'Selector Sheet '!$B$13:$D$43,2,FALSE)</f>
        <v>0</v>
      </c>
      <c r="R319" s="291" t="str">
        <v>Utilities</v>
      </c>
      <c r="S319" s="293">
        <f>P319*VLOOKUP(N319,'Selector Sheet '!$B$13:$D$43,2,FALSE)</f>
        <v>0</v>
      </c>
      <c r="T319" s="291"/>
      <c r="X319" s="291" t="str">
        <v>INE201P01022</v>
      </c>
      <c r="Z319" s="294" t="s">
        <v>1056</v>
      </c>
      <c r="AB319" t="s">
        <v>1500</v>
      </c>
      <c r="AC319" t="s">
        <v>1501</v>
      </c>
      <c r="AD319" t="s">
        <v>813</v>
      </c>
      <c r="AE319">
        <v>11.3208931910092</v>
      </c>
      <c r="AF319">
        <v>12.6135042639653</v>
      </c>
      <c r="AG319">
        <v>10143.356</v>
      </c>
      <c r="AH319">
        <v>111.784466</v>
      </c>
      <c r="AI319">
        <v>122424858508.5</v>
      </c>
    </row>
    <row r="320" spans="1:35">
      <c r="A320" s="290" t="s">
        <v>1059</v>
      </c>
      <c r="B320" s="124" t="s">
        <v>44</v>
      </c>
      <c r="C320" s="291" t="str">
        <v>Tech Mahindra Ltd</v>
      </c>
      <c r="D320" s="292">
        <v>0.0056393858371647</v>
      </c>
      <c r="E320" s="293">
        <f t="shared" ref="E320:E383" si="10">_xlfn.IFNA(D320*VLOOKUP($B320,$AK$1:$AM$34,3,FALSE),0)</f>
        <v>0</v>
      </c>
      <c r="F320" s="291" t="str">
        <v>Information Technology</v>
      </c>
      <c r="G320" s="293">
        <f t="shared" ref="G320:G383" si="11">_xlfn.IFNA(D320*VLOOKUP($B320,$AK$1:$AM$34,3,FALSE),0)</f>
        <v>0</v>
      </c>
      <c r="H320" s="291"/>
      <c r="J320" s="36"/>
      <c r="M320" s="290" t="s">
        <v>1315</v>
      </c>
      <c r="N320" s="298" t="s">
        <v>64</v>
      </c>
      <c r="O320" s="291" t="str">
        <v>Godrej Properties Ltd</v>
      </c>
      <c r="P320" s="299">
        <v>0.0161584877932431</v>
      </c>
      <c r="Q320" s="293">
        <f>P320*VLOOKUP(N320,'Selector Sheet '!$B$13:$D$43,2,FALSE)</f>
        <v>0</v>
      </c>
      <c r="R320" s="291" t="str">
        <v>Real Estate</v>
      </c>
      <c r="S320" s="293">
        <f>P320*VLOOKUP(N320,'Selector Sheet '!$B$13:$D$43,2,FALSE)</f>
        <v>0</v>
      </c>
      <c r="T320" s="291"/>
      <c r="X320" s="291" t="str">
        <v>INE461C01038</v>
      </c>
      <c r="Z320" s="290" t="s">
        <v>1059</v>
      </c>
      <c r="AB320" t="s">
        <v>1502</v>
      </c>
      <c r="AC320" t="s">
        <v>1503</v>
      </c>
      <c r="AD320" t="s">
        <v>823</v>
      </c>
      <c r="AE320">
        <v>41.6644105407963</v>
      </c>
      <c r="AF320">
        <v>12.0722807787688</v>
      </c>
      <c r="AG320">
        <v>916.321</v>
      </c>
      <c r="AH320">
        <v>7.39</v>
      </c>
      <c r="AI320">
        <v>38450642830.5</v>
      </c>
    </row>
    <row r="321" spans="1:35">
      <c r="A321" s="294" t="s">
        <v>1069</v>
      </c>
      <c r="B321" s="124" t="s">
        <v>44</v>
      </c>
      <c r="C321" s="291" t="str">
        <v>TVS Motor Co Ltd</v>
      </c>
      <c r="D321" s="295">
        <v>0.00148445969081688</v>
      </c>
      <c r="E321" s="293">
        <f t="shared" si="10"/>
        <v>0</v>
      </c>
      <c r="F321" s="291" t="str">
        <v>Consumer Discretionary</v>
      </c>
      <c r="G321" s="293">
        <f t="shared" si="11"/>
        <v>0</v>
      </c>
      <c r="H321" s="291"/>
      <c r="J321" s="36"/>
      <c r="M321" s="294" t="s">
        <v>1134</v>
      </c>
      <c r="N321" s="300" t="s">
        <v>64</v>
      </c>
      <c r="O321" s="291" t="str">
        <v>Grasim Industries Ltd</v>
      </c>
      <c r="P321" s="301">
        <v>0.00196445736785945</v>
      </c>
      <c r="Q321" s="293">
        <f>P321*VLOOKUP(N321,'Selector Sheet '!$B$13:$D$43,2,FALSE)</f>
        <v>0</v>
      </c>
      <c r="R321" s="291" t="str">
        <v>Materials</v>
      </c>
      <c r="S321" s="293">
        <f>P321*VLOOKUP(N321,'Selector Sheet '!$B$13:$D$43,2,FALSE)</f>
        <v>0</v>
      </c>
      <c r="T321" s="291"/>
      <c r="X321" s="291" t="str">
        <v>INE536A01023</v>
      </c>
      <c r="Z321" s="294" t="s">
        <v>1069</v>
      </c>
      <c r="AB321" t="s">
        <v>1504</v>
      </c>
      <c r="AC321" t="s">
        <v>1505</v>
      </c>
      <c r="AD321" t="s">
        <v>813</v>
      </c>
      <c r="AE321">
        <v>44.3153138490053</v>
      </c>
      <c r="AF321">
        <v>17.1069725537103</v>
      </c>
      <c r="AG321">
        <v>3687.213</v>
      </c>
      <c r="AH321">
        <v>33.3</v>
      </c>
      <c r="AI321">
        <v>163389504000</v>
      </c>
    </row>
    <row r="322" spans="1:35">
      <c r="A322" s="290" t="s">
        <v>1071</v>
      </c>
      <c r="B322" s="124" t="s">
        <v>44</v>
      </c>
      <c r="C322" s="291" t="str">
        <v>UltraTech Cement Ltd</v>
      </c>
      <c r="D322" s="292">
        <v>0.0399350402970915</v>
      </c>
      <c r="E322" s="293">
        <f t="shared" si="10"/>
        <v>0</v>
      </c>
      <c r="F322" s="291" t="str">
        <v>Materials</v>
      </c>
      <c r="G322" s="293">
        <f t="shared" si="11"/>
        <v>0</v>
      </c>
      <c r="H322" s="291"/>
      <c r="J322" s="36"/>
      <c r="M322" s="290" t="s">
        <v>919</v>
      </c>
      <c r="N322" s="298" t="s">
        <v>64</v>
      </c>
      <c r="O322" s="291" t="str">
        <v>HCL Technologies Ltd</v>
      </c>
      <c r="P322" s="299">
        <v>0.00392329214518294</v>
      </c>
      <c r="Q322" s="293">
        <f>P322*VLOOKUP(N322,'Selector Sheet '!$B$13:$D$43,2,FALSE)</f>
        <v>0</v>
      </c>
      <c r="R322" s="291" t="str">
        <v>Information Technology</v>
      </c>
      <c r="S322" s="293">
        <f>P322*VLOOKUP(N322,'Selector Sheet '!$B$13:$D$43,2,FALSE)</f>
        <v>0</v>
      </c>
      <c r="T322" s="291"/>
      <c r="X322" s="291" t="str">
        <v>INE177A01018</v>
      </c>
      <c r="Z322" s="290" t="s">
        <v>1071</v>
      </c>
      <c r="AB322" t="s">
        <v>1506</v>
      </c>
      <c r="AC322" t="s">
        <v>1507</v>
      </c>
      <c r="AD322" t="s">
        <v>813</v>
      </c>
      <c r="AE322">
        <v>41.8078101263194</v>
      </c>
      <c r="AF322">
        <v>44.9776902048735</v>
      </c>
      <c r="AG322">
        <v>2675.3</v>
      </c>
      <c r="AH322">
        <v>84.749714</v>
      </c>
      <c r="AI322">
        <v>111851737600</v>
      </c>
    </row>
    <row r="323" spans="1:35">
      <c r="A323" s="294" t="s">
        <v>1073</v>
      </c>
      <c r="B323" s="124" t="s">
        <v>44</v>
      </c>
      <c r="C323" s="291" t="str">
        <v>Union Bank of India Ltd</v>
      </c>
      <c r="D323" s="295">
        <v>0.00424091421034413</v>
      </c>
      <c r="E323" s="293">
        <f t="shared" si="10"/>
        <v>0</v>
      </c>
      <c r="F323" s="291" t="str">
        <v>Financials</v>
      </c>
      <c r="G323" s="293">
        <f t="shared" si="11"/>
        <v>0</v>
      </c>
      <c r="H323" s="291"/>
      <c r="J323" s="36"/>
      <c r="M323" s="294" t="s">
        <v>922</v>
      </c>
      <c r="N323" s="300" t="s">
        <v>64</v>
      </c>
      <c r="O323" s="291" t="str">
        <v>HDB Financial Services Ltd</v>
      </c>
      <c r="P323" s="301">
        <v>0.00277968314991262</v>
      </c>
      <c r="Q323" s="293">
        <f>P323*VLOOKUP(N323,'Selector Sheet '!$B$13:$D$43,2,FALSE)</f>
        <v>0</v>
      </c>
      <c r="R323" s="291" t="str">
        <v>Financials</v>
      </c>
      <c r="S323" s="293">
        <f>P323*VLOOKUP(N323,'Selector Sheet '!$B$13:$D$43,2,FALSE)</f>
        <v>0</v>
      </c>
      <c r="T323" s="291"/>
      <c r="X323" s="291" t="str">
        <v>INE136S01016</v>
      </c>
      <c r="Z323" s="294" t="s">
        <v>1073</v>
      </c>
      <c r="AB323" t="s">
        <v>1508</v>
      </c>
      <c r="AC323" t="s">
        <v>1509</v>
      </c>
      <c r="AD323" t="s">
        <v>823</v>
      </c>
      <c r="AE323">
        <v>107.121212121212</v>
      </c>
      <c r="AF323">
        <v>4.49512157348614</v>
      </c>
      <c r="AG323">
        <v>348.3</v>
      </c>
      <c r="AH323">
        <v>13.2</v>
      </c>
      <c r="AI323">
        <v>37303687036</v>
      </c>
    </row>
    <row r="324" spans="1:35">
      <c r="A324" s="290" t="s">
        <v>1090</v>
      </c>
      <c r="B324" s="124" t="s">
        <v>44</v>
      </c>
      <c r="C324" s="291" t="str">
        <v>United Breweries Ltd</v>
      </c>
      <c r="D324" s="292">
        <v>0.00634105590581699</v>
      </c>
      <c r="E324" s="293">
        <f t="shared" si="10"/>
        <v>0</v>
      </c>
      <c r="F324" s="291" t="str">
        <v>Consumer Staples</v>
      </c>
      <c r="G324" s="293">
        <f t="shared" si="11"/>
        <v>0</v>
      </c>
      <c r="H324" s="291"/>
      <c r="J324" s="36"/>
      <c r="M324" s="290" t="s">
        <v>924</v>
      </c>
      <c r="N324" s="298" t="s">
        <v>64</v>
      </c>
      <c r="O324" s="291" t="str">
        <v>HDFC Bank Ltd</v>
      </c>
      <c r="P324" s="299">
        <v>0.0477081990924784</v>
      </c>
      <c r="Q324" s="293">
        <f>P324*VLOOKUP(N324,'Selector Sheet '!$B$13:$D$43,2,FALSE)</f>
        <v>0</v>
      </c>
      <c r="R324" s="291" t="str">
        <v>Financials</v>
      </c>
      <c r="S324" s="293">
        <f>P324*VLOOKUP(N324,'Selector Sheet '!$B$13:$D$43,2,FALSE)</f>
        <v>0</v>
      </c>
      <c r="T324" s="291"/>
      <c r="X324" s="291" t="str">
        <v>INE0NNS01018</v>
      </c>
      <c r="Z324" s="290" t="s">
        <v>1090</v>
      </c>
      <c r="AB324" t="s">
        <v>1510</v>
      </c>
      <c r="AC324" t="s">
        <v>1511</v>
      </c>
      <c r="AD324" t="s">
        <v>823</v>
      </c>
      <c r="AE324" t="s">
        <v>824</v>
      </c>
      <c r="AF324">
        <v>-16.5982699559553</v>
      </c>
      <c r="AG324">
        <v>-23737.8</v>
      </c>
      <c r="AH324">
        <v>-8.1</v>
      </c>
      <c r="AI324">
        <v>118249946047.5</v>
      </c>
    </row>
    <row r="325" spans="1:35">
      <c r="A325" s="294" t="s">
        <v>1076</v>
      </c>
      <c r="B325" s="124" t="s">
        <v>44</v>
      </c>
      <c r="C325" s="291" t="str">
        <v>United Spirits Ltd</v>
      </c>
      <c r="D325" s="295">
        <v>0.00579252591400862</v>
      </c>
      <c r="E325" s="293">
        <f t="shared" si="10"/>
        <v>0</v>
      </c>
      <c r="F325" s="291" t="str">
        <v>Consumer Staples</v>
      </c>
      <c r="G325" s="293">
        <f t="shared" si="11"/>
        <v>0</v>
      </c>
      <c r="H325" s="291"/>
      <c r="J325" s="36"/>
      <c r="M325" s="294" t="s">
        <v>927</v>
      </c>
      <c r="N325" s="300" t="s">
        <v>64</v>
      </c>
      <c r="O325" s="291" t="str">
        <v>HDFC Life Insurance Co Ltd</v>
      </c>
      <c r="P325" s="301">
        <v>0.00925415596686155</v>
      </c>
      <c r="Q325" s="293">
        <f>P325*VLOOKUP(N325,'Selector Sheet '!$B$13:$D$43,2,FALSE)</f>
        <v>0</v>
      </c>
      <c r="R325" s="291" t="str">
        <v>Financials</v>
      </c>
      <c r="S325" s="293">
        <f>P325*VLOOKUP(N325,'Selector Sheet '!$B$13:$D$43,2,FALSE)</f>
        <v>0</v>
      </c>
      <c r="T325" s="291"/>
      <c r="X325" s="291" t="str">
        <v>INE347G01014</v>
      </c>
      <c r="Z325" s="294" t="s">
        <v>1076</v>
      </c>
      <c r="AB325" t="s">
        <v>1512</v>
      </c>
      <c r="AC325" t="s">
        <v>1513</v>
      </c>
      <c r="AD325" t="s">
        <v>1001</v>
      </c>
      <c r="AE325">
        <v>10.2341389728097</v>
      </c>
      <c r="AF325">
        <v>21.3082941156909</v>
      </c>
      <c r="AG325">
        <v>39726.8</v>
      </c>
      <c r="AH325">
        <v>26.48</v>
      </c>
      <c r="AI325">
        <v>406500023848</v>
      </c>
    </row>
    <row r="326" spans="1:35">
      <c r="A326" s="290" t="s">
        <v>1245</v>
      </c>
      <c r="B326" s="124" t="s">
        <v>44</v>
      </c>
      <c r="C326" s="291" t="str">
        <v>Vedanta Ltd</v>
      </c>
      <c r="D326" s="292">
        <v>0.00285921004008892</v>
      </c>
      <c r="E326" s="293">
        <f t="shared" si="10"/>
        <v>0</v>
      </c>
      <c r="F326" s="291" t="str">
        <v>Materials</v>
      </c>
      <c r="G326" s="293">
        <f t="shared" si="11"/>
        <v>0</v>
      </c>
      <c r="H326" s="291"/>
      <c r="J326" s="36"/>
      <c r="M326" s="290" t="s">
        <v>931</v>
      </c>
      <c r="N326" s="298" t="s">
        <v>64</v>
      </c>
      <c r="O326" s="291" t="str">
        <v>Hindalco Industries Ltd</v>
      </c>
      <c r="P326" s="299">
        <v>0.00553605846884462</v>
      </c>
      <c r="Q326" s="293">
        <f>P326*VLOOKUP(N326,'Selector Sheet '!$B$13:$D$43,2,FALSE)</f>
        <v>0</v>
      </c>
      <c r="R326" s="291" t="str">
        <v>Materials</v>
      </c>
      <c r="S326" s="293">
        <f>P326*VLOOKUP(N326,'Selector Sheet '!$B$13:$D$43,2,FALSE)</f>
        <v>0</v>
      </c>
      <c r="T326" s="291"/>
      <c r="X326" s="291" t="str">
        <v>INE010A01011</v>
      </c>
      <c r="Z326" s="290" t="s">
        <v>1245</v>
      </c>
      <c r="AB326" t="s">
        <v>1514</v>
      </c>
      <c r="AC326" t="s">
        <v>1515</v>
      </c>
      <c r="AD326" t="s">
        <v>823</v>
      </c>
      <c r="AE326">
        <v>91.8113180676346</v>
      </c>
      <c r="AF326">
        <v>5.57592161759628</v>
      </c>
      <c r="AG326">
        <v>799.3</v>
      </c>
      <c r="AH326">
        <v>1.59</v>
      </c>
      <c r="AI326">
        <v>73479993548.4</v>
      </c>
    </row>
    <row r="327" spans="1:35">
      <c r="A327" s="294" t="s">
        <v>1287</v>
      </c>
      <c r="B327" s="124" t="s">
        <v>44</v>
      </c>
      <c r="C327" s="291" t="str">
        <v>Wipro Ltd</v>
      </c>
      <c r="D327" s="295">
        <v>0.003910221854587</v>
      </c>
      <c r="E327" s="293">
        <f t="shared" si="10"/>
        <v>0</v>
      </c>
      <c r="F327" s="291" t="str">
        <v>Information Technology</v>
      </c>
      <c r="G327" s="293">
        <f t="shared" si="11"/>
        <v>0</v>
      </c>
      <c r="H327" s="291"/>
      <c r="J327" s="36"/>
      <c r="M327" s="294" t="s">
        <v>934</v>
      </c>
      <c r="N327" s="300" t="s">
        <v>64</v>
      </c>
      <c r="O327" s="291" t="str">
        <v>Hindustan Unilever Ltd</v>
      </c>
      <c r="P327" s="301">
        <v>0.0144923666742827</v>
      </c>
      <c r="Q327" s="293">
        <f>P327*VLOOKUP(N327,'Selector Sheet '!$B$13:$D$43,2,FALSE)</f>
        <v>0</v>
      </c>
      <c r="R327" s="291" t="str">
        <v>Consumer Staples</v>
      </c>
      <c r="S327" s="293">
        <f>P327*VLOOKUP(N327,'Selector Sheet '!$B$13:$D$43,2,FALSE)</f>
        <v>0</v>
      </c>
      <c r="T327" s="291"/>
      <c r="X327" s="291" t="str">
        <v>INE613A01020</v>
      </c>
      <c r="Z327" s="294" t="s">
        <v>1287</v>
      </c>
      <c r="AB327" t="s">
        <v>1516</v>
      </c>
      <c r="AC327" t="s">
        <v>1517</v>
      </c>
      <c r="AD327" t="s">
        <v>823</v>
      </c>
      <c r="AE327">
        <v>59.05132382691</v>
      </c>
      <c r="AF327">
        <v>6.70266274566521</v>
      </c>
      <c r="AG327">
        <v>1251.3</v>
      </c>
      <c r="AH327">
        <v>6.43</v>
      </c>
      <c r="AI327">
        <v>73839837533</v>
      </c>
    </row>
    <row r="328" spans="1:35">
      <c r="A328" s="290" t="s">
        <v>1087</v>
      </c>
      <c r="B328" s="124" t="s">
        <v>44</v>
      </c>
      <c r="C328" s="291" t="str">
        <v>Zydus Lifesciences Ltd</v>
      </c>
      <c r="D328" s="292">
        <v>0.00593323213546478</v>
      </c>
      <c r="E328" s="293">
        <f t="shared" si="10"/>
        <v>0</v>
      </c>
      <c r="F328" s="291" t="str">
        <v>Health Care</v>
      </c>
      <c r="G328" s="293">
        <f t="shared" si="11"/>
        <v>0</v>
      </c>
      <c r="H328" s="291"/>
      <c r="J328" s="36"/>
      <c r="M328" s="290" t="s">
        <v>936</v>
      </c>
      <c r="N328" s="298" t="s">
        <v>64</v>
      </c>
      <c r="O328" s="291" t="str">
        <v>ICICI Bank Ltd</v>
      </c>
      <c r="P328" s="299">
        <v>0.0318422455132196</v>
      </c>
      <c r="Q328" s="293">
        <f>P328*VLOOKUP(N328,'Selector Sheet '!$B$13:$D$43,2,FALSE)</f>
        <v>0</v>
      </c>
      <c r="R328" s="291" t="str">
        <v>Financials</v>
      </c>
      <c r="S328" s="293">
        <f>P328*VLOOKUP(N328,'Selector Sheet '!$B$13:$D$43,2,FALSE)</f>
        <v>0</v>
      </c>
      <c r="T328" s="291"/>
      <c r="X328" s="291" t="str">
        <v>INE142Q01026</v>
      </c>
      <c r="Z328" s="290" t="s">
        <v>1087</v>
      </c>
      <c r="AB328" t="s">
        <v>1518</v>
      </c>
      <c r="AC328" t="s">
        <v>1519</v>
      </c>
      <c r="AD328" t="s">
        <v>980</v>
      </c>
      <c r="AE328">
        <v>30.0120188639714</v>
      </c>
      <c r="AF328">
        <v>12.3562181523758</v>
      </c>
      <c r="AG328">
        <v>702</v>
      </c>
      <c r="AH328">
        <v>8.32</v>
      </c>
      <c r="AI328">
        <v>21080979681.3</v>
      </c>
    </row>
    <row r="329" spans="1:35">
      <c r="A329" s="294" t="s">
        <v>1094</v>
      </c>
      <c r="B329" s="127" t="s">
        <v>45</v>
      </c>
      <c r="C329" s="291" t="str">
        <v>Adani Ports &amp; Special Economic</v>
      </c>
      <c r="D329" s="295">
        <v>0</v>
      </c>
      <c r="E329" s="293">
        <f t="shared" si="10"/>
        <v>0</v>
      </c>
      <c r="F329" s="291" t="str">
        <v>Industrials</v>
      </c>
      <c r="G329" s="293">
        <f t="shared" si="11"/>
        <v>0</v>
      </c>
      <c r="H329" s="291"/>
      <c r="J329" s="36"/>
      <c r="M329" s="294" t="s">
        <v>1117</v>
      </c>
      <c r="N329" s="300" t="s">
        <v>64</v>
      </c>
      <c r="O329" s="291" t="str">
        <v>ICICI Lombard General Insuranc</v>
      </c>
      <c r="P329" s="301">
        <v>0.007569292879448</v>
      </c>
      <c r="Q329" s="293">
        <f>P329*VLOOKUP(N329,'Selector Sheet '!$B$13:$D$43,2,FALSE)</f>
        <v>0</v>
      </c>
      <c r="R329" s="291" t="str">
        <v>Financials</v>
      </c>
      <c r="S329" s="293">
        <f>P329*VLOOKUP(N329,'Selector Sheet '!$B$13:$D$43,2,FALSE)</f>
        <v>0</v>
      </c>
      <c r="T329" s="291"/>
      <c r="X329" s="291" t="str">
        <v>INE331A01037</v>
      </c>
      <c r="Z329" s="294" t="s">
        <v>1094</v>
      </c>
      <c r="AB329" t="s">
        <v>1520</v>
      </c>
      <c r="AC329" t="s">
        <v>1521</v>
      </c>
      <c r="AD329" t="s">
        <v>823</v>
      </c>
      <c r="AE329">
        <v>93.9115393606353</v>
      </c>
      <c r="AF329">
        <v>3.71469152664761</v>
      </c>
      <c r="AG329">
        <v>2726.5</v>
      </c>
      <c r="AH329">
        <v>11.53</v>
      </c>
      <c r="AI329">
        <v>255857389064</v>
      </c>
    </row>
    <row r="330" spans="1:35">
      <c r="A330" s="290" t="s">
        <v>826</v>
      </c>
      <c r="B330" s="127" t="s">
        <v>45</v>
      </c>
      <c r="C330" s="291" t="str">
        <v>Anthem Biosciences Ltd</v>
      </c>
      <c r="D330" s="292">
        <v>0.00449755049261707</v>
      </c>
      <c r="E330" s="293">
        <f t="shared" si="10"/>
        <v>0</v>
      </c>
      <c r="F330" s="291" t="str">
        <v>Health Care</v>
      </c>
      <c r="G330" s="293">
        <f t="shared" si="11"/>
        <v>0</v>
      </c>
      <c r="H330" s="291"/>
      <c r="J330" s="36"/>
      <c r="M330" s="290" t="s">
        <v>1152</v>
      </c>
      <c r="N330" s="298" t="s">
        <v>64</v>
      </c>
      <c r="O330" s="291" t="str">
        <v>ICICI Prudential Life Insuranc</v>
      </c>
      <c r="P330" s="299">
        <v>0</v>
      </c>
      <c r="Q330" s="293">
        <f>P330*VLOOKUP(N330,'Selector Sheet '!$B$13:$D$43,2,FALSE)</f>
        <v>0</v>
      </c>
      <c r="R330" s="291" t="str">
        <v>Financials</v>
      </c>
      <c r="S330" s="293">
        <f>P330*VLOOKUP(N330,'Selector Sheet '!$B$13:$D$43,2,FALSE)</f>
        <v>0</v>
      </c>
      <c r="T330" s="291"/>
      <c r="X330" s="291" t="str">
        <v>INE274C01019</v>
      </c>
      <c r="Z330" s="290" t="s">
        <v>826</v>
      </c>
      <c r="AB330" t="s">
        <v>1522</v>
      </c>
      <c r="AC330" t="s">
        <v>1523</v>
      </c>
      <c r="AD330" t="s">
        <v>813</v>
      </c>
      <c r="AE330">
        <v>50.6585612968592</v>
      </c>
      <c r="AF330">
        <v>17.3233874506362</v>
      </c>
      <c r="AG330">
        <v>394.8</v>
      </c>
      <c r="AH330">
        <v>197.4</v>
      </c>
      <c r="AI330">
        <v>20000000000</v>
      </c>
    </row>
    <row r="331" spans="1:35">
      <c r="A331" s="294" t="s">
        <v>829</v>
      </c>
      <c r="B331" s="127" t="s">
        <v>45</v>
      </c>
      <c r="C331" s="291" t="str">
        <v>Apollo Hospitals Enterprise Lt</v>
      </c>
      <c r="D331" s="295">
        <v>0.00896050466611811</v>
      </c>
      <c r="E331" s="293">
        <f t="shared" si="10"/>
        <v>0</v>
      </c>
      <c r="F331" s="291" t="str">
        <v>Health Care</v>
      </c>
      <c r="G331" s="293">
        <f t="shared" si="11"/>
        <v>0</v>
      </c>
      <c r="H331" s="291"/>
      <c r="J331" s="36"/>
      <c r="M331" s="294" t="s">
        <v>952</v>
      </c>
      <c r="N331" s="300" t="s">
        <v>64</v>
      </c>
      <c r="O331" s="291" t="str">
        <v>Indus Towers Ltd</v>
      </c>
      <c r="P331" s="301">
        <v>0.00388275765383683</v>
      </c>
      <c r="Q331" s="293">
        <f>P331*VLOOKUP(N331,'Selector Sheet '!$B$13:$D$43,2,FALSE)</f>
        <v>0</v>
      </c>
      <c r="R331" s="291" t="str">
        <v>Communication Services</v>
      </c>
      <c r="S331" s="293">
        <f>P331*VLOOKUP(N331,'Selector Sheet '!$B$13:$D$43,2,FALSE)</f>
        <v>0</v>
      </c>
      <c r="T331" s="291"/>
      <c r="X331" s="291" t="str">
        <v>INE00FF01025</v>
      </c>
      <c r="Z331" s="294" t="s">
        <v>829</v>
      </c>
      <c r="AB331" t="s">
        <v>1250</v>
      </c>
      <c r="AC331" t="s">
        <v>1524</v>
      </c>
      <c r="AD331" t="s">
        <v>819</v>
      </c>
      <c r="AE331">
        <v>135.487127713276</v>
      </c>
      <c r="AF331">
        <v>16.0023706080496</v>
      </c>
      <c r="AG331">
        <v>1587.136</v>
      </c>
      <c r="AH331">
        <v>9.905</v>
      </c>
      <c r="AI331">
        <v>109868093324</v>
      </c>
    </row>
    <row r="332" spans="1:35">
      <c r="A332" s="290" t="s">
        <v>1260</v>
      </c>
      <c r="B332" s="127" t="s">
        <v>45</v>
      </c>
      <c r="C332" s="291" t="str">
        <v>Apollo Tyres Ltd</v>
      </c>
      <c r="D332" s="292">
        <v>0.00983786654536619</v>
      </c>
      <c r="E332" s="293">
        <f t="shared" si="10"/>
        <v>0</v>
      </c>
      <c r="F332" s="291" t="str">
        <v>Consumer Discretionary</v>
      </c>
      <c r="G332" s="293">
        <f t="shared" si="11"/>
        <v>0</v>
      </c>
      <c r="H332" s="291"/>
      <c r="J332" s="36"/>
      <c r="M332" s="290" t="s">
        <v>1155</v>
      </c>
      <c r="N332" s="298" t="s">
        <v>64</v>
      </c>
      <c r="O332" s="291" t="str">
        <v>IndusInd Bank Ltd</v>
      </c>
      <c r="P332" s="299">
        <v>0.00420079290787609</v>
      </c>
      <c r="Q332" s="293">
        <f>P332*VLOOKUP(N332,'Selector Sheet '!$B$13:$D$43,2,FALSE)</f>
        <v>0</v>
      </c>
      <c r="R332" s="291" t="str">
        <v>Financials</v>
      </c>
      <c r="S332" s="293">
        <f>P332*VLOOKUP(N332,'Selector Sheet '!$B$13:$D$43,2,FALSE)</f>
        <v>0</v>
      </c>
      <c r="T332" s="291"/>
      <c r="X332" s="291" t="str">
        <v>INE674K01013</v>
      </c>
      <c r="Z332" s="290" t="s">
        <v>1260</v>
      </c>
      <c r="AB332" t="s">
        <v>821</v>
      </c>
      <c r="AC332" t="s">
        <v>1525</v>
      </c>
      <c r="AD332" t="s">
        <v>831</v>
      </c>
      <c r="AE332">
        <v>22.1972682579518</v>
      </c>
      <c r="AF332">
        <v>11.6502505507291</v>
      </c>
      <c r="AG332">
        <v>33323.2</v>
      </c>
      <c r="AH332">
        <v>12.796017</v>
      </c>
      <c r="AI332">
        <v>735393984379.75</v>
      </c>
    </row>
    <row r="333" spans="1:35">
      <c r="A333" s="294" t="s">
        <v>1293</v>
      </c>
      <c r="B333" s="127" t="s">
        <v>45</v>
      </c>
      <c r="C333" s="291" t="str">
        <v>Astra Microwave Products Ltd</v>
      </c>
      <c r="D333" s="295">
        <v>0.00356295674840316</v>
      </c>
      <c r="E333" s="293">
        <f t="shared" si="10"/>
        <v>0</v>
      </c>
      <c r="F333" s="291" t="str">
        <v>Information Technology</v>
      </c>
      <c r="G333" s="293">
        <f t="shared" si="11"/>
        <v>0</v>
      </c>
      <c r="H333" s="291"/>
      <c r="J333" s="36"/>
      <c r="M333" s="294" t="s">
        <v>955</v>
      </c>
      <c r="N333" s="300" t="s">
        <v>64</v>
      </c>
      <c r="O333" s="291" t="str">
        <v>Infosys Ltd</v>
      </c>
      <c r="P333" s="301">
        <v>0.0196091035063836</v>
      </c>
      <c r="Q333" s="293">
        <f>P333*VLOOKUP(N333,'Selector Sheet '!$B$13:$D$43,2,FALSE)</f>
        <v>0</v>
      </c>
      <c r="R333" s="291" t="str">
        <v>Information Technology</v>
      </c>
      <c r="S333" s="293">
        <f>P333*VLOOKUP(N333,'Selector Sheet '!$B$13:$D$43,2,FALSE)</f>
        <v>0</v>
      </c>
      <c r="T333" s="291"/>
      <c r="X333" s="291" t="str">
        <v>INE472A01039</v>
      </c>
      <c r="Z333" s="294" t="s">
        <v>1293</v>
      </c>
      <c r="AB333" t="s">
        <v>1526</v>
      </c>
      <c r="AC333" t="s">
        <v>1527</v>
      </c>
      <c r="AD333" t="s">
        <v>813</v>
      </c>
      <c r="AE333">
        <v>66.2534214996385</v>
      </c>
      <c r="AF333">
        <v>20.8362848231749</v>
      </c>
      <c r="AG333">
        <v>5912.4</v>
      </c>
      <c r="AH333">
        <v>28.754741</v>
      </c>
      <c r="AI333">
        <v>391716732618.8</v>
      </c>
    </row>
    <row r="334" spans="1:35">
      <c r="A334" s="290" t="s">
        <v>840</v>
      </c>
      <c r="B334" s="127" t="s">
        <v>45</v>
      </c>
      <c r="C334" s="291" t="str">
        <v>Avenue Supermarts Ltd</v>
      </c>
      <c r="D334" s="292">
        <v>0.00586311884153732</v>
      </c>
      <c r="E334" s="293">
        <f t="shared" si="10"/>
        <v>0</v>
      </c>
      <c r="F334" s="291" t="str">
        <v>Consumer Staples</v>
      </c>
      <c r="G334" s="293">
        <f t="shared" si="11"/>
        <v>0</v>
      </c>
      <c r="H334" s="291"/>
      <c r="J334" s="36"/>
      <c r="M334" s="290" t="s">
        <v>1528</v>
      </c>
      <c r="N334" s="298" t="s">
        <v>64</v>
      </c>
      <c r="O334" s="291" t="str">
        <v>Inventurus Knowledge Solutions</v>
      </c>
      <c r="P334" s="299">
        <v>0.00647939756823397</v>
      </c>
      <c r="Q334" s="293">
        <f>P334*VLOOKUP(N334,'Selector Sheet '!$B$13:$D$43,2,FALSE)</f>
        <v>0</v>
      </c>
      <c r="R334" s="291" t="str">
        <v>Health Care</v>
      </c>
      <c r="S334" s="293">
        <f>P334*VLOOKUP(N334,'Selector Sheet '!$B$13:$D$43,2,FALSE)</f>
        <v>0</v>
      </c>
      <c r="T334" s="291"/>
      <c r="X334" s="291" t="str">
        <v>INE149A01033</v>
      </c>
      <c r="Z334" s="290" t="s">
        <v>840</v>
      </c>
      <c r="AB334" t="s">
        <v>873</v>
      </c>
      <c r="AC334" t="s">
        <v>1529</v>
      </c>
      <c r="AD334" t="s">
        <v>831</v>
      </c>
      <c r="AE334">
        <v>16.4651002073255</v>
      </c>
      <c r="AF334">
        <v>19.1032125925154</v>
      </c>
      <c r="AG334">
        <v>21736.6</v>
      </c>
      <c r="AH334">
        <v>115.76</v>
      </c>
      <c r="AI334">
        <v>357903842572</v>
      </c>
    </row>
    <row r="335" spans="1:35">
      <c r="A335" s="294" t="s">
        <v>843</v>
      </c>
      <c r="B335" s="127" t="s">
        <v>45</v>
      </c>
      <c r="C335" s="291" t="str">
        <v>Axis Bank Ltd</v>
      </c>
      <c r="D335" s="295">
        <v>0.0279118519437663</v>
      </c>
      <c r="E335" s="293">
        <f t="shared" si="10"/>
        <v>0</v>
      </c>
      <c r="F335" s="291" t="str">
        <v>Financials</v>
      </c>
      <c r="G335" s="293">
        <f t="shared" si="11"/>
        <v>0</v>
      </c>
      <c r="H335" s="291"/>
      <c r="J335" s="36"/>
      <c r="M335" s="294" t="s">
        <v>961</v>
      </c>
      <c r="N335" s="300" t="s">
        <v>64</v>
      </c>
      <c r="O335" s="291" t="str">
        <v>ITC Ltd</v>
      </c>
      <c r="P335" s="301">
        <v>0.00732896701056441</v>
      </c>
      <c r="Q335" s="293">
        <f>P335*VLOOKUP(N335,'Selector Sheet '!$B$13:$D$43,2,FALSE)</f>
        <v>0</v>
      </c>
      <c r="R335" s="291" t="str">
        <v>Consumer Staples</v>
      </c>
      <c r="S335" s="293">
        <f>P335*VLOOKUP(N335,'Selector Sheet '!$B$13:$D$43,2,FALSE)</f>
        <v>0</v>
      </c>
      <c r="T335" s="291"/>
      <c r="X335" s="291" t="str">
        <v>INE183A01024</v>
      </c>
      <c r="Z335" s="294" t="s">
        <v>843</v>
      </c>
      <c r="AB335" t="s">
        <v>1530</v>
      </c>
      <c r="AC335" t="s">
        <v>1531</v>
      </c>
      <c r="AD335" t="s">
        <v>823</v>
      </c>
      <c r="AE335">
        <v>15.01545618638</v>
      </c>
      <c r="AF335">
        <v>13.6394246424474</v>
      </c>
      <c r="AG335">
        <v>8000.3</v>
      </c>
      <c r="AH335">
        <v>12.94</v>
      </c>
      <c r="AI335">
        <v>120558662641.5</v>
      </c>
    </row>
    <row r="336" spans="1:35">
      <c r="A336" s="290" t="s">
        <v>842</v>
      </c>
      <c r="B336" s="127" t="s">
        <v>45</v>
      </c>
      <c r="C336" s="291" t="str">
        <v>Bajaj Finance Ltd</v>
      </c>
      <c r="D336" s="292">
        <v>0.0207787252401236</v>
      </c>
      <c r="E336" s="293">
        <f t="shared" si="10"/>
        <v>0</v>
      </c>
      <c r="F336" s="291" t="str">
        <v>Financials</v>
      </c>
      <c r="G336" s="293">
        <f t="shared" si="11"/>
        <v>0</v>
      </c>
      <c r="H336" s="291"/>
      <c r="J336" s="36"/>
      <c r="M336" s="290" t="s">
        <v>1380</v>
      </c>
      <c r="N336" s="298" t="s">
        <v>64</v>
      </c>
      <c r="O336" s="291" t="str">
        <v>KEC International Ltd</v>
      </c>
      <c r="P336" s="299">
        <v>0.00878093123255055</v>
      </c>
      <c r="Q336" s="293">
        <f>P336*VLOOKUP(N336,'Selector Sheet '!$B$13:$D$43,2,FALSE)</f>
        <v>0</v>
      </c>
      <c r="R336" s="291" t="str">
        <v>Industrials</v>
      </c>
      <c r="S336" s="293">
        <f>P336*VLOOKUP(N336,'Selector Sheet '!$B$13:$D$43,2,FALSE)</f>
        <v>0</v>
      </c>
      <c r="T336" s="291"/>
      <c r="X336" s="291" t="str">
        <v>INE845D01014</v>
      </c>
      <c r="Z336" s="290" t="s">
        <v>842</v>
      </c>
      <c r="AB336" t="s">
        <v>1532</v>
      </c>
      <c r="AC336" t="s">
        <v>1533</v>
      </c>
      <c r="AD336" t="s">
        <v>838</v>
      </c>
      <c r="AE336">
        <v>32.839110456339</v>
      </c>
      <c r="AF336">
        <v>9.3626437960365</v>
      </c>
      <c r="AG336">
        <v>1031.197</v>
      </c>
      <c r="AH336">
        <v>40.683197</v>
      </c>
      <c r="AI336">
        <v>34010530624</v>
      </c>
    </row>
    <row r="337" spans="1:35">
      <c r="A337" s="294" t="s">
        <v>1296</v>
      </c>
      <c r="B337" s="127" t="s">
        <v>45</v>
      </c>
      <c r="C337" s="291" t="str">
        <v>Bayer CropScience Ltd/India</v>
      </c>
      <c r="D337" s="295">
        <v>0.0022914598328758</v>
      </c>
      <c r="E337" s="293">
        <f t="shared" si="10"/>
        <v>0</v>
      </c>
      <c r="F337" s="291" t="str">
        <v>Materials</v>
      </c>
      <c r="G337" s="293">
        <f t="shared" si="11"/>
        <v>0</v>
      </c>
      <c r="H337" s="291"/>
      <c r="J337" s="36"/>
      <c r="M337" s="294" t="s">
        <v>972</v>
      </c>
      <c r="N337" s="300" t="s">
        <v>64</v>
      </c>
      <c r="O337" s="291" t="str">
        <v>Kotak Mahindra Bank Ltd</v>
      </c>
      <c r="P337" s="301">
        <v>0.0168295599243212</v>
      </c>
      <c r="Q337" s="293">
        <f>P337*VLOOKUP(N337,'Selector Sheet '!$B$13:$D$43,2,FALSE)</f>
        <v>0</v>
      </c>
      <c r="R337" s="291" t="str">
        <v>Financials</v>
      </c>
      <c r="S337" s="293">
        <f>P337*VLOOKUP(N337,'Selector Sheet '!$B$13:$D$43,2,FALSE)</f>
        <v>0</v>
      </c>
      <c r="T337" s="291"/>
      <c r="X337" s="291" t="str">
        <v>INE052E01015</v>
      </c>
      <c r="Z337" s="294" t="s">
        <v>1296</v>
      </c>
      <c r="AB337" t="s">
        <v>1534</v>
      </c>
      <c r="AC337" t="s">
        <v>1535</v>
      </c>
      <c r="AD337" t="s">
        <v>980</v>
      </c>
      <c r="AE337" t="s">
        <v>824</v>
      </c>
      <c r="AF337" t="s">
        <v>824</v>
      </c>
      <c r="AG337">
        <v>-7.265</v>
      </c>
      <c r="AH337">
        <v>-0.09</v>
      </c>
      <c r="AI337">
        <v>854063459.28</v>
      </c>
    </row>
    <row r="338" spans="1:35">
      <c r="A338" s="290" t="s">
        <v>850</v>
      </c>
      <c r="B338" s="127" t="s">
        <v>45</v>
      </c>
      <c r="C338" s="291" t="str">
        <v>Bharat Electronics Ltd</v>
      </c>
      <c r="D338" s="292">
        <v>0.00510517131139011</v>
      </c>
      <c r="E338" s="293">
        <f t="shared" si="10"/>
        <v>0</v>
      </c>
      <c r="F338" s="291" t="str">
        <v>Industrials</v>
      </c>
      <c r="G338" s="293">
        <f t="shared" si="11"/>
        <v>0</v>
      </c>
      <c r="H338" s="291"/>
      <c r="J338" s="36"/>
      <c r="M338" s="290" t="s">
        <v>975</v>
      </c>
      <c r="N338" s="298" t="s">
        <v>64</v>
      </c>
      <c r="O338" s="291" t="str">
        <v>Larsen &amp; Toubro Ltd</v>
      </c>
      <c r="P338" s="299">
        <v>0.0217848167537599</v>
      </c>
      <c r="Q338" s="293">
        <f>P338*VLOOKUP(N338,'Selector Sheet '!$B$13:$D$43,2,FALSE)</f>
        <v>0</v>
      </c>
      <c r="R338" s="291" t="str">
        <v>Industrials</v>
      </c>
      <c r="S338" s="293">
        <f>P338*VLOOKUP(N338,'Selector Sheet '!$B$13:$D$43,2,FALSE)</f>
        <v>0</v>
      </c>
      <c r="T338" s="291"/>
      <c r="X338" s="291" t="str">
        <v>INE473B01035</v>
      </c>
      <c r="Z338" s="290" t="s">
        <v>850</v>
      </c>
      <c r="AB338" t="s">
        <v>1536</v>
      </c>
      <c r="AC338" t="s">
        <v>1537</v>
      </c>
      <c r="AD338" t="s">
        <v>980</v>
      </c>
      <c r="AE338">
        <v>71.8185461396508</v>
      </c>
      <c r="AF338">
        <v>16.9498975230632</v>
      </c>
      <c r="AG338">
        <v>2788.1</v>
      </c>
      <c r="AH338">
        <v>12.51</v>
      </c>
      <c r="AI338">
        <v>200128181384.6</v>
      </c>
    </row>
    <row r="339" spans="1:35">
      <c r="A339" s="294" t="s">
        <v>852</v>
      </c>
      <c r="B339" s="127" t="s">
        <v>45</v>
      </c>
      <c r="C339" s="291" t="str">
        <v>Bharat Forge Ltd</v>
      </c>
      <c r="D339" s="295">
        <v>0.00435213572369983</v>
      </c>
      <c r="E339" s="293">
        <f t="shared" si="10"/>
        <v>0</v>
      </c>
      <c r="F339" s="291" t="str">
        <v>Consumer Discretionary</v>
      </c>
      <c r="G339" s="293">
        <f t="shared" si="11"/>
        <v>0</v>
      </c>
      <c r="H339" s="291"/>
      <c r="J339" s="36"/>
      <c r="M339" s="294" t="s">
        <v>966</v>
      </c>
      <c r="N339" s="300" t="s">
        <v>64</v>
      </c>
      <c r="O339" s="291" t="str">
        <v>Mahindra &amp; Mahindra Ltd</v>
      </c>
      <c r="P339" s="301">
        <v>0.0138290106514934</v>
      </c>
      <c r="Q339" s="293">
        <f>P339*VLOOKUP(N339,'Selector Sheet '!$B$13:$D$43,2,FALSE)</f>
        <v>0</v>
      </c>
      <c r="R339" s="291" t="str">
        <v>Consumer Discretionary</v>
      </c>
      <c r="S339" s="293">
        <f>P339*VLOOKUP(N339,'Selector Sheet '!$B$13:$D$43,2,FALSE)</f>
        <v>0</v>
      </c>
      <c r="T339" s="291"/>
      <c r="X339" s="291">
        <v>0</v>
      </c>
      <c r="Z339" s="294" t="s">
        <v>852</v>
      </c>
      <c r="AB339">
        <v>0</v>
      </c>
      <c r="AC339" t="s">
        <v>1538</v>
      </c>
      <c r="AD339" t="s">
        <v>1538</v>
      </c>
      <c r="AE339" t="s">
        <v>1538</v>
      </c>
      <c r="AF339" t="s">
        <v>1538</v>
      </c>
      <c r="AG339" t="s">
        <v>1538</v>
      </c>
      <c r="AH339" t="s">
        <v>1538</v>
      </c>
      <c r="AI339" t="s">
        <v>1538</v>
      </c>
    </row>
    <row r="340" spans="1:35">
      <c r="A340" s="290" t="s">
        <v>853</v>
      </c>
      <c r="B340" s="127" t="s">
        <v>45</v>
      </c>
      <c r="C340" s="291" t="str">
        <v>Bharat Petroleum Corp Ltd</v>
      </c>
      <c r="D340" s="292">
        <v>0.0132138503975294</v>
      </c>
      <c r="E340" s="293">
        <f t="shared" si="10"/>
        <v>0</v>
      </c>
      <c r="F340" s="291" t="str">
        <v>Energy</v>
      </c>
      <c r="G340" s="293">
        <f t="shared" si="11"/>
        <v>0</v>
      </c>
      <c r="H340" s="291"/>
      <c r="J340" s="36"/>
      <c r="M340" s="290" t="s">
        <v>971</v>
      </c>
      <c r="N340" s="298" t="s">
        <v>64</v>
      </c>
      <c r="O340" s="291" t="str">
        <v>Max Healthcare Institute Ltd</v>
      </c>
      <c r="P340" s="299">
        <v>0.00835969552243285</v>
      </c>
      <c r="Q340" s="293">
        <f>P340*VLOOKUP(N340,'Selector Sheet '!$B$13:$D$43,2,FALSE)</f>
        <v>0</v>
      </c>
      <c r="R340" s="291" t="str">
        <v>Health Care</v>
      </c>
      <c r="S340" s="293">
        <f>P340*VLOOKUP(N340,'Selector Sheet '!$B$13:$D$43,2,FALSE)</f>
        <v>0</v>
      </c>
      <c r="T340" s="291"/>
      <c r="X340" s="291" t="str">
        <v>INE947Q01028</v>
      </c>
      <c r="Z340" s="290" t="s">
        <v>853</v>
      </c>
      <c r="AB340" t="s">
        <v>1539</v>
      </c>
      <c r="AC340" t="s">
        <v>1540</v>
      </c>
      <c r="AD340" t="s">
        <v>819</v>
      </c>
      <c r="AE340">
        <v>130.586469836701</v>
      </c>
      <c r="AF340">
        <v>8.34903203934055</v>
      </c>
      <c r="AG340">
        <v>3583.2</v>
      </c>
      <c r="AH340">
        <v>6.65</v>
      </c>
      <c r="AI340">
        <v>468783942291.6</v>
      </c>
    </row>
    <row r="341" spans="1:35">
      <c r="A341" s="294" t="s">
        <v>855</v>
      </c>
      <c r="B341" s="127" t="s">
        <v>45</v>
      </c>
      <c r="C341" s="291" t="str">
        <v>Bharti Airtel Ltd</v>
      </c>
      <c r="D341" s="295">
        <v>0.0367056793184026</v>
      </c>
      <c r="E341" s="293">
        <f t="shared" si="10"/>
        <v>0</v>
      </c>
      <c r="F341" s="291" t="str">
        <v>Communication Services</v>
      </c>
      <c r="G341" s="293">
        <f t="shared" si="11"/>
        <v>0</v>
      </c>
      <c r="H341" s="291"/>
      <c r="J341" s="36"/>
      <c r="M341" s="294" t="s">
        <v>1375</v>
      </c>
      <c r="N341" s="300" t="s">
        <v>64</v>
      </c>
      <c r="O341" s="291" t="str">
        <v>Metropolis Healthcare Ltd</v>
      </c>
      <c r="P341" s="301">
        <v>3.49717156030882e-5</v>
      </c>
      <c r="Q341" s="293">
        <f>P341*VLOOKUP(N341,'Selector Sheet '!$B$13:$D$43,2,FALSE)</f>
        <v>0</v>
      </c>
      <c r="R341" s="291" t="str">
        <v>Health Care</v>
      </c>
      <c r="S341" s="293">
        <f>P341*VLOOKUP(N341,'Selector Sheet '!$B$13:$D$43,2,FALSE)</f>
        <v>0</v>
      </c>
      <c r="T341" s="291"/>
      <c r="X341" s="291" t="str">
        <v>INE970X01018</v>
      </c>
      <c r="Z341" s="294" t="s">
        <v>855</v>
      </c>
      <c r="AB341" t="s">
        <v>1541</v>
      </c>
      <c r="AC341" t="s">
        <v>1542</v>
      </c>
      <c r="AD341" t="s">
        <v>838</v>
      </c>
      <c r="AE341">
        <v>61.5887118924049</v>
      </c>
      <c r="AF341">
        <v>18.4547833816441</v>
      </c>
      <c r="AG341">
        <v>1965.811</v>
      </c>
      <c r="AH341">
        <v>2.48</v>
      </c>
      <c r="AI341">
        <v>121007724911.36</v>
      </c>
    </row>
    <row r="342" spans="1:35">
      <c r="A342" s="290" t="s">
        <v>1283</v>
      </c>
      <c r="B342" s="127" t="s">
        <v>45</v>
      </c>
      <c r="C342" s="291" t="str">
        <v>Bosch Ltd</v>
      </c>
      <c r="D342" s="292">
        <v>0.00863958464614584</v>
      </c>
      <c r="E342" s="293">
        <f t="shared" si="10"/>
        <v>0</v>
      </c>
      <c r="F342" s="291" t="str">
        <v>Consumer Discretionary</v>
      </c>
      <c r="G342" s="293">
        <f t="shared" si="11"/>
        <v>0</v>
      </c>
      <c r="H342" s="291"/>
      <c r="J342" s="36"/>
      <c r="M342" s="290" t="s">
        <v>981</v>
      </c>
      <c r="N342" s="298" t="s">
        <v>64</v>
      </c>
      <c r="O342" s="291" t="str">
        <v>Multi Commodity Exchange of In</v>
      </c>
      <c r="P342" s="299">
        <v>0.00385763544080382</v>
      </c>
      <c r="Q342" s="293">
        <f>P342*VLOOKUP(N342,'Selector Sheet '!$B$13:$D$43,2,FALSE)</f>
        <v>0</v>
      </c>
      <c r="R342" s="291" t="str">
        <v>Financials</v>
      </c>
      <c r="S342" s="293">
        <f>P342*VLOOKUP(N342,'Selector Sheet '!$B$13:$D$43,2,FALSE)</f>
        <v>0</v>
      </c>
      <c r="T342" s="291"/>
      <c r="X342" s="291" t="str">
        <v>INE122R01018</v>
      </c>
      <c r="Z342" s="290" t="s">
        <v>1283</v>
      </c>
      <c r="AB342" t="s">
        <v>1543</v>
      </c>
      <c r="AC342" t="s">
        <v>1544</v>
      </c>
      <c r="AD342" t="s">
        <v>980</v>
      </c>
      <c r="AE342" t="s">
        <v>824</v>
      </c>
      <c r="AF342">
        <v>-34.4497631022254</v>
      </c>
      <c r="AG342">
        <v>-1904.607</v>
      </c>
      <c r="AH342">
        <v>-16.64</v>
      </c>
      <c r="AI342" t="s">
        <v>824</v>
      </c>
    </row>
    <row r="343" spans="1:35">
      <c r="A343" s="294" t="s">
        <v>1299</v>
      </c>
      <c r="B343" s="127" t="s">
        <v>45</v>
      </c>
      <c r="C343" s="291" t="str">
        <v>BrainBees Solutions Ltd</v>
      </c>
      <c r="D343" s="295">
        <v>0.00427339960671778</v>
      </c>
      <c r="E343" s="293">
        <f t="shared" si="10"/>
        <v>0</v>
      </c>
      <c r="F343" s="291" t="str">
        <v>Consumer Discretionary</v>
      </c>
      <c r="G343" s="293">
        <f t="shared" si="11"/>
        <v>0</v>
      </c>
      <c r="H343" s="291"/>
      <c r="J343" s="36"/>
      <c r="M343" s="294" t="s">
        <v>1391</v>
      </c>
      <c r="N343" s="300" t="s">
        <v>64</v>
      </c>
      <c r="O343" s="291" t="str">
        <v>Niva Bupa Health Insurance Co</v>
      </c>
      <c r="P343" s="301">
        <v>0.0103017323120736</v>
      </c>
      <c r="Q343" s="293">
        <f>P343*VLOOKUP(N343,'Selector Sheet '!$B$13:$D$43,2,FALSE)</f>
        <v>0</v>
      </c>
      <c r="R343" s="291" t="str">
        <v>Financials</v>
      </c>
      <c r="S343" s="293">
        <f>P343*VLOOKUP(N343,'Selector Sheet '!$B$13:$D$43,2,FALSE)</f>
        <v>0</v>
      </c>
      <c r="T343" s="291"/>
      <c r="X343" s="291" t="str">
        <v>INE414G01012</v>
      </c>
      <c r="Z343" s="294" t="s">
        <v>1299</v>
      </c>
      <c r="AB343" t="s">
        <v>1003</v>
      </c>
      <c r="AC343" t="s">
        <v>1545</v>
      </c>
      <c r="AD343" t="s">
        <v>831</v>
      </c>
      <c r="AE343">
        <v>18.1385982611555</v>
      </c>
      <c r="AF343">
        <v>19.0995468603373</v>
      </c>
      <c r="AG343">
        <v>53329</v>
      </c>
      <c r="AH343">
        <v>132.84</v>
      </c>
      <c r="AI343">
        <v>1116363391213.2</v>
      </c>
    </row>
    <row r="344" spans="1:35">
      <c r="A344" s="290" t="s">
        <v>864</v>
      </c>
      <c r="B344" s="127" t="s">
        <v>45</v>
      </c>
      <c r="C344" s="291" t="str">
        <v>Britannia Industries Ltd</v>
      </c>
      <c r="D344" s="292">
        <v>0.0033340969727863</v>
      </c>
      <c r="E344" s="293">
        <f t="shared" si="10"/>
        <v>0</v>
      </c>
      <c r="F344" s="291" t="str">
        <v>Consumer Staples</v>
      </c>
      <c r="G344" s="293">
        <f t="shared" si="11"/>
        <v>0</v>
      </c>
      <c r="H344" s="291"/>
      <c r="J344" s="36"/>
      <c r="M344" s="290" t="s">
        <v>992</v>
      </c>
      <c r="N344" s="298" t="s">
        <v>64</v>
      </c>
      <c r="O344" s="291" t="str">
        <v>NTPC Ltd</v>
      </c>
      <c r="P344" s="299">
        <v>0.0102770686791197</v>
      </c>
      <c r="Q344" s="293">
        <f>P344*VLOOKUP(N344,'Selector Sheet '!$B$13:$D$43,2,FALSE)</f>
        <v>0</v>
      </c>
      <c r="R344" s="291" t="str">
        <v>Utilities</v>
      </c>
      <c r="S344" s="293">
        <f>P344*VLOOKUP(N344,'Selector Sheet '!$B$13:$D$43,2,FALSE)</f>
        <v>0</v>
      </c>
      <c r="T344" s="291"/>
      <c r="X344" s="291" t="str">
        <v>INE703F01010</v>
      </c>
      <c r="Z344" s="290" t="s">
        <v>864</v>
      </c>
      <c r="AB344" t="s">
        <v>1546</v>
      </c>
      <c r="AC344" t="s">
        <v>1538</v>
      </c>
      <c r="AD344" t="s">
        <v>1538</v>
      </c>
      <c r="AE344" t="s">
        <v>1538</v>
      </c>
      <c r="AF344" t="s">
        <v>1538</v>
      </c>
      <c r="AG344" t="s">
        <v>1538</v>
      </c>
      <c r="AH344" t="s">
        <v>1538</v>
      </c>
      <c r="AI344" t="s">
        <v>1538</v>
      </c>
    </row>
    <row r="345" spans="1:35">
      <c r="A345" s="294" t="s">
        <v>886</v>
      </c>
      <c r="B345" s="127" t="s">
        <v>45</v>
      </c>
      <c r="C345" s="291" t="str">
        <v>Coromandel International Ltd</v>
      </c>
      <c r="D345" s="295">
        <v>0.0171746841541229</v>
      </c>
      <c r="E345" s="293">
        <f t="shared" si="10"/>
        <v>0</v>
      </c>
      <c r="F345" s="291" t="str">
        <v>Materials</v>
      </c>
      <c r="G345" s="293">
        <f t="shared" si="11"/>
        <v>0</v>
      </c>
      <c r="H345" s="291"/>
      <c r="J345" s="36"/>
      <c r="M345" s="294" t="s">
        <v>1002</v>
      </c>
      <c r="N345" s="300" t="s">
        <v>64</v>
      </c>
      <c r="O345" s="291" t="str">
        <v>PB Fintech Ltd</v>
      </c>
      <c r="P345" s="301">
        <v>0.0081505730371974</v>
      </c>
      <c r="Q345" s="293">
        <f>P345*VLOOKUP(N345,'Selector Sheet '!$B$13:$D$43,2,FALSE)</f>
        <v>0</v>
      </c>
      <c r="R345" s="291" t="str">
        <v>Financials</v>
      </c>
      <c r="S345" s="293">
        <f>P345*VLOOKUP(N345,'Selector Sheet '!$B$13:$D$43,2,FALSE)</f>
        <v>0</v>
      </c>
      <c r="T345" s="291"/>
      <c r="X345" s="291" t="str">
        <v>INE114B01019</v>
      </c>
      <c r="Z345" s="294" t="s">
        <v>886</v>
      </c>
      <c r="AB345" t="s">
        <v>1547</v>
      </c>
      <c r="AC345" t="s">
        <v>1548</v>
      </c>
      <c r="AD345" t="s">
        <v>824</v>
      </c>
      <c r="AE345" t="s">
        <v>824</v>
      </c>
      <c r="AF345" t="s">
        <v>824</v>
      </c>
      <c r="AG345" t="s">
        <v>824</v>
      </c>
      <c r="AH345" t="s">
        <v>824</v>
      </c>
      <c r="AI345" t="s">
        <v>824</v>
      </c>
    </row>
    <row r="346" spans="1:35">
      <c r="A346" s="290" t="s">
        <v>897</v>
      </c>
      <c r="B346" s="127" t="s">
        <v>45</v>
      </c>
      <c r="C346" s="291" t="str">
        <v>Cummins India Ltd</v>
      </c>
      <c r="D346" s="292">
        <v>0.0087981398280532</v>
      </c>
      <c r="E346" s="293">
        <f t="shared" si="10"/>
        <v>0</v>
      </c>
      <c r="F346" s="291" t="str">
        <v>Industrials</v>
      </c>
      <c r="G346" s="293">
        <f t="shared" si="11"/>
        <v>0</v>
      </c>
      <c r="H346" s="291"/>
      <c r="J346" s="36"/>
      <c r="M346" s="290" t="s">
        <v>1007</v>
      </c>
      <c r="N346" s="298" t="s">
        <v>64</v>
      </c>
      <c r="O346" s="291" t="str">
        <v>PI Industries Ltd</v>
      </c>
      <c r="P346" s="299">
        <v>0.00825629568371129</v>
      </c>
      <c r="Q346" s="293">
        <f>P346*VLOOKUP(N346,'Selector Sheet '!$B$13:$D$43,2,FALSE)</f>
        <v>0</v>
      </c>
      <c r="R346" s="291" t="str">
        <v>Materials</v>
      </c>
      <c r="S346" s="293">
        <f>P346*VLOOKUP(N346,'Selector Sheet '!$B$13:$D$43,2,FALSE)</f>
        <v>0</v>
      </c>
      <c r="T346" s="291"/>
      <c r="X346" s="291" t="str">
        <v>INE131B01039</v>
      </c>
      <c r="Z346" s="290" t="s">
        <v>897</v>
      </c>
      <c r="AB346" t="s">
        <v>1549</v>
      </c>
      <c r="AC346" t="s">
        <v>1550</v>
      </c>
      <c r="AD346" t="s">
        <v>838</v>
      </c>
      <c r="AE346">
        <v>66.2792406584087</v>
      </c>
      <c r="AF346">
        <v>8.31044257632014</v>
      </c>
      <c r="AG346">
        <v>1703.3</v>
      </c>
      <c r="AH346">
        <v>6.84</v>
      </c>
      <c r="AI346">
        <v>112856307963.1</v>
      </c>
    </row>
    <row r="347" spans="1:35">
      <c r="A347" s="294" t="s">
        <v>901</v>
      </c>
      <c r="B347" s="127" t="s">
        <v>45</v>
      </c>
      <c r="C347" s="291" t="str">
        <v>Eternal Ltd</v>
      </c>
      <c r="D347" s="295">
        <v>0.0165529366661972</v>
      </c>
      <c r="E347" s="293">
        <f t="shared" si="10"/>
        <v>0</v>
      </c>
      <c r="F347" s="291" t="str">
        <v>Consumer Discretionary</v>
      </c>
      <c r="G347" s="293">
        <f t="shared" si="11"/>
        <v>0</v>
      </c>
      <c r="H347" s="291"/>
      <c r="J347" s="36"/>
      <c r="M347" s="294" t="s">
        <v>1400</v>
      </c>
      <c r="N347" s="300" t="s">
        <v>64</v>
      </c>
      <c r="O347" s="291" t="str">
        <v>PNB Housing Finance Ltd</v>
      </c>
      <c r="P347" s="301">
        <v>0.00393265316027738</v>
      </c>
      <c r="Q347" s="293">
        <f>P347*VLOOKUP(N347,'Selector Sheet '!$B$13:$D$43,2,FALSE)</f>
        <v>0</v>
      </c>
      <c r="R347" s="291" t="str">
        <v>Financials</v>
      </c>
      <c r="S347" s="293">
        <f>P347*VLOOKUP(N347,'Selector Sheet '!$B$13:$D$43,2,FALSE)</f>
        <v>0</v>
      </c>
      <c r="T347" s="291"/>
      <c r="X347" s="291" t="str">
        <v>INE387A01021</v>
      </c>
      <c r="Z347" s="294" t="s">
        <v>901</v>
      </c>
      <c r="AB347" t="s">
        <v>1551</v>
      </c>
      <c r="AC347" t="s">
        <v>1552</v>
      </c>
      <c r="AD347" t="s">
        <v>838</v>
      </c>
      <c r="AE347">
        <v>37.5350749966509</v>
      </c>
      <c r="AF347">
        <v>14.9107182369341</v>
      </c>
      <c r="AG347">
        <v>5391</v>
      </c>
      <c r="AH347">
        <v>25.66</v>
      </c>
      <c r="AI347">
        <v>202385139565.5</v>
      </c>
    </row>
    <row r="348" spans="1:35">
      <c r="A348" s="290" t="s">
        <v>1303</v>
      </c>
      <c r="B348" s="127" t="s">
        <v>45</v>
      </c>
      <c r="C348" s="291" t="str">
        <v>Godrej Consumer Products Ltd</v>
      </c>
      <c r="D348" s="292">
        <v>0.0132695448631829</v>
      </c>
      <c r="E348" s="293">
        <f t="shared" si="10"/>
        <v>0</v>
      </c>
      <c r="F348" s="291" t="str">
        <v>Consumer Staples</v>
      </c>
      <c r="G348" s="293">
        <f t="shared" si="11"/>
        <v>0</v>
      </c>
      <c r="H348" s="291"/>
      <c r="J348" s="36"/>
      <c r="M348" s="290" t="s">
        <v>1196</v>
      </c>
      <c r="N348" s="298" t="s">
        <v>64</v>
      </c>
      <c r="O348" s="291" t="str">
        <v>Polycab India Ltd</v>
      </c>
      <c r="P348" s="299">
        <v>0.00492146147143003</v>
      </c>
      <c r="Q348" s="293">
        <f>P348*VLOOKUP(N348,'Selector Sheet '!$B$13:$D$43,2,FALSE)</f>
        <v>0</v>
      </c>
      <c r="R348" s="291" t="str">
        <v>Industrials</v>
      </c>
      <c r="S348" s="293">
        <f>P348*VLOOKUP(N348,'Selector Sheet '!$B$13:$D$43,2,FALSE)</f>
        <v>0</v>
      </c>
      <c r="T348" s="291"/>
      <c r="X348" s="291" t="str">
        <v>INE011K01018</v>
      </c>
      <c r="Z348" s="290" t="s">
        <v>1303</v>
      </c>
      <c r="AB348" t="s">
        <v>1553</v>
      </c>
      <c r="AC348" t="s">
        <v>1554</v>
      </c>
      <c r="AD348" t="s">
        <v>813</v>
      </c>
      <c r="AE348">
        <v>60.9857031639586</v>
      </c>
      <c r="AF348">
        <v>15.4621711091821</v>
      </c>
      <c r="AG348">
        <v>2001.2</v>
      </c>
      <c r="AH348">
        <v>30.08</v>
      </c>
      <c r="AI348">
        <v>122056033299.4</v>
      </c>
    </row>
    <row r="349" spans="1:35">
      <c r="A349" s="294" t="s">
        <v>1305</v>
      </c>
      <c r="B349" s="127" t="s">
        <v>45</v>
      </c>
      <c r="C349" s="291" t="str">
        <v>Gujarat State Petronet Ltd</v>
      </c>
      <c r="D349" s="295">
        <v>0.00624883202372213</v>
      </c>
      <c r="E349" s="293">
        <f t="shared" si="10"/>
        <v>0</v>
      </c>
      <c r="F349" s="291" t="str">
        <v>Utilities</v>
      </c>
      <c r="G349" s="293">
        <f t="shared" si="11"/>
        <v>0</v>
      </c>
      <c r="H349" s="291"/>
      <c r="J349" s="36"/>
      <c r="M349" s="294" t="s">
        <v>1023</v>
      </c>
      <c r="N349" s="300" t="s">
        <v>64</v>
      </c>
      <c r="O349" s="291" t="str">
        <v>Power Grid Corp of India Ltd</v>
      </c>
      <c r="P349" s="301">
        <v>0.0122233722573232</v>
      </c>
      <c r="Q349" s="293">
        <f>P349*VLOOKUP(N349,'Selector Sheet '!$B$13:$D$43,2,FALSE)</f>
        <v>0</v>
      </c>
      <c r="R349" s="291" t="str">
        <v>Utilities</v>
      </c>
      <c r="S349" s="293">
        <f>P349*VLOOKUP(N349,'Selector Sheet '!$B$13:$D$43,2,FALSE)</f>
        <v>0</v>
      </c>
      <c r="T349" s="291"/>
      <c r="X349" s="291" t="str">
        <v>INE00WC01027</v>
      </c>
      <c r="Z349" s="294" t="s">
        <v>1305</v>
      </c>
      <c r="AB349" t="s">
        <v>1555</v>
      </c>
      <c r="AC349" t="s">
        <v>1556</v>
      </c>
      <c r="AD349" t="s">
        <v>857</v>
      </c>
      <c r="AE349">
        <v>71.9794344473008</v>
      </c>
      <c r="AF349">
        <v>14.0277054060274</v>
      </c>
      <c r="AG349">
        <v>3818.69</v>
      </c>
      <c r="AH349">
        <v>27.23</v>
      </c>
      <c r="AI349">
        <v>275654823360</v>
      </c>
    </row>
    <row r="350" spans="1:35">
      <c r="A350" s="290" t="s">
        <v>919</v>
      </c>
      <c r="B350" s="127" t="s">
        <v>45</v>
      </c>
      <c r="C350" s="291" t="str">
        <v>HCL Technologies Ltd</v>
      </c>
      <c r="D350" s="292">
        <v>0.0107564577998828</v>
      </c>
      <c r="E350" s="293">
        <f t="shared" si="10"/>
        <v>0</v>
      </c>
      <c r="F350" s="291" t="str">
        <v>Information Technology</v>
      </c>
      <c r="G350" s="293">
        <f t="shared" si="11"/>
        <v>0</v>
      </c>
      <c r="H350" s="291"/>
      <c r="J350" s="36"/>
      <c r="M350" s="290" t="s">
        <v>1323</v>
      </c>
      <c r="N350" s="298" t="s">
        <v>64</v>
      </c>
      <c r="O350" s="291" t="str">
        <v>PVR Inox Ltd</v>
      </c>
      <c r="P350" s="299">
        <v>0.00229096638423127</v>
      </c>
      <c r="Q350" s="293">
        <f>P350*VLOOKUP(N350,'Selector Sheet '!$B$13:$D$43,2,FALSE)</f>
        <v>0</v>
      </c>
      <c r="R350" s="291" t="str">
        <v>Communication Services</v>
      </c>
      <c r="S350" s="293">
        <f>P350*VLOOKUP(N350,'Selector Sheet '!$B$13:$D$43,2,FALSE)</f>
        <v>0</v>
      </c>
      <c r="T350" s="291"/>
      <c r="X350" s="291" t="str">
        <v>INE006I01046</v>
      </c>
      <c r="Z350" s="290" t="s">
        <v>919</v>
      </c>
      <c r="AB350" t="s">
        <v>1263</v>
      </c>
      <c r="AC350" t="s">
        <v>1557</v>
      </c>
      <c r="AD350" t="s">
        <v>813</v>
      </c>
      <c r="AE350">
        <v>67.0615359575321</v>
      </c>
      <c r="AF350">
        <v>15.3943366004908</v>
      </c>
      <c r="AG350">
        <v>5238</v>
      </c>
      <c r="AH350">
        <v>19.5</v>
      </c>
      <c r="AI350">
        <v>351293632497.9</v>
      </c>
    </row>
    <row r="351" spans="1:35">
      <c r="A351" s="294" t="s">
        <v>924</v>
      </c>
      <c r="B351" s="127" t="s">
        <v>45</v>
      </c>
      <c r="C351" s="291" t="str">
        <v>HDFC Bank Ltd</v>
      </c>
      <c r="D351" s="295">
        <v>0.0802868500909101</v>
      </c>
      <c r="E351" s="293">
        <f t="shared" si="10"/>
        <v>0</v>
      </c>
      <c r="F351" s="291" t="str">
        <v>Financials</v>
      </c>
      <c r="G351" s="293">
        <f t="shared" si="11"/>
        <v>0</v>
      </c>
      <c r="H351" s="291"/>
      <c r="J351" s="36"/>
      <c r="M351" s="294" t="s">
        <v>1034</v>
      </c>
      <c r="N351" s="300" t="s">
        <v>64</v>
      </c>
      <c r="O351" s="291" t="str">
        <v>Reliance Industries Ltd</v>
      </c>
      <c r="P351" s="301">
        <v>0.04234436735076</v>
      </c>
      <c r="Q351" s="293">
        <f>P351*VLOOKUP(N351,'Selector Sheet '!$B$13:$D$43,2,FALSE)</f>
        <v>0</v>
      </c>
      <c r="R351" s="291" t="str">
        <v>Energy</v>
      </c>
      <c r="S351" s="293">
        <f>P351*VLOOKUP(N351,'Selector Sheet '!$B$13:$D$43,2,FALSE)</f>
        <v>0</v>
      </c>
      <c r="T351" s="291"/>
      <c r="X351" s="291" t="str">
        <v>INE382M01027</v>
      </c>
      <c r="Z351" s="294" t="s">
        <v>924</v>
      </c>
      <c r="AB351" t="s">
        <v>1558</v>
      </c>
      <c r="AC351" t="s">
        <v>1559</v>
      </c>
      <c r="AD351" t="s">
        <v>838</v>
      </c>
      <c r="AE351" t="s">
        <v>824</v>
      </c>
      <c r="AF351">
        <v>-7.35385584483986</v>
      </c>
      <c r="AG351">
        <v>-277.85</v>
      </c>
      <c r="AH351">
        <v>-7.11</v>
      </c>
      <c r="AI351">
        <v>10145366074.8</v>
      </c>
    </row>
    <row r="352" spans="1:35">
      <c r="A352" s="290" t="s">
        <v>927</v>
      </c>
      <c r="B352" s="127" t="s">
        <v>45</v>
      </c>
      <c r="C352" s="291" t="str">
        <v>HDFC Life Insurance Co Ltd</v>
      </c>
      <c r="D352" s="292">
        <v>0.00797712991856705</v>
      </c>
      <c r="E352" s="293">
        <f t="shared" si="10"/>
        <v>0</v>
      </c>
      <c r="F352" s="291" t="str">
        <v>Financials</v>
      </c>
      <c r="G352" s="293">
        <f t="shared" si="11"/>
        <v>0</v>
      </c>
      <c r="H352" s="291"/>
      <c r="J352" s="36"/>
      <c r="M352" s="290" t="s">
        <v>1138</v>
      </c>
      <c r="N352" s="298" t="s">
        <v>64</v>
      </c>
      <c r="O352" s="291" t="str">
        <v>SBI Life Insurance Co Ltd</v>
      </c>
      <c r="P352" s="299">
        <v>0.00471141185690407</v>
      </c>
      <c r="Q352" s="293">
        <f>P352*VLOOKUP(N352,'Selector Sheet '!$B$13:$D$43,2,FALSE)</f>
        <v>0</v>
      </c>
      <c r="R352" s="291" t="str">
        <v>Financials</v>
      </c>
      <c r="S352" s="293">
        <f>P352*VLOOKUP(N352,'Selector Sheet '!$B$13:$D$43,2,FALSE)</f>
        <v>0</v>
      </c>
      <c r="T352" s="291"/>
      <c r="X352" s="291" t="str">
        <v>INE227W01023</v>
      </c>
      <c r="Z352" s="290" t="s">
        <v>927</v>
      </c>
      <c r="AB352" t="s">
        <v>1560</v>
      </c>
      <c r="AC352" t="s">
        <v>1561</v>
      </c>
      <c r="AD352" t="s">
        <v>823</v>
      </c>
      <c r="AE352">
        <v>47.6406772037028</v>
      </c>
      <c r="AF352">
        <v>20.186816135863</v>
      </c>
      <c r="AG352">
        <v>2644.05</v>
      </c>
      <c r="AH352">
        <v>24.88</v>
      </c>
      <c r="AI352">
        <v>125958582092.7</v>
      </c>
    </row>
    <row r="353" spans="1:35">
      <c r="A353" s="294" t="s">
        <v>929</v>
      </c>
      <c r="B353" s="127" t="s">
        <v>45</v>
      </c>
      <c r="C353" s="291" t="str">
        <v>Hero MotoCorp Ltd</v>
      </c>
      <c r="D353" s="295">
        <v>0.00818329613326572</v>
      </c>
      <c r="E353" s="293">
        <f t="shared" si="10"/>
        <v>0</v>
      </c>
      <c r="F353" s="291" t="str">
        <v>Consumer Discretionary</v>
      </c>
      <c r="G353" s="293">
        <f t="shared" si="11"/>
        <v>0</v>
      </c>
      <c r="H353" s="291"/>
      <c r="J353" s="36"/>
      <c r="M353" s="294" t="s">
        <v>1025</v>
      </c>
      <c r="N353" s="300" t="s">
        <v>64</v>
      </c>
      <c r="O353" s="291" t="str">
        <v>Shree Cement Ltd</v>
      </c>
      <c r="P353" s="301">
        <v>0.016031022469497</v>
      </c>
      <c r="Q353" s="293">
        <f>P353*VLOOKUP(N353,'Selector Sheet '!$B$13:$D$43,2,FALSE)</f>
        <v>0</v>
      </c>
      <c r="R353" s="291" t="str">
        <v>Materials</v>
      </c>
      <c r="S353" s="293">
        <f>P353*VLOOKUP(N353,'Selector Sheet '!$B$13:$D$43,2,FALSE)</f>
        <v>0</v>
      </c>
      <c r="T353" s="291"/>
      <c r="X353" s="291" t="str">
        <v>INE03QK01018</v>
      </c>
      <c r="Z353" s="294" t="s">
        <v>929</v>
      </c>
      <c r="AB353" t="s">
        <v>1562</v>
      </c>
      <c r="AC353" t="s">
        <v>1563</v>
      </c>
      <c r="AD353" t="s">
        <v>819</v>
      </c>
      <c r="AE353">
        <v>84.676804923286</v>
      </c>
      <c r="AF353">
        <v>14.2969091813756</v>
      </c>
      <c r="AG353">
        <v>2678.7</v>
      </c>
      <c r="AH353">
        <v>10.52</v>
      </c>
      <c r="AI353">
        <v>340790808312</v>
      </c>
    </row>
    <row r="354" spans="1:35">
      <c r="A354" s="290" t="s">
        <v>931</v>
      </c>
      <c r="B354" s="127" t="s">
        <v>45</v>
      </c>
      <c r="C354" s="291" t="str">
        <v>Hindalco Industries Ltd</v>
      </c>
      <c r="D354" s="292">
        <v>0.00701004773605526</v>
      </c>
      <c r="E354" s="293">
        <f t="shared" si="10"/>
        <v>0</v>
      </c>
      <c r="F354" s="291" t="str">
        <v>Materials</v>
      </c>
      <c r="G354" s="293">
        <f t="shared" si="11"/>
        <v>0</v>
      </c>
      <c r="H354" s="291"/>
      <c r="J354" s="36"/>
      <c r="M354" s="290" t="s">
        <v>1311</v>
      </c>
      <c r="N354" s="298" t="s">
        <v>64</v>
      </c>
      <c r="O354" s="291" t="str">
        <v>Shriram Finance Ltd</v>
      </c>
      <c r="P354" s="299">
        <v>0.0100561427414116</v>
      </c>
      <c r="Q354" s="293">
        <f>P354*VLOOKUP(N354,'Selector Sheet '!$B$13:$D$43,2,FALSE)</f>
        <v>0</v>
      </c>
      <c r="R354" s="291" t="str">
        <v>Financials</v>
      </c>
      <c r="S354" s="293">
        <f>P354*VLOOKUP(N354,'Selector Sheet '!$B$13:$D$43,2,FALSE)</f>
        <v>0</v>
      </c>
      <c r="T354" s="291"/>
      <c r="X354" s="291" t="str">
        <v>INE406M01024</v>
      </c>
      <c r="Z354" s="290" t="s">
        <v>931</v>
      </c>
      <c r="AB354" t="s">
        <v>1564</v>
      </c>
      <c r="AC354" t="s">
        <v>1565</v>
      </c>
      <c r="AD354" t="s">
        <v>819</v>
      </c>
      <c r="AE354">
        <v>69.3887795424323</v>
      </c>
      <c r="AF354">
        <v>12.934010226926</v>
      </c>
      <c r="AG354">
        <v>3518.4</v>
      </c>
      <c r="AH354">
        <v>25.85</v>
      </c>
      <c r="AI354">
        <v>244314124604.1</v>
      </c>
    </row>
    <row r="355" spans="1:35">
      <c r="A355" s="294" t="s">
        <v>1271</v>
      </c>
      <c r="B355" s="127" t="s">
        <v>45</v>
      </c>
      <c r="C355" s="291" t="str">
        <v>Hindustan Aeronautics Ltd</v>
      </c>
      <c r="D355" s="295">
        <v>0.0062925753852875</v>
      </c>
      <c r="E355" s="293">
        <f t="shared" si="10"/>
        <v>0</v>
      </c>
      <c r="F355" s="291" t="str">
        <v>Industrials</v>
      </c>
      <c r="G355" s="293">
        <f t="shared" si="11"/>
        <v>0</v>
      </c>
      <c r="H355" s="291"/>
      <c r="J355" s="36"/>
      <c r="M355" s="294" t="s">
        <v>1027</v>
      </c>
      <c r="N355" s="300" t="s">
        <v>64</v>
      </c>
      <c r="O355" s="291" t="str">
        <v>Siemens Energy India Ltd</v>
      </c>
      <c r="P355" s="301">
        <v>0</v>
      </c>
      <c r="Q355" s="293">
        <f>P355*VLOOKUP(N355,'Selector Sheet '!$B$13:$D$43,2,FALSE)</f>
        <v>0</v>
      </c>
      <c r="R355" s="291" t="str">
        <v>Industrials</v>
      </c>
      <c r="S355" s="293">
        <f>P355*VLOOKUP(N355,'Selector Sheet '!$B$13:$D$43,2,FALSE)</f>
        <v>0</v>
      </c>
      <c r="T355" s="291"/>
      <c r="X355" s="291" t="str">
        <v>INE196A01026</v>
      </c>
      <c r="Z355" s="294" t="s">
        <v>1271</v>
      </c>
      <c r="AB355" t="s">
        <v>987</v>
      </c>
      <c r="AC355" t="s">
        <v>1566</v>
      </c>
      <c r="AD355" t="s">
        <v>980</v>
      </c>
      <c r="AE355">
        <v>56.0977482999176</v>
      </c>
      <c r="AF355" t="s">
        <v>824</v>
      </c>
      <c r="AG355">
        <v>16290</v>
      </c>
      <c r="AH355">
        <v>12.59</v>
      </c>
      <c r="AI355">
        <v>938457517092.9</v>
      </c>
    </row>
    <row r="356" spans="1:35">
      <c r="A356" s="290" t="s">
        <v>934</v>
      </c>
      <c r="B356" s="127" t="s">
        <v>45</v>
      </c>
      <c r="C356" s="291" t="str">
        <v>Hindustan Unilever Ltd</v>
      </c>
      <c r="D356" s="292">
        <v>0.0116071134093157</v>
      </c>
      <c r="E356" s="293">
        <f t="shared" si="10"/>
        <v>0</v>
      </c>
      <c r="F356" s="291" t="str">
        <v>Consumer Staples</v>
      </c>
      <c r="G356" s="293">
        <f t="shared" si="11"/>
        <v>0</v>
      </c>
      <c r="H356" s="291"/>
      <c r="J356" s="36"/>
      <c r="M356" s="290" t="s">
        <v>1030</v>
      </c>
      <c r="N356" s="298" t="s">
        <v>64</v>
      </c>
      <c r="O356" s="291" t="str">
        <v>Siemens Ltd</v>
      </c>
      <c r="P356" s="299">
        <v>0.00369815923370502</v>
      </c>
      <c r="Q356" s="293">
        <f>P356*VLOOKUP(N356,'Selector Sheet '!$B$13:$D$43,2,FALSE)</f>
        <v>0</v>
      </c>
      <c r="R356" s="291" t="str">
        <v>Industrials</v>
      </c>
      <c r="S356" s="293">
        <f>P356*VLOOKUP(N356,'Selector Sheet '!$B$13:$D$43,2,FALSE)</f>
        <v>0</v>
      </c>
      <c r="T356" s="291"/>
      <c r="X356" s="291" t="str">
        <v>INE317I01021</v>
      </c>
      <c r="Z356" s="290" t="s">
        <v>934</v>
      </c>
      <c r="AB356" t="s">
        <v>1567</v>
      </c>
      <c r="AC356" t="s">
        <v>1568</v>
      </c>
      <c r="AD356" t="s">
        <v>838</v>
      </c>
      <c r="AE356">
        <v>89.363849838174</v>
      </c>
      <c r="AF356">
        <v>19.6265135103364</v>
      </c>
      <c r="AG356">
        <v>3506.1</v>
      </c>
      <c r="AH356">
        <v>12.89</v>
      </c>
      <c r="AI356">
        <v>313651483393.1</v>
      </c>
    </row>
    <row r="357" spans="1:35">
      <c r="A357" s="294" t="s">
        <v>936</v>
      </c>
      <c r="B357" s="127" t="s">
        <v>45</v>
      </c>
      <c r="C357" s="291" t="str">
        <v>ICICI Bank Ltd</v>
      </c>
      <c r="D357" s="295">
        <v>0.0772588599573007</v>
      </c>
      <c r="E357" s="293">
        <f t="shared" si="10"/>
        <v>0</v>
      </c>
      <c r="F357" s="291" t="str">
        <v>Financials</v>
      </c>
      <c r="G357" s="293">
        <f t="shared" si="11"/>
        <v>0</v>
      </c>
      <c r="H357" s="291"/>
      <c r="J357" s="36"/>
      <c r="M357" s="294" t="s">
        <v>1041</v>
      </c>
      <c r="N357" s="300" t="s">
        <v>64</v>
      </c>
      <c r="O357" s="291" t="str">
        <v>State Bank of India</v>
      </c>
      <c r="P357" s="301">
        <v>0.0216905984857539</v>
      </c>
      <c r="Q357" s="293">
        <f>P357*VLOOKUP(N357,'Selector Sheet '!$B$13:$D$43,2,FALSE)</f>
        <v>0</v>
      </c>
      <c r="R357" s="291" t="str">
        <v>Financials</v>
      </c>
      <c r="S357" s="293">
        <f>P357*VLOOKUP(N357,'Selector Sheet '!$B$13:$D$43,2,FALSE)</f>
        <v>0</v>
      </c>
      <c r="T357" s="291"/>
      <c r="X357" s="291" t="str">
        <v>INE864A01011</v>
      </c>
      <c r="Z357" s="294" t="s">
        <v>936</v>
      </c>
      <c r="AB357" t="s">
        <v>1569</v>
      </c>
      <c r="AC357" t="s">
        <v>1570</v>
      </c>
      <c r="AD357" t="s">
        <v>824</v>
      </c>
      <c r="AE357" t="s">
        <v>824</v>
      </c>
      <c r="AF357" t="s">
        <v>824</v>
      </c>
      <c r="AG357">
        <v>-195.801</v>
      </c>
      <c r="AH357">
        <v>-2.19</v>
      </c>
      <c r="AI357" t="s">
        <v>824</v>
      </c>
    </row>
    <row r="358" spans="1:35">
      <c r="A358" s="290" t="s">
        <v>955</v>
      </c>
      <c r="B358" s="127" t="s">
        <v>45</v>
      </c>
      <c r="C358" s="291" t="str">
        <v>Infosys Ltd</v>
      </c>
      <c r="D358" s="292">
        <v>0.0406382694058687</v>
      </c>
      <c r="E358" s="293">
        <f t="shared" si="10"/>
        <v>0</v>
      </c>
      <c r="F358" s="291" t="str">
        <v>Information Technology</v>
      </c>
      <c r="G358" s="293">
        <f t="shared" si="11"/>
        <v>0</v>
      </c>
      <c r="H358" s="291"/>
      <c r="J358" s="36"/>
      <c r="M358" s="290" t="s">
        <v>1044</v>
      </c>
      <c r="N358" s="298" t="s">
        <v>64</v>
      </c>
      <c r="O358" s="291" t="str">
        <v>Sun Pharmaceutical Industries</v>
      </c>
      <c r="P358" s="299">
        <v>0.00962159823986572</v>
      </c>
      <c r="Q358" s="293">
        <f>P358*VLOOKUP(N358,'Selector Sheet '!$B$13:$D$43,2,FALSE)</f>
        <v>0</v>
      </c>
      <c r="R358" s="291" t="str">
        <v>Health Care</v>
      </c>
      <c r="S358" s="293">
        <f>P358*VLOOKUP(N358,'Selector Sheet '!$B$13:$D$43,2,FALSE)</f>
        <v>0</v>
      </c>
      <c r="T358" s="291"/>
      <c r="X358" s="291" t="str">
        <v>INE348C01011</v>
      </c>
      <c r="Z358" s="290" t="s">
        <v>955</v>
      </c>
      <c r="AB358" t="s">
        <v>1571</v>
      </c>
      <c r="AC358" t="s">
        <v>1572</v>
      </c>
      <c r="AD358" t="s">
        <v>824</v>
      </c>
      <c r="AE358" t="s">
        <v>824</v>
      </c>
      <c r="AF358" t="s">
        <v>824</v>
      </c>
      <c r="AG358" t="s">
        <v>824</v>
      </c>
      <c r="AH358" t="s">
        <v>824</v>
      </c>
      <c r="AI358" t="s">
        <v>824</v>
      </c>
    </row>
    <row r="359" spans="1:35">
      <c r="A359" s="294" t="s">
        <v>958</v>
      </c>
      <c r="B359" s="127" t="s">
        <v>45</v>
      </c>
      <c r="C359" s="291" t="str">
        <v>InterGlobe Aviation Ltd</v>
      </c>
      <c r="D359" s="295">
        <v>0.0229284542609249</v>
      </c>
      <c r="E359" s="293">
        <f t="shared" si="10"/>
        <v>0</v>
      </c>
      <c r="F359" s="291" t="str">
        <v>Industrials</v>
      </c>
      <c r="G359" s="293">
        <f t="shared" si="11"/>
        <v>0</v>
      </c>
      <c r="H359" s="291"/>
      <c r="J359" s="36"/>
      <c r="M359" s="294" t="s">
        <v>1053</v>
      </c>
      <c r="N359" s="300" t="s">
        <v>64</v>
      </c>
      <c r="O359" s="291" t="str">
        <v>Tata Chemicals Ltd</v>
      </c>
      <c r="P359" s="301">
        <v>0.00444406963987784</v>
      </c>
      <c r="Q359" s="293">
        <f>P359*VLOOKUP(N359,'Selector Sheet '!$B$13:$D$43,2,FALSE)</f>
        <v>0</v>
      </c>
      <c r="R359" s="291" t="str">
        <v>Materials</v>
      </c>
      <c r="S359" s="293">
        <f>P359*VLOOKUP(N359,'Selector Sheet '!$B$13:$D$43,2,FALSE)</f>
        <v>0</v>
      </c>
      <c r="T359" s="291"/>
      <c r="X359" s="291" t="str">
        <v>INE205C01021</v>
      </c>
      <c r="Z359" s="294" t="s">
        <v>958</v>
      </c>
      <c r="AB359" t="s">
        <v>1573</v>
      </c>
      <c r="AC359" t="s">
        <v>1574</v>
      </c>
      <c r="AD359" t="s">
        <v>819</v>
      </c>
      <c r="AE359">
        <v>55.8084719635476</v>
      </c>
      <c r="AF359" t="s">
        <v>824</v>
      </c>
      <c r="AG359">
        <v>3385.572</v>
      </c>
      <c r="AH359">
        <v>33.412734</v>
      </c>
      <c r="AI359">
        <v>193086282504</v>
      </c>
    </row>
    <row r="360" spans="1:35">
      <c r="A360" s="290" t="s">
        <v>961</v>
      </c>
      <c r="B360" s="127" t="s">
        <v>45</v>
      </c>
      <c r="C360" s="291" t="str">
        <v>ITC Ltd</v>
      </c>
      <c r="D360" s="292">
        <v>0.0287162115286248</v>
      </c>
      <c r="E360" s="293">
        <f t="shared" si="10"/>
        <v>0</v>
      </c>
      <c r="F360" s="291" t="str">
        <v>Consumer Staples</v>
      </c>
      <c r="G360" s="293">
        <f t="shared" si="11"/>
        <v>0</v>
      </c>
      <c r="H360" s="291"/>
      <c r="J360" s="36"/>
      <c r="M360" s="290" t="s">
        <v>1051</v>
      </c>
      <c r="N360" s="298" t="s">
        <v>64</v>
      </c>
      <c r="O360" s="291" t="str">
        <v>Tata Consultancy Services Ltd</v>
      </c>
      <c r="P360" s="299">
        <v>0.013859735516798</v>
      </c>
      <c r="Q360" s="293">
        <f>P360*VLOOKUP(N360,'Selector Sheet '!$B$13:$D$43,2,FALSE)</f>
        <v>0</v>
      </c>
      <c r="R360" s="291" t="str">
        <v>Information Technology</v>
      </c>
      <c r="S360" s="293">
        <f>P360*VLOOKUP(N360,'Selector Sheet '!$B$13:$D$43,2,FALSE)</f>
        <v>0</v>
      </c>
      <c r="T360" s="291"/>
      <c r="X360" s="291" t="str">
        <v>INE02A801020</v>
      </c>
      <c r="Z360" s="290" t="s">
        <v>961</v>
      </c>
      <c r="AB360" t="s">
        <v>1575</v>
      </c>
      <c r="AC360" t="s">
        <v>1576</v>
      </c>
      <c r="AD360" t="s">
        <v>823</v>
      </c>
      <c r="AE360">
        <v>25.6711268366978</v>
      </c>
      <c r="AF360">
        <v>12.2138101905939</v>
      </c>
      <c r="AG360">
        <v>1363.78</v>
      </c>
      <c r="AH360">
        <v>24.66</v>
      </c>
      <c r="AI360">
        <v>35050057826.3</v>
      </c>
    </row>
    <row r="361" spans="1:35">
      <c r="A361" s="294" t="s">
        <v>972</v>
      </c>
      <c r="B361" s="127" t="s">
        <v>45</v>
      </c>
      <c r="C361" s="291" t="str">
        <v>Kotak Mahindra Bank Ltd</v>
      </c>
      <c r="D361" s="295">
        <v>0.0155921201110714</v>
      </c>
      <c r="E361" s="293">
        <f t="shared" si="10"/>
        <v>0</v>
      </c>
      <c r="F361" s="291" t="str">
        <v>Financials</v>
      </c>
      <c r="G361" s="293">
        <f t="shared" si="11"/>
        <v>0</v>
      </c>
      <c r="H361" s="291"/>
      <c r="J361" s="36"/>
      <c r="M361" s="294" t="s">
        <v>1054</v>
      </c>
      <c r="N361" s="300" t="s">
        <v>64</v>
      </c>
      <c r="O361" s="291" t="str">
        <v>Tata Motors Ltd</v>
      </c>
      <c r="P361" s="301">
        <v>0.00665487423244308</v>
      </c>
      <c r="Q361" s="293">
        <f>P361*VLOOKUP(N361,'Selector Sheet '!$B$13:$D$43,2,FALSE)</f>
        <v>0</v>
      </c>
      <c r="R361" s="291" t="str">
        <v>Consumer Discretionary</v>
      </c>
      <c r="S361" s="293">
        <f>P361*VLOOKUP(N361,'Selector Sheet '!$B$13:$D$43,2,FALSE)</f>
        <v>0</v>
      </c>
      <c r="T361" s="291"/>
      <c r="X361" s="291" t="str">
        <v>INE645A01014</v>
      </c>
      <c r="Z361" s="294" t="s">
        <v>972</v>
      </c>
      <c r="AB361" t="s">
        <v>1577</v>
      </c>
      <c r="AC361" t="s">
        <v>1578</v>
      </c>
      <c r="AD361" t="s">
        <v>824</v>
      </c>
      <c r="AE361" t="s">
        <v>824</v>
      </c>
      <c r="AF361" t="s">
        <v>824</v>
      </c>
      <c r="AG361">
        <v>-9.36400032043457</v>
      </c>
      <c r="AH361">
        <v>-0.0500000007450581</v>
      </c>
      <c r="AI361" t="s">
        <v>824</v>
      </c>
    </row>
    <row r="362" spans="1:35">
      <c r="A362" s="290" t="s">
        <v>975</v>
      </c>
      <c r="B362" s="127" t="s">
        <v>45</v>
      </c>
      <c r="C362" s="291" t="str">
        <v>Larsen &amp; Toubro Ltd</v>
      </c>
      <c r="D362" s="292">
        <v>0.0373991140925012</v>
      </c>
      <c r="E362" s="293">
        <f t="shared" si="10"/>
        <v>0</v>
      </c>
      <c r="F362" s="291" t="str">
        <v>Industrials</v>
      </c>
      <c r="G362" s="293">
        <f t="shared" si="11"/>
        <v>0</v>
      </c>
      <c r="H362" s="291"/>
      <c r="J362" s="36"/>
      <c r="M362" s="290" t="s">
        <v>1063</v>
      </c>
      <c r="N362" s="298" t="s">
        <v>64</v>
      </c>
      <c r="O362" s="291" t="str">
        <v>Tata Power Co Ltd/The</v>
      </c>
      <c r="P362" s="299">
        <v>0.00859878521892911</v>
      </c>
      <c r="Q362" s="293">
        <f>P362*VLOOKUP(N362,'Selector Sheet '!$B$13:$D$43,2,FALSE)</f>
        <v>0</v>
      </c>
      <c r="R362" s="291" t="str">
        <v>Utilities</v>
      </c>
      <c r="S362" s="293">
        <f>P362*VLOOKUP(N362,'Selector Sheet '!$B$13:$D$43,2,FALSE)</f>
        <v>0</v>
      </c>
      <c r="T362" s="291"/>
      <c r="X362" s="291" t="str">
        <v>INE258G01013</v>
      </c>
      <c r="Z362" s="290" t="s">
        <v>975</v>
      </c>
      <c r="AB362" t="s">
        <v>1579</v>
      </c>
      <c r="AC362" t="s">
        <v>1580</v>
      </c>
      <c r="AD362" t="s">
        <v>823</v>
      </c>
      <c r="AE362">
        <v>58.5587376314937</v>
      </c>
      <c r="AF362">
        <v>18.9228242136204</v>
      </c>
      <c r="AG362">
        <v>5054.96</v>
      </c>
      <c r="AH362">
        <v>10.13</v>
      </c>
      <c r="AI362">
        <v>296093250595.2</v>
      </c>
    </row>
    <row r="363" spans="1:35">
      <c r="A363" s="294" t="s">
        <v>963</v>
      </c>
      <c r="B363" s="127" t="s">
        <v>45</v>
      </c>
      <c r="C363" s="291" t="str">
        <v>LTIMindtree Ltd</v>
      </c>
      <c r="D363" s="295">
        <v>0</v>
      </c>
      <c r="E363" s="293">
        <f t="shared" si="10"/>
        <v>0</v>
      </c>
      <c r="F363" s="291" t="str">
        <v>Information Technology</v>
      </c>
      <c r="G363" s="293">
        <f t="shared" si="11"/>
        <v>0</v>
      </c>
      <c r="H363" s="291"/>
      <c r="J363" s="36"/>
      <c r="M363" s="294" t="s">
        <v>1056</v>
      </c>
      <c r="N363" s="300" t="s">
        <v>64</v>
      </c>
      <c r="O363" s="291" t="str">
        <v>Tata Steel Ltd</v>
      </c>
      <c r="P363" s="301">
        <v>0.00518019035827352</v>
      </c>
      <c r="Q363" s="293">
        <f>P363*VLOOKUP(N363,'Selector Sheet '!$B$13:$D$43,2,FALSE)</f>
        <v>0</v>
      </c>
      <c r="R363" s="291" t="str">
        <v>Materials</v>
      </c>
      <c r="S363" s="293">
        <f>P363*VLOOKUP(N363,'Selector Sheet '!$B$13:$D$43,2,FALSE)</f>
        <v>0</v>
      </c>
      <c r="T363" s="291"/>
      <c r="X363" s="291" t="str">
        <v>INE284S01014</v>
      </c>
      <c r="Z363" s="294" t="s">
        <v>963</v>
      </c>
      <c r="AB363" t="s">
        <v>1581</v>
      </c>
      <c r="AC363" t="s">
        <v>1582</v>
      </c>
      <c r="AD363" t="s">
        <v>838</v>
      </c>
      <c r="AE363">
        <v>32.4246443370736</v>
      </c>
      <c r="AF363">
        <v>19.1922079762681</v>
      </c>
      <c r="AG363">
        <v>1178.13</v>
      </c>
      <c r="AH363">
        <v>37.82</v>
      </c>
      <c r="AI363">
        <v>38453584525.2</v>
      </c>
    </row>
    <row r="364" spans="1:35">
      <c r="A364" s="290" t="s">
        <v>966</v>
      </c>
      <c r="B364" s="127" t="s">
        <v>45</v>
      </c>
      <c r="C364" s="291" t="str">
        <v>Mahindra &amp; Mahindra Ltd</v>
      </c>
      <c r="D364" s="292">
        <v>0.0306670552258103</v>
      </c>
      <c r="E364" s="293">
        <f t="shared" si="10"/>
        <v>0</v>
      </c>
      <c r="F364" s="291" t="str">
        <v>Consumer Discretionary</v>
      </c>
      <c r="G364" s="293">
        <f t="shared" si="11"/>
        <v>0</v>
      </c>
      <c r="H364" s="291"/>
      <c r="J364" s="36"/>
      <c r="M364" s="290" t="s">
        <v>1059</v>
      </c>
      <c r="N364" s="298" t="s">
        <v>64</v>
      </c>
      <c r="O364" s="291" t="str">
        <v>Tech Mahindra Ltd</v>
      </c>
      <c r="P364" s="299">
        <v>0.00861792595266854</v>
      </c>
      <c r="Q364" s="293">
        <f>P364*VLOOKUP(N364,'Selector Sheet '!$B$13:$D$43,2,FALSE)</f>
        <v>0</v>
      </c>
      <c r="R364" s="291" t="str">
        <v>Information Technology</v>
      </c>
      <c r="S364" s="293">
        <f>P364*VLOOKUP(N364,'Selector Sheet '!$B$13:$D$43,2,FALSE)</f>
        <v>0</v>
      </c>
      <c r="T364" s="291"/>
      <c r="X364" s="291" t="str">
        <v>INE524A01029</v>
      </c>
      <c r="Z364" s="290" t="s">
        <v>966</v>
      </c>
      <c r="AB364" t="s">
        <v>1583</v>
      </c>
      <c r="AC364" t="s">
        <v>1584</v>
      </c>
      <c r="AD364" t="s">
        <v>838</v>
      </c>
      <c r="AE364">
        <v>67.9765395894428</v>
      </c>
      <c r="AF364">
        <v>22.4194062789273</v>
      </c>
      <c r="AG364">
        <v>2449.81</v>
      </c>
      <c r="AH364">
        <v>17.05</v>
      </c>
      <c r="AI364">
        <v>166483326460</v>
      </c>
    </row>
    <row r="365" spans="1:35">
      <c r="A365" s="294" t="s">
        <v>1307</v>
      </c>
      <c r="B365" s="127" t="s">
        <v>45</v>
      </c>
      <c r="C365" s="291" t="str">
        <v>Mahindra Lifespace Developers</v>
      </c>
      <c r="D365" s="295">
        <v>0.00321951721271787</v>
      </c>
      <c r="E365" s="293">
        <f t="shared" si="10"/>
        <v>0</v>
      </c>
      <c r="F365" s="291" t="str">
        <v>Real Estate</v>
      </c>
      <c r="G365" s="293">
        <f t="shared" si="11"/>
        <v>0</v>
      </c>
      <c r="H365" s="291"/>
      <c r="J365" s="36"/>
      <c r="M365" s="294" t="s">
        <v>1061</v>
      </c>
      <c r="N365" s="300" t="s">
        <v>64</v>
      </c>
      <c r="O365" s="291" t="str">
        <v>Federal Bank Ltd</v>
      </c>
      <c r="P365" s="301">
        <v>0.00593224174985441</v>
      </c>
      <c r="Q365" s="293">
        <f>P365*VLOOKUP(N365,'Selector Sheet '!$B$13:$D$43,2,FALSE)</f>
        <v>0</v>
      </c>
      <c r="R365" s="291" t="str">
        <v>Financials</v>
      </c>
      <c r="S365" s="293">
        <f>P365*VLOOKUP(N365,'Selector Sheet '!$B$13:$D$43,2,FALSE)</f>
        <v>0</v>
      </c>
      <c r="T365" s="291"/>
      <c r="X365" s="291" t="str">
        <v>INE526E01018</v>
      </c>
      <c r="Z365" s="294" t="s">
        <v>1307</v>
      </c>
      <c r="AB365" t="s">
        <v>1585</v>
      </c>
      <c r="AC365" t="s">
        <v>1586</v>
      </c>
      <c r="AD365" t="s">
        <v>838</v>
      </c>
      <c r="AE365">
        <v>21.4875673795862</v>
      </c>
      <c r="AF365">
        <v>23.4611414989982</v>
      </c>
      <c r="AG365">
        <v>5066.83</v>
      </c>
      <c r="AH365">
        <v>115.02</v>
      </c>
      <c r="AI365">
        <v>108869140016</v>
      </c>
    </row>
    <row r="366" spans="1:35">
      <c r="A366" s="290" t="s">
        <v>990</v>
      </c>
      <c r="B366" s="127" t="s">
        <v>45</v>
      </c>
      <c r="C366" s="291" t="str">
        <v>Maruti Suzuki India Ltd</v>
      </c>
      <c r="D366" s="292">
        <v>0.020127177345402</v>
      </c>
      <c r="E366" s="293">
        <f t="shared" si="10"/>
        <v>0</v>
      </c>
      <c r="F366" s="291" t="str">
        <v>Consumer Discretionary</v>
      </c>
      <c r="G366" s="293">
        <f t="shared" si="11"/>
        <v>0</v>
      </c>
      <c r="H366" s="291"/>
      <c r="J366" s="36"/>
      <c r="M366" s="290" t="s">
        <v>1069</v>
      </c>
      <c r="N366" s="298" t="s">
        <v>64</v>
      </c>
      <c r="O366" s="291" t="str">
        <v>TVS Motor Co Ltd</v>
      </c>
      <c r="P366" s="299">
        <v>0.00818251413662507</v>
      </c>
      <c r="Q366" s="293">
        <f>P366*VLOOKUP(N366,'Selector Sheet '!$B$13:$D$43,2,FALSE)</f>
        <v>0</v>
      </c>
      <c r="R366" s="291" t="str">
        <v>Consumer Discretionary</v>
      </c>
      <c r="S366" s="293">
        <f>P366*VLOOKUP(N366,'Selector Sheet '!$B$13:$D$43,2,FALSE)</f>
        <v>0</v>
      </c>
      <c r="T366" s="291"/>
      <c r="X366" s="291" t="str">
        <v>INE481N01025</v>
      </c>
      <c r="Z366" s="290" t="s">
        <v>990</v>
      </c>
      <c r="AB366" t="s">
        <v>1587</v>
      </c>
      <c r="AC366" t="s">
        <v>1588</v>
      </c>
      <c r="AD366" t="s">
        <v>831</v>
      </c>
      <c r="AE366">
        <v>29.7151517901442</v>
      </c>
      <c r="AF366">
        <v>16.4586333968515</v>
      </c>
      <c r="AG366">
        <v>3820.68</v>
      </c>
      <c r="AH366">
        <v>42.83</v>
      </c>
      <c r="AI366">
        <v>131429943401.9</v>
      </c>
    </row>
    <row r="367" spans="1:35">
      <c r="A367" s="294" t="s">
        <v>974</v>
      </c>
      <c r="B367" s="127" t="s">
        <v>45</v>
      </c>
      <c r="C367" s="291" t="str">
        <v>Mphasis Ltd</v>
      </c>
      <c r="D367" s="295">
        <v>0.00806497440128619</v>
      </c>
      <c r="E367" s="293">
        <f t="shared" si="10"/>
        <v>0</v>
      </c>
      <c r="F367" s="291" t="str">
        <v>Information Technology</v>
      </c>
      <c r="G367" s="293">
        <f t="shared" si="11"/>
        <v>0</v>
      </c>
      <c r="H367" s="291"/>
      <c r="J367" s="36"/>
      <c r="M367" s="294" t="s">
        <v>1071</v>
      </c>
      <c r="N367" s="300" t="s">
        <v>64</v>
      </c>
      <c r="O367" s="291" t="str">
        <v>UltraTech Cement Ltd</v>
      </c>
      <c r="P367" s="301">
        <v>0.00244223799556572</v>
      </c>
      <c r="Q367" s="293">
        <f>P367*VLOOKUP(N367,'Selector Sheet '!$B$13:$D$43,2,FALSE)</f>
        <v>0</v>
      </c>
      <c r="R367" s="291" t="str">
        <v>Materials</v>
      </c>
      <c r="S367" s="293">
        <f>P367*VLOOKUP(N367,'Selector Sheet '!$B$13:$D$43,2,FALSE)</f>
        <v>0</v>
      </c>
      <c r="T367" s="291"/>
      <c r="X367" s="291" t="str">
        <v>INE883F01010</v>
      </c>
      <c r="Z367" s="294" t="s">
        <v>974</v>
      </c>
      <c r="AB367" t="s">
        <v>1589</v>
      </c>
      <c r="AC367" t="s">
        <v>1590</v>
      </c>
      <c r="AD367" t="s">
        <v>831</v>
      </c>
      <c r="AE367">
        <v>23.4997669670329</v>
      </c>
      <c r="AF367">
        <v>18.4019215922606</v>
      </c>
      <c r="AG367">
        <v>9118.3</v>
      </c>
      <c r="AH367">
        <v>21.43</v>
      </c>
      <c r="AI367">
        <v>217585087652.8</v>
      </c>
    </row>
    <row r="368" spans="1:35">
      <c r="A368" s="290" t="s">
        <v>1130</v>
      </c>
      <c r="B368" s="127" t="s">
        <v>45</v>
      </c>
      <c r="C368" s="291" t="str">
        <v>NTPC Green Energy Ltd</v>
      </c>
      <c r="D368" s="292">
        <v>0</v>
      </c>
      <c r="E368" s="293">
        <f t="shared" si="10"/>
        <v>0</v>
      </c>
      <c r="F368" s="291" t="str">
        <v>Utilities</v>
      </c>
      <c r="G368" s="293">
        <f t="shared" si="11"/>
        <v>0</v>
      </c>
      <c r="H368" s="291"/>
      <c r="J368" s="36"/>
      <c r="M368" s="290" t="s">
        <v>1076</v>
      </c>
      <c r="N368" s="298" t="s">
        <v>64</v>
      </c>
      <c r="O368" s="291" t="str">
        <v>United Spirits Ltd</v>
      </c>
      <c r="P368" s="299">
        <v>4.00759112669369e-6</v>
      </c>
      <c r="Q368" s="293">
        <f>P368*VLOOKUP(N368,'Selector Sheet '!$B$13:$D$43,2,FALSE)</f>
        <v>0</v>
      </c>
      <c r="R368" s="291" t="str">
        <v>Consumer Staples</v>
      </c>
      <c r="S368" s="293">
        <f>P368*VLOOKUP(N368,'Selector Sheet '!$B$13:$D$43,2,FALSE)</f>
        <v>0</v>
      </c>
      <c r="T368" s="291"/>
      <c r="X368" s="291" t="str">
        <v>INE659A01023</v>
      </c>
      <c r="Z368" s="290" t="s">
        <v>1130</v>
      </c>
      <c r="AB368" t="s">
        <v>1591</v>
      </c>
      <c r="AC368" t="s">
        <v>1592</v>
      </c>
      <c r="AD368" t="s">
        <v>823</v>
      </c>
      <c r="AE368">
        <v>203.692086130494</v>
      </c>
      <c r="AF368">
        <v>2.42980793347348</v>
      </c>
      <c r="AG368">
        <v>557.53</v>
      </c>
      <c r="AH368">
        <v>7.095514</v>
      </c>
      <c r="AI368">
        <v>113561390690.5</v>
      </c>
    </row>
    <row r="369" spans="1:35">
      <c r="A369" s="294" t="s">
        <v>992</v>
      </c>
      <c r="B369" s="127" t="s">
        <v>45</v>
      </c>
      <c r="C369" s="291" t="str">
        <v>NTPC Ltd</v>
      </c>
      <c r="D369" s="295">
        <v>0.0241473121710673</v>
      </c>
      <c r="E369" s="293">
        <f t="shared" si="10"/>
        <v>0</v>
      </c>
      <c r="F369" s="291" t="str">
        <v>Utilities</v>
      </c>
      <c r="G369" s="293">
        <f t="shared" si="11"/>
        <v>0</v>
      </c>
      <c r="H369" s="291"/>
      <c r="J369" s="36"/>
      <c r="M369" s="294" t="s">
        <v>1241</v>
      </c>
      <c r="N369" s="300" t="s">
        <v>64</v>
      </c>
      <c r="O369" s="291" t="str">
        <v>UPL Ltd</v>
      </c>
      <c r="P369" s="301">
        <v>0.00125493429405586</v>
      </c>
      <c r="Q369" s="293">
        <f>P369*VLOOKUP(N369,'Selector Sheet '!$B$13:$D$43,2,FALSE)</f>
        <v>0</v>
      </c>
      <c r="R369" s="291" t="str">
        <v>Materials</v>
      </c>
      <c r="S369" s="293">
        <f>P369*VLOOKUP(N369,'Selector Sheet '!$B$13:$D$43,2,FALSE)</f>
        <v>0</v>
      </c>
      <c r="T369" s="291"/>
      <c r="X369" s="291" t="str">
        <v>INE0BWX01014</v>
      </c>
      <c r="Z369" s="294" t="s">
        <v>992</v>
      </c>
      <c r="AB369" t="s">
        <v>1593</v>
      </c>
      <c r="AC369" t="s">
        <v>1594</v>
      </c>
      <c r="AD369" t="s">
        <v>819</v>
      </c>
      <c r="AE369">
        <v>56.5634459527238</v>
      </c>
      <c r="AF369" t="s">
        <v>824</v>
      </c>
      <c r="AG369">
        <v>1584.18</v>
      </c>
      <c r="AH369">
        <v>11.95</v>
      </c>
      <c r="AI369">
        <v>99296831484.9</v>
      </c>
    </row>
    <row r="370" spans="1:35">
      <c r="A370" s="290" t="s">
        <v>995</v>
      </c>
      <c r="B370" s="127" t="s">
        <v>45</v>
      </c>
      <c r="C370" s="291" t="str">
        <v>Oberoi Realty Ltd</v>
      </c>
      <c r="D370" s="292">
        <v>0.00575303524926904</v>
      </c>
      <c r="E370" s="293">
        <f t="shared" si="10"/>
        <v>0</v>
      </c>
      <c r="F370" s="291" t="str">
        <v>Real Estate</v>
      </c>
      <c r="G370" s="293">
        <f t="shared" si="11"/>
        <v>0</v>
      </c>
      <c r="H370" s="291"/>
      <c r="J370" s="36"/>
      <c r="M370" s="290" t="s">
        <v>1082</v>
      </c>
      <c r="N370" s="298" t="s">
        <v>64</v>
      </c>
      <c r="O370" s="291" t="str">
        <v>Varun Beverages Ltd</v>
      </c>
      <c r="P370" s="299">
        <v>0.00498489505933837</v>
      </c>
      <c r="Q370" s="293">
        <f>P370*VLOOKUP(N370,'Selector Sheet '!$B$13:$D$43,2,FALSE)</f>
        <v>0</v>
      </c>
      <c r="R370" s="291" t="str">
        <v>Consumer Staples</v>
      </c>
      <c r="S370" s="293">
        <f>P370*VLOOKUP(N370,'Selector Sheet '!$B$13:$D$43,2,FALSE)</f>
        <v>0</v>
      </c>
      <c r="T370" s="291"/>
      <c r="X370" s="291" t="str">
        <v>INE052I01032</v>
      </c>
      <c r="Z370" s="290" t="s">
        <v>995</v>
      </c>
      <c r="AB370" t="s">
        <v>1595</v>
      </c>
      <c r="AC370" t="s">
        <v>1596</v>
      </c>
      <c r="AD370" t="s">
        <v>823</v>
      </c>
      <c r="AE370">
        <v>69.7404854850373</v>
      </c>
      <c r="AF370">
        <v>-15.7432095287665</v>
      </c>
      <c r="AG370">
        <v>-1390.459</v>
      </c>
      <c r="AH370">
        <v>-8.03</v>
      </c>
      <c r="AI370">
        <v>37875479968.6</v>
      </c>
    </row>
    <row r="371" spans="1:35">
      <c r="A371" s="294" t="s">
        <v>1005</v>
      </c>
      <c r="B371" s="127" t="s">
        <v>45</v>
      </c>
      <c r="C371" s="291" t="str">
        <v>Persistent Systems Ltd</v>
      </c>
      <c r="D371" s="295">
        <v>0.00722539966991553</v>
      </c>
      <c r="E371" s="293">
        <f t="shared" si="10"/>
        <v>0</v>
      </c>
      <c r="F371" s="291" t="str">
        <v>Information Technology</v>
      </c>
      <c r="G371" s="293">
        <f t="shared" si="11"/>
        <v>0</v>
      </c>
      <c r="H371" s="291"/>
      <c r="J371" s="36"/>
      <c r="M371" s="294" t="s">
        <v>1085</v>
      </c>
      <c r="N371" s="300" t="s">
        <v>64</v>
      </c>
      <c r="O371" s="291" t="str">
        <v>Vishal Mega Mart Ltd</v>
      </c>
      <c r="P371" s="301">
        <v>0.00742548814809836</v>
      </c>
      <c r="Q371" s="293">
        <f>P371*VLOOKUP(N371,'Selector Sheet '!$B$13:$D$43,2,FALSE)</f>
        <v>0</v>
      </c>
      <c r="R371" s="291" t="str">
        <v>Consumer Discretionary</v>
      </c>
      <c r="S371" s="293">
        <f>P371*VLOOKUP(N371,'Selector Sheet '!$B$13:$D$43,2,FALSE)</f>
        <v>0</v>
      </c>
      <c r="T371" s="291"/>
      <c r="X371" s="291" t="str">
        <v>INE0BY001018</v>
      </c>
      <c r="Z371" s="294" t="s">
        <v>1005</v>
      </c>
      <c r="AB371" t="s">
        <v>1597</v>
      </c>
      <c r="AC371" t="s">
        <v>1598</v>
      </c>
      <c r="AD371" t="s">
        <v>823</v>
      </c>
      <c r="AE371">
        <v>43.7916913521672</v>
      </c>
      <c r="AF371">
        <v>8.86812977685445</v>
      </c>
      <c r="AG371">
        <v>2511.7</v>
      </c>
      <c r="AH371">
        <v>15.89</v>
      </c>
      <c r="AI371">
        <v>110835780573.15</v>
      </c>
    </row>
    <row r="372" spans="1:35">
      <c r="A372" s="290" t="s">
        <v>1309</v>
      </c>
      <c r="B372" s="127" t="s">
        <v>45</v>
      </c>
      <c r="C372" s="291" t="str">
        <v>Poonawalla Fincorp Ltd</v>
      </c>
      <c r="D372" s="292">
        <v>0.00673664205709365</v>
      </c>
      <c r="E372" s="293">
        <f t="shared" si="10"/>
        <v>0</v>
      </c>
      <c r="F372" s="291" t="str">
        <v>Financials</v>
      </c>
      <c r="G372" s="293">
        <f t="shared" si="11"/>
        <v>0</v>
      </c>
      <c r="H372" s="291"/>
      <c r="J372" s="36"/>
      <c r="M372" s="290" t="s">
        <v>1599</v>
      </c>
      <c r="N372" s="298" t="s">
        <v>64</v>
      </c>
      <c r="O372" s="291" t="str">
        <v>Yatra Online Ltd</v>
      </c>
      <c r="P372" s="299">
        <v>0.000191606720037445</v>
      </c>
      <c r="Q372" s="293">
        <f>P372*VLOOKUP(N372,'Selector Sheet '!$B$13:$D$43,2,FALSE)</f>
        <v>0</v>
      </c>
      <c r="R372" s="291" t="str">
        <v>Consumer Discretionary</v>
      </c>
      <c r="S372" s="293">
        <f>P372*VLOOKUP(N372,'Selector Sheet '!$B$13:$D$43,2,FALSE)</f>
        <v>0</v>
      </c>
      <c r="T372" s="291"/>
      <c r="X372" s="291" t="str">
        <v>INE945H01013</v>
      </c>
      <c r="Z372" s="290" t="s">
        <v>1309</v>
      </c>
      <c r="AB372" t="s">
        <v>1600</v>
      </c>
      <c r="AC372" t="s">
        <v>1601</v>
      </c>
      <c r="AD372" t="s">
        <v>838</v>
      </c>
      <c r="AE372">
        <v>85.017613696319</v>
      </c>
      <c r="AF372">
        <v>23.1878979784018</v>
      </c>
      <c r="AG372">
        <v>720</v>
      </c>
      <c r="AH372">
        <v>20.815686</v>
      </c>
      <c r="AI372">
        <v>61212756767.7</v>
      </c>
    </row>
    <row r="373" spans="1:35">
      <c r="A373" s="294" t="s">
        <v>1020</v>
      </c>
      <c r="B373" s="127" t="s">
        <v>45</v>
      </c>
      <c r="C373" s="291" t="str">
        <v>Power Finance Corp Ltd</v>
      </c>
      <c r="D373" s="295">
        <v>0.00924475916286848</v>
      </c>
      <c r="E373" s="293">
        <f t="shared" si="10"/>
        <v>0</v>
      </c>
      <c r="F373" s="291" t="str">
        <v>Financials</v>
      </c>
      <c r="G373" s="293">
        <f t="shared" si="11"/>
        <v>0</v>
      </c>
      <c r="H373" s="291"/>
      <c r="J373" s="36"/>
      <c r="M373" s="294"/>
      <c r="N373" s="300"/>
      <c r="O373" s="291" t="str">
        <v>#N/A Invalid Security</v>
      </c>
      <c r="P373" s="295"/>
      <c r="Q373" s="293" t="e">
        <f>P373*VLOOKUP(N373,'Selector Sheet '!$B$13:$D$43,2,FALSE)</f>
        <v>#N/A</v>
      </c>
      <c r="R373" s="291" t="str">
        <v>#N/A Invalid Security</v>
      </c>
      <c r="S373" s="293" t="e">
        <f>P373*VLOOKUP(N373,'Selector Sheet '!$B$13:$D$43,2,FALSE)</f>
        <v>#N/A</v>
      </c>
      <c r="T373" s="291"/>
      <c r="X373" s="291" t="str">
        <v>INE0KCE01017</v>
      </c>
      <c r="Z373" s="294" t="s">
        <v>1020</v>
      </c>
      <c r="AB373" t="s">
        <v>1602</v>
      </c>
      <c r="AC373" t="s">
        <v>1603</v>
      </c>
      <c r="AD373" t="s">
        <v>838</v>
      </c>
      <c r="AE373">
        <v>65.9875467728985</v>
      </c>
      <c r="AF373">
        <v>3.80806337157953</v>
      </c>
      <c r="AG373">
        <v>1644.004</v>
      </c>
      <c r="AH373">
        <v>8.497058</v>
      </c>
      <c r="AI373">
        <v>108441449543.7</v>
      </c>
    </row>
    <row r="374" spans="1:35">
      <c r="A374" s="290" t="s">
        <v>1034</v>
      </c>
      <c r="B374" s="127" t="s">
        <v>45</v>
      </c>
      <c r="C374" s="291" t="str">
        <v>Reliance Industries Ltd</v>
      </c>
      <c r="D374" s="292">
        <v>0.0662117756723228</v>
      </c>
      <c r="E374" s="293">
        <f t="shared" si="10"/>
        <v>0</v>
      </c>
      <c r="F374" s="291" t="str">
        <v>Energy</v>
      </c>
      <c r="G374" s="293">
        <f t="shared" si="11"/>
        <v>0</v>
      </c>
      <c r="H374" s="291"/>
      <c r="J374" s="36"/>
      <c r="M374" s="290"/>
      <c r="N374" s="298"/>
      <c r="O374" s="291" t="str">
        <v>#N/A Invalid Security</v>
      </c>
      <c r="P374" s="292"/>
      <c r="Q374" s="293" t="e">
        <f>P374*VLOOKUP(N374,'Selector Sheet '!$B$13:$D$43,2,FALSE)</f>
        <v>#N/A</v>
      </c>
      <c r="R374" s="291" t="str">
        <v>#N/A Invalid Security</v>
      </c>
      <c r="S374" s="293" t="e">
        <f>P374*VLOOKUP(N374,'Selector Sheet '!$B$13:$D$43,2,FALSE)</f>
        <v>#N/A</v>
      </c>
      <c r="T374" s="291"/>
      <c r="X374" s="291" t="str">
        <v>INE0LCL01028</v>
      </c>
      <c r="Z374" s="290" t="s">
        <v>1034</v>
      </c>
      <c r="AB374" t="s">
        <v>1604</v>
      </c>
      <c r="AC374" t="s">
        <v>1605</v>
      </c>
      <c r="AD374" t="s">
        <v>884</v>
      </c>
      <c r="AE374">
        <v>88.487525987526</v>
      </c>
      <c r="AF374">
        <v>10.9482538433395</v>
      </c>
      <c r="AG374">
        <v>634.39</v>
      </c>
      <c r="AH374">
        <v>9.62</v>
      </c>
      <c r="AI374">
        <v>56604419508.75</v>
      </c>
    </row>
    <row r="375" spans="1:35">
      <c r="A375" s="294" t="s">
        <v>1019</v>
      </c>
      <c r="B375" s="127" t="s">
        <v>45</v>
      </c>
      <c r="C375" s="291" t="str">
        <v>Samvardhana Motherson Internat</v>
      </c>
      <c r="D375" s="295">
        <v>0.00536812460886362</v>
      </c>
      <c r="E375" s="293">
        <f t="shared" si="10"/>
        <v>0</v>
      </c>
      <c r="F375" s="291" t="str">
        <v>Consumer Discretionary</v>
      </c>
      <c r="G375" s="293">
        <f t="shared" si="11"/>
        <v>0</v>
      </c>
      <c r="H375" s="291"/>
      <c r="J375" s="36"/>
      <c r="M375" s="294"/>
      <c r="N375" s="300"/>
      <c r="O375" s="291" t="str">
        <v>#N/A Invalid Security</v>
      </c>
      <c r="P375" s="295"/>
      <c r="Q375" s="293" t="e">
        <f>P375*VLOOKUP(N375,'Selector Sheet '!$B$13:$D$43,2,FALSE)</f>
        <v>#N/A</v>
      </c>
      <c r="R375" s="291" t="str">
        <v>#N/A Invalid Security</v>
      </c>
      <c r="S375" s="293" t="e">
        <f>P375*VLOOKUP(N375,'Selector Sheet '!$B$13:$D$43,2,FALSE)</f>
        <v>#N/A</v>
      </c>
      <c r="T375" s="291"/>
      <c r="X375" s="291" t="str">
        <v>INE457L01029</v>
      </c>
      <c r="Z375" s="294" t="s">
        <v>1019</v>
      </c>
      <c r="AB375" t="s">
        <v>1015</v>
      </c>
      <c r="AC375" t="s">
        <v>1606</v>
      </c>
      <c r="AD375" t="s">
        <v>884</v>
      </c>
      <c r="AE375">
        <v>51.6569596783647</v>
      </c>
      <c r="AF375">
        <v>14.8874715376258</v>
      </c>
      <c r="AG375">
        <v>2877.963</v>
      </c>
      <c r="AH375">
        <v>10.166104</v>
      </c>
      <c r="AI375">
        <v>148812101048.7</v>
      </c>
    </row>
    <row r="376" spans="1:35">
      <c r="A376" s="290" t="s">
        <v>1022</v>
      </c>
      <c r="B376" s="127" t="s">
        <v>45</v>
      </c>
      <c r="C376" s="291" t="str">
        <v>Schaeffler India Ltd</v>
      </c>
      <c r="D376" s="292">
        <v>0.00637655219678069</v>
      </c>
      <c r="E376" s="293">
        <f t="shared" si="10"/>
        <v>0</v>
      </c>
      <c r="F376" s="291" t="str">
        <v>Industrials</v>
      </c>
      <c r="G376" s="293">
        <f t="shared" si="11"/>
        <v>0</v>
      </c>
      <c r="H376" s="291"/>
      <c r="J376" s="36"/>
      <c r="M376" s="290"/>
      <c r="N376" s="298"/>
      <c r="O376" s="291" t="str">
        <v>#N/A Invalid Security</v>
      </c>
      <c r="P376" s="292"/>
      <c r="Q376" s="293" t="e">
        <f>P376*VLOOKUP(N376,'Selector Sheet '!$B$13:$D$43,2,FALSE)</f>
        <v>#N/A</v>
      </c>
      <c r="R376" s="291" t="str">
        <v>#N/A Invalid Security</v>
      </c>
      <c r="S376" s="293" t="e">
        <f>P376*VLOOKUP(N376,'Selector Sheet '!$B$13:$D$43,2,FALSE)</f>
        <v>#N/A</v>
      </c>
      <c r="T376" s="291"/>
      <c r="X376" s="291" t="str">
        <v>INE00E101023</v>
      </c>
      <c r="Z376" s="290" t="s">
        <v>1022</v>
      </c>
      <c r="AB376" t="s">
        <v>1607</v>
      </c>
      <c r="AC376" t="s">
        <v>1608</v>
      </c>
      <c r="AD376" t="s">
        <v>980</v>
      </c>
      <c r="AE376">
        <v>94.6446368819163</v>
      </c>
      <c r="AF376">
        <v>15.4404609449439</v>
      </c>
      <c r="AG376">
        <v>2008.451</v>
      </c>
      <c r="AH376">
        <v>8.02</v>
      </c>
      <c r="AI376">
        <v>190212396525.5</v>
      </c>
    </row>
    <row r="377" spans="1:35">
      <c r="A377" s="294" t="s">
        <v>1311</v>
      </c>
      <c r="B377" s="127" t="s">
        <v>45</v>
      </c>
      <c r="C377" s="291" t="str">
        <v>Shriram Finance Ltd</v>
      </c>
      <c r="D377" s="295">
        <v>0.01309078109912</v>
      </c>
      <c r="E377" s="293">
        <f t="shared" si="10"/>
        <v>0</v>
      </c>
      <c r="F377" s="291" t="str">
        <v>Financials</v>
      </c>
      <c r="G377" s="293">
        <f t="shared" si="11"/>
        <v>0</v>
      </c>
      <c r="H377" s="291"/>
      <c r="J377" s="36"/>
      <c r="M377" s="294"/>
      <c r="N377" s="300"/>
      <c r="O377" s="291" t="str">
        <v>#N/A Invalid Security</v>
      </c>
      <c r="P377" s="295"/>
      <c r="Q377" s="293" t="e">
        <f>P377*VLOOKUP(N377,'Selector Sheet '!$B$13:$D$43,2,FALSE)</f>
        <v>#N/A</v>
      </c>
      <c r="R377" s="291" t="str">
        <v>#N/A Invalid Security</v>
      </c>
      <c r="S377" s="293" t="e">
        <f>P377*VLOOKUP(N377,'Selector Sheet '!$B$13:$D$43,2,FALSE)</f>
        <v>#N/A</v>
      </c>
      <c r="T377" s="291"/>
      <c r="X377" s="291" t="str">
        <v>INE0DYJ01015</v>
      </c>
      <c r="Z377" s="294" t="s">
        <v>1311</v>
      </c>
      <c r="AB377" t="s">
        <v>1609</v>
      </c>
      <c r="AC377" t="s">
        <v>1610</v>
      </c>
      <c r="AD377" t="s">
        <v>884</v>
      </c>
      <c r="AE377">
        <v>74.6073298429319</v>
      </c>
      <c r="AF377">
        <v>10.1036349556233</v>
      </c>
      <c r="AG377">
        <v>1698.71</v>
      </c>
      <c r="AH377">
        <v>9.55</v>
      </c>
      <c r="AI377">
        <v>126937583550</v>
      </c>
    </row>
    <row r="378" spans="1:35">
      <c r="A378" s="290" t="s">
        <v>1033</v>
      </c>
      <c r="B378" s="127" t="s">
        <v>45</v>
      </c>
      <c r="C378" s="291" t="str">
        <v>Solar Industries India Ltd</v>
      </c>
      <c r="D378" s="292">
        <v>0.0158120068894441</v>
      </c>
      <c r="E378" s="293">
        <f t="shared" si="10"/>
        <v>0</v>
      </c>
      <c r="F378" s="291" t="str">
        <v>Materials</v>
      </c>
      <c r="G378" s="293">
        <f t="shared" si="11"/>
        <v>0</v>
      </c>
      <c r="H378" s="291"/>
      <c r="J378" s="36"/>
      <c r="O378" s="291"/>
      <c r="P378" s="32"/>
      <c r="Q378" s="293"/>
      <c r="R378" s="291"/>
      <c r="S378" s="293"/>
      <c r="T378" s="291"/>
      <c r="X378" s="291" t="str">
        <v>INE893J01029</v>
      </c>
      <c r="Z378" s="290" t="s">
        <v>1033</v>
      </c>
      <c r="AB378" t="s">
        <v>1611</v>
      </c>
      <c r="AC378" t="s">
        <v>1612</v>
      </c>
      <c r="AD378" t="s">
        <v>823</v>
      </c>
      <c r="AE378">
        <v>43.7815593966537</v>
      </c>
      <c r="AF378">
        <v>15.8359504000836</v>
      </c>
      <c r="AG378">
        <v>605.523</v>
      </c>
      <c r="AH378">
        <v>18.22</v>
      </c>
      <c r="AI378">
        <v>26506704697.8</v>
      </c>
    </row>
    <row r="379" spans="1:35">
      <c r="A379" s="294" t="s">
        <v>1041</v>
      </c>
      <c r="B379" s="127" t="s">
        <v>45</v>
      </c>
      <c r="C379" s="291" t="str">
        <v>State Bank of India</v>
      </c>
      <c r="D379" s="295">
        <v>0.0296157641715317</v>
      </c>
      <c r="E379" s="293">
        <f t="shared" si="10"/>
        <v>0</v>
      </c>
      <c r="F379" s="291" t="str">
        <v>Financials</v>
      </c>
      <c r="G379" s="293">
        <f t="shared" si="11"/>
        <v>0</v>
      </c>
      <c r="H379" s="291"/>
      <c r="J379" s="36"/>
      <c r="O379" s="291"/>
      <c r="P379" s="32"/>
      <c r="Q379" s="293"/>
      <c r="R379" s="291"/>
      <c r="S379" s="293"/>
      <c r="T379" s="291"/>
      <c r="X379" s="291" t="str">
        <v>INE510A01028</v>
      </c>
      <c r="Z379" s="294" t="s">
        <v>1041</v>
      </c>
      <c r="AB379" t="s">
        <v>1613</v>
      </c>
      <c r="AC379" t="s">
        <v>1614</v>
      </c>
      <c r="AD379" t="s">
        <v>813</v>
      </c>
      <c r="AE379">
        <v>18.5658920642942</v>
      </c>
      <c r="AF379">
        <v>23.5459498829416</v>
      </c>
      <c r="AG379">
        <v>5797.713</v>
      </c>
      <c r="AH379">
        <v>10.32</v>
      </c>
      <c r="AI379">
        <v>107687318666.8</v>
      </c>
    </row>
    <row r="380" spans="1:35">
      <c r="A380" s="290" t="s">
        <v>1044</v>
      </c>
      <c r="B380" s="127" t="s">
        <v>45</v>
      </c>
      <c r="C380" s="291" t="str">
        <v>Sun Pharmaceutical Industries</v>
      </c>
      <c r="D380" s="292">
        <v>0.0267256178404148</v>
      </c>
      <c r="E380" s="293">
        <f t="shared" si="10"/>
        <v>0</v>
      </c>
      <c r="F380" s="291" t="str">
        <v>Health Care</v>
      </c>
      <c r="G380" s="293">
        <f t="shared" si="11"/>
        <v>0</v>
      </c>
      <c r="H380" s="291"/>
      <c r="J380" s="36"/>
      <c r="O380" s="291"/>
      <c r="P380" s="32"/>
      <c r="Q380" s="293"/>
      <c r="R380" s="291"/>
      <c r="S380" s="293"/>
      <c r="T380" s="291"/>
      <c r="X380" s="291" t="str">
        <v>INE037Z01029</v>
      </c>
      <c r="Z380" s="290" t="s">
        <v>1044</v>
      </c>
      <c r="AB380" t="s">
        <v>1615</v>
      </c>
      <c r="AC380" t="s">
        <v>1616</v>
      </c>
      <c r="AD380" t="s">
        <v>813</v>
      </c>
      <c r="AE380">
        <v>19.16452913155</v>
      </c>
      <c r="AF380">
        <v>12.027857033574</v>
      </c>
      <c r="AG380">
        <v>514.93</v>
      </c>
      <c r="AH380">
        <v>23.74</v>
      </c>
      <c r="AI380">
        <v>10824129859</v>
      </c>
    </row>
    <row r="381" spans="1:35">
      <c r="A381" s="294" t="s">
        <v>1048</v>
      </c>
      <c r="B381" s="127" t="s">
        <v>45</v>
      </c>
      <c r="C381" s="291" t="str">
        <v>Swiggy Ltd</v>
      </c>
      <c r="D381" s="295">
        <v>0.00485561949471447</v>
      </c>
      <c r="E381" s="293">
        <f t="shared" si="10"/>
        <v>0</v>
      </c>
      <c r="F381" s="291" t="str">
        <v>Consumer Discretionary</v>
      </c>
      <c r="G381" s="293">
        <f t="shared" si="11"/>
        <v>0</v>
      </c>
      <c r="H381" s="291"/>
      <c r="J381" s="36"/>
      <c r="O381" s="291"/>
      <c r="P381" s="32"/>
      <c r="Q381" s="293"/>
      <c r="R381" s="291"/>
      <c r="S381" s="293"/>
      <c r="T381" s="291"/>
      <c r="X381" s="291" t="str">
        <v>INE864I01014</v>
      </c>
      <c r="Z381" s="294" t="s">
        <v>1048</v>
      </c>
      <c r="AB381" t="s">
        <v>1617</v>
      </c>
      <c r="AC381" t="s">
        <v>1618</v>
      </c>
      <c r="AD381" t="s">
        <v>813</v>
      </c>
      <c r="AE381">
        <v>88.5514805800974</v>
      </c>
      <c r="AF381">
        <v>7.52706995491187</v>
      </c>
      <c r="AG381">
        <v>528.87</v>
      </c>
      <c r="AH381">
        <v>17.19</v>
      </c>
      <c r="AI381">
        <v>46822249420.2</v>
      </c>
    </row>
    <row r="382" spans="1:35">
      <c r="A382" s="290" t="s">
        <v>1051</v>
      </c>
      <c r="B382" s="127" t="s">
        <v>45</v>
      </c>
      <c r="C382" s="291" t="str">
        <v>Tata Consultancy Services Ltd</v>
      </c>
      <c r="D382" s="292">
        <v>0.0168137240677842</v>
      </c>
      <c r="E382" s="293">
        <f t="shared" si="10"/>
        <v>0</v>
      </c>
      <c r="F382" s="291" t="str">
        <v>Information Technology</v>
      </c>
      <c r="G382" s="293">
        <f t="shared" si="11"/>
        <v>0</v>
      </c>
      <c r="H382" s="291"/>
      <c r="J382" s="36"/>
      <c r="O382" s="291"/>
      <c r="P382" s="32"/>
      <c r="Q382" s="293"/>
      <c r="R382" s="291"/>
      <c r="S382" s="293"/>
      <c r="T382" s="291"/>
      <c r="X382" s="291" t="str">
        <v>INE099Z01011</v>
      </c>
      <c r="Z382" s="290" t="s">
        <v>1051</v>
      </c>
      <c r="AB382" t="s">
        <v>1619</v>
      </c>
      <c r="AC382" t="s">
        <v>1620</v>
      </c>
      <c r="AD382" t="s">
        <v>823</v>
      </c>
      <c r="AE382">
        <v>67.0608108108108</v>
      </c>
      <c r="AF382">
        <v>8.10768522570858</v>
      </c>
      <c r="AG382">
        <v>1108.374</v>
      </c>
      <c r="AH382">
        <v>5.92</v>
      </c>
      <c r="AI382">
        <v>74373980000</v>
      </c>
    </row>
    <row r="383" spans="1:35">
      <c r="A383" s="294" t="s">
        <v>1056</v>
      </c>
      <c r="B383" s="127" t="s">
        <v>45</v>
      </c>
      <c r="C383" s="291" t="str">
        <v>Tata Steel Ltd</v>
      </c>
      <c r="D383" s="295">
        <v>0.0146962997708975</v>
      </c>
      <c r="E383" s="293">
        <f t="shared" si="10"/>
        <v>0</v>
      </c>
      <c r="F383" s="291" t="str">
        <v>Materials</v>
      </c>
      <c r="G383" s="293">
        <f t="shared" si="11"/>
        <v>0</v>
      </c>
      <c r="H383" s="291"/>
      <c r="J383" s="36"/>
      <c r="O383" s="291"/>
      <c r="P383" s="32"/>
      <c r="Q383" s="293"/>
      <c r="R383" s="291"/>
      <c r="S383" s="293"/>
      <c r="T383" s="291"/>
      <c r="X383" s="291" t="str">
        <v>INE497S01012</v>
      </c>
      <c r="Z383" s="294" t="s">
        <v>1056</v>
      </c>
      <c r="AB383" t="s">
        <v>1621</v>
      </c>
      <c r="AC383" t="s">
        <v>1622</v>
      </c>
      <c r="AD383" t="s">
        <v>1001</v>
      </c>
      <c r="AE383">
        <v>1124.42028708784</v>
      </c>
      <c r="AF383">
        <v>-3.65098882051711</v>
      </c>
      <c r="AG383">
        <v>-234.146</v>
      </c>
      <c r="AH383">
        <v>-5.11</v>
      </c>
      <c r="AI383">
        <v>13561633905</v>
      </c>
    </row>
    <row r="384" spans="1:35">
      <c r="A384" s="290" t="s">
        <v>1059</v>
      </c>
      <c r="B384" s="127" t="s">
        <v>45</v>
      </c>
      <c r="C384" s="291" t="str">
        <v>Tech Mahindra Ltd</v>
      </c>
      <c r="D384" s="292">
        <v>0.0118157839411332</v>
      </c>
      <c r="E384" s="293">
        <f t="shared" ref="E384:E447" si="12">_xlfn.IFNA(D384*VLOOKUP($B384,$AK$1:$AM$34,3,FALSE),0)</f>
        <v>0</v>
      </c>
      <c r="F384" s="291" t="str">
        <v>Information Technology</v>
      </c>
      <c r="G384" s="293">
        <f t="shared" ref="G384:G447" si="13">_xlfn.IFNA(D384*VLOOKUP($B384,$AK$1:$AM$34,3,FALSE),0)</f>
        <v>0</v>
      </c>
      <c r="H384" s="291"/>
      <c r="J384" s="36"/>
      <c r="O384" s="291"/>
      <c r="P384" s="32"/>
      <c r="Q384" s="293"/>
      <c r="R384" s="291"/>
      <c r="S384" s="293"/>
      <c r="T384" s="291"/>
      <c r="X384" s="291" t="str">
        <v>INE704P01025</v>
      </c>
      <c r="Z384" s="290" t="s">
        <v>1059</v>
      </c>
      <c r="AB384" t="s">
        <v>1623</v>
      </c>
      <c r="AC384" t="s">
        <v>1624</v>
      </c>
      <c r="AD384" t="s">
        <v>813</v>
      </c>
      <c r="AE384">
        <v>54.2559610679153</v>
      </c>
      <c r="AF384">
        <v>15.6356799753406</v>
      </c>
      <c r="AG384">
        <v>8273.305</v>
      </c>
      <c r="AH384">
        <v>31.45</v>
      </c>
      <c r="AI384">
        <v>448907888953</v>
      </c>
    </row>
    <row r="385" spans="1:35">
      <c r="A385" s="294" t="s">
        <v>1313</v>
      </c>
      <c r="B385" s="127" t="s">
        <v>45</v>
      </c>
      <c r="C385" s="291" t="str">
        <v>India Cements Ltd/The</v>
      </c>
      <c r="D385" s="295">
        <v>0.00144868460356568</v>
      </c>
      <c r="E385" s="293">
        <f t="shared" si="12"/>
        <v>0</v>
      </c>
      <c r="F385" s="291" t="str">
        <v>Materials</v>
      </c>
      <c r="G385" s="293">
        <f t="shared" si="13"/>
        <v>0</v>
      </c>
      <c r="H385" s="291"/>
      <c r="J385" s="36"/>
      <c r="P385" s="32"/>
      <c r="X385" s="291" t="str">
        <v>INE807F01027</v>
      </c>
      <c r="Z385" s="294" t="s">
        <v>1313</v>
      </c>
      <c r="AB385" t="s">
        <v>1625</v>
      </c>
      <c r="AC385" t="s">
        <v>1626</v>
      </c>
      <c r="AD385" t="s">
        <v>819</v>
      </c>
      <c r="AE385">
        <v>200.011357394132</v>
      </c>
      <c r="AF385">
        <v>3.21490866502968</v>
      </c>
      <c r="AG385">
        <v>218.78</v>
      </c>
      <c r="AH385">
        <v>0.88</v>
      </c>
      <c r="AI385">
        <v>44061462469.95</v>
      </c>
    </row>
    <row r="386" spans="1:35">
      <c r="A386" s="290" t="s">
        <v>1141</v>
      </c>
      <c r="B386" s="127" t="s">
        <v>45</v>
      </c>
      <c r="C386" s="291" t="str">
        <v>Torrent Pharmaceuticals Ltd</v>
      </c>
      <c r="D386" s="292">
        <v>0.00610918008493155</v>
      </c>
      <c r="E386" s="293">
        <f t="shared" si="12"/>
        <v>0</v>
      </c>
      <c r="F386" s="291" t="str">
        <v>Health Care</v>
      </c>
      <c r="G386" s="293">
        <f t="shared" si="13"/>
        <v>0</v>
      </c>
      <c r="H386" s="291"/>
      <c r="J386" s="36"/>
      <c r="P386" s="32"/>
      <c r="X386" s="291" t="str">
        <v>INE967H01025</v>
      </c>
      <c r="Z386" s="290" t="s">
        <v>1141</v>
      </c>
      <c r="AB386" t="s">
        <v>1360</v>
      </c>
      <c r="AC386" t="s">
        <v>1627</v>
      </c>
      <c r="AD386" t="s">
        <v>819</v>
      </c>
      <c r="AE386">
        <v>77.6795005202914</v>
      </c>
      <c r="AF386">
        <v>19.3890458698433</v>
      </c>
      <c r="AG386">
        <v>3845</v>
      </c>
      <c r="AH386">
        <v>9.61</v>
      </c>
      <c r="AI386">
        <v>298703714977.5</v>
      </c>
    </row>
    <row r="387" spans="1:35">
      <c r="A387" s="294" t="s">
        <v>1071</v>
      </c>
      <c r="B387" s="127" t="s">
        <v>45</v>
      </c>
      <c r="C387" s="291" t="str">
        <v>UltraTech Cement Ltd</v>
      </c>
      <c r="D387" s="295">
        <v>0.0221478615157498</v>
      </c>
      <c r="E387" s="293">
        <f t="shared" si="12"/>
        <v>0</v>
      </c>
      <c r="F387" s="291" t="str">
        <v>Materials</v>
      </c>
      <c r="G387" s="293">
        <f t="shared" si="13"/>
        <v>0</v>
      </c>
      <c r="H387" s="291"/>
      <c r="J387" s="36"/>
      <c r="P387" s="32"/>
      <c r="X387" s="291" t="str">
        <v>INE025R01021</v>
      </c>
      <c r="Z387" s="294" t="s">
        <v>1071</v>
      </c>
      <c r="AB387" t="s">
        <v>1628</v>
      </c>
      <c r="AC387" t="s">
        <v>1629</v>
      </c>
      <c r="AD387" t="s">
        <v>819</v>
      </c>
      <c r="AE387">
        <v>44.5828684659422</v>
      </c>
      <c r="AF387">
        <v>12.8497588856486</v>
      </c>
      <c r="AG387">
        <v>826.258</v>
      </c>
      <c r="AH387">
        <v>5.37</v>
      </c>
      <c r="AI387">
        <v>33253965206.5</v>
      </c>
    </row>
    <row r="388" spans="1:35">
      <c r="A388" s="290" t="s">
        <v>1076</v>
      </c>
      <c r="B388" s="127" t="s">
        <v>45</v>
      </c>
      <c r="C388" s="291" t="str">
        <v>United Spirits Ltd</v>
      </c>
      <c r="D388" s="292">
        <v>0.010717432997213</v>
      </c>
      <c r="E388" s="293">
        <f t="shared" si="12"/>
        <v>0</v>
      </c>
      <c r="F388" s="291" t="str">
        <v>Consumer Staples</v>
      </c>
      <c r="G388" s="293">
        <f t="shared" si="13"/>
        <v>0</v>
      </c>
      <c r="H388" s="291"/>
      <c r="J388" s="36"/>
      <c r="P388" s="32"/>
      <c r="X388" s="291" t="str">
        <v>INE013P01021</v>
      </c>
      <c r="Z388" s="290" t="s">
        <v>1076</v>
      </c>
      <c r="AB388" t="s">
        <v>1630</v>
      </c>
      <c r="AC388" t="s">
        <v>1631</v>
      </c>
      <c r="AD388" t="s">
        <v>819</v>
      </c>
      <c r="AE388" t="s">
        <v>824</v>
      </c>
      <c r="AF388">
        <v>-0.572662967242442</v>
      </c>
      <c r="AG388">
        <v>-179.71</v>
      </c>
      <c r="AH388">
        <v>-1.57048</v>
      </c>
      <c r="AI388">
        <v>213605041788.1</v>
      </c>
    </row>
    <row r="389" spans="1:35">
      <c r="A389" s="294" t="s">
        <v>1243</v>
      </c>
      <c r="B389" s="127" t="s">
        <v>45</v>
      </c>
      <c r="C389" s="291" t="str">
        <v>V-Guard Industries Ltd</v>
      </c>
      <c r="D389" s="295">
        <v>0.00757292926792226</v>
      </c>
      <c r="E389" s="293">
        <f t="shared" si="12"/>
        <v>0</v>
      </c>
      <c r="F389" s="291" t="str">
        <v>Industrials</v>
      </c>
      <c r="G389" s="293">
        <f t="shared" si="13"/>
        <v>0</v>
      </c>
      <c r="H389" s="291"/>
      <c r="J389" s="36"/>
      <c r="P389" s="32"/>
      <c r="X389" s="291" t="str">
        <v>INE0RB801010</v>
      </c>
      <c r="Z389" s="294" t="s">
        <v>1243</v>
      </c>
      <c r="AB389" t="s">
        <v>1632</v>
      </c>
      <c r="AC389" t="s">
        <v>1633</v>
      </c>
      <c r="AD389" t="s">
        <v>819</v>
      </c>
      <c r="AE389">
        <v>54.271822140194</v>
      </c>
      <c r="AF389">
        <v>11.8249519409399</v>
      </c>
      <c r="AG389">
        <v>585.6</v>
      </c>
      <c r="AH389">
        <v>12.715622</v>
      </c>
      <c r="AI389">
        <v>31781581078.8</v>
      </c>
    </row>
    <row r="390" spans="1:35">
      <c r="A390" s="290" t="s">
        <v>1085</v>
      </c>
      <c r="B390" s="127" t="s">
        <v>45</v>
      </c>
      <c r="C390" s="291" t="str">
        <v>Vishal Mega Mart Ltd</v>
      </c>
      <c r="D390" s="292">
        <v>0.00658579321010398</v>
      </c>
      <c r="E390" s="293">
        <f t="shared" si="12"/>
        <v>0</v>
      </c>
      <c r="F390" s="291" t="str">
        <v>Consumer Discretionary</v>
      </c>
      <c r="G390" s="293">
        <f t="shared" si="13"/>
        <v>0</v>
      </c>
      <c r="H390" s="291"/>
      <c r="J390" s="36"/>
      <c r="P390" s="32"/>
      <c r="X390" s="291" t="str">
        <v>INE993A01026</v>
      </c>
      <c r="Z390" s="290" t="s">
        <v>1085</v>
      </c>
      <c r="AB390" t="s">
        <v>1634</v>
      </c>
      <c r="AC390" t="s">
        <v>1635</v>
      </c>
      <c r="AD390" t="s">
        <v>813</v>
      </c>
      <c r="AE390">
        <v>16.6525781910397</v>
      </c>
      <c r="AF390">
        <v>10.170193882061</v>
      </c>
      <c r="AG390">
        <v>1531.7</v>
      </c>
      <c r="AH390">
        <v>23.66</v>
      </c>
      <c r="AI390">
        <v>27475664072</v>
      </c>
    </row>
    <row r="391" spans="1:35">
      <c r="A391" s="294" t="s">
        <v>810</v>
      </c>
      <c r="B391" t="s">
        <v>43</v>
      </c>
      <c r="C391" s="291" t="str">
        <v>3M India Ltd</v>
      </c>
      <c r="D391" s="295">
        <v>0</v>
      </c>
      <c r="E391" s="293">
        <f t="shared" si="12"/>
        <v>0</v>
      </c>
      <c r="F391" s="291" t="str">
        <v>Industrials</v>
      </c>
      <c r="G391" s="293">
        <f t="shared" si="13"/>
        <v>0</v>
      </c>
      <c r="H391" s="291"/>
      <c r="J391" s="36"/>
      <c r="P391" s="32"/>
      <c r="X391" s="291" t="str">
        <v>INE03EI01018</v>
      </c>
      <c r="Z391" s="294" t="s">
        <v>810</v>
      </c>
      <c r="AB391" t="s">
        <v>1636</v>
      </c>
      <c r="AC391" t="s">
        <v>1637</v>
      </c>
      <c r="AD391" t="s">
        <v>998</v>
      </c>
      <c r="AE391">
        <v>180.292705404481</v>
      </c>
      <c r="AF391">
        <v>2.36623262542526</v>
      </c>
      <c r="AG391">
        <v>408.1</v>
      </c>
      <c r="AH391">
        <v>2.534767</v>
      </c>
      <c r="AI391">
        <v>73589903395</v>
      </c>
    </row>
    <row r="392" spans="1:35">
      <c r="A392" s="290" t="s">
        <v>814</v>
      </c>
      <c r="B392" t="s">
        <v>43</v>
      </c>
      <c r="C392" s="291" t="str">
        <v>ABB India Ltd</v>
      </c>
      <c r="D392" s="292">
        <v>0.0101776044972374</v>
      </c>
      <c r="E392" s="293">
        <f t="shared" si="12"/>
        <v>0.00424066854051558</v>
      </c>
      <c r="F392" s="291" t="str">
        <v>Industrials</v>
      </c>
      <c r="G392" s="293">
        <f t="shared" si="13"/>
        <v>0.00424066854051558</v>
      </c>
      <c r="H392" s="291"/>
      <c r="J392" s="36"/>
      <c r="P392" s="32"/>
      <c r="X392" s="291" t="str">
        <v>INE759A01021</v>
      </c>
      <c r="Z392" s="290" t="s">
        <v>814</v>
      </c>
      <c r="AB392" t="s">
        <v>1638</v>
      </c>
      <c r="AC392" t="s">
        <v>1639</v>
      </c>
      <c r="AD392" t="s">
        <v>884</v>
      </c>
      <c r="AE392">
        <v>20.7291829721116</v>
      </c>
      <c r="AF392">
        <v>16.5253035881092</v>
      </c>
      <c r="AG392">
        <v>3759.3</v>
      </c>
      <c r="AH392">
        <v>121.78</v>
      </c>
      <c r="AI392">
        <v>78129346948</v>
      </c>
    </row>
    <row r="393" spans="1:35">
      <c r="A393" s="294" t="s">
        <v>1101</v>
      </c>
      <c r="B393" t="s">
        <v>43</v>
      </c>
      <c r="C393" s="291" t="str">
        <v>Asian Paints Ltd</v>
      </c>
      <c r="D393" s="295">
        <v>0.0110331009753648</v>
      </c>
      <c r="E393" s="293">
        <f t="shared" si="12"/>
        <v>0.004597125406402</v>
      </c>
      <c r="F393" s="291" t="str">
        <v>Materials</v>
      </c>
      <c r="G393" s="293">
        <f t="shared" si="13"/>
        <v>0.004597125406402</v>
      </c>
      <c r="H393" s="291"/>
      <c r="J393" s="36"/>
      <c r="P393" s="32"/>
      <c r="X393" s="291" t="str">
        <v>INE419U01012</v>
      </c>
      <c r="Z393" s="294" t="s">
        <v>1101</v>
      </c>
      <c r="AB393" t="s">
        <v>1640</v>
      </c>
      <c r="AC393" t="s">
        <v>1641</v>
      </c>
      <c r="AD393" t="s">
        <v>884</v>
      </c>
      <c r="AE393">
        <v>47.5856463633004</v>
      </c>
      <c r="AF393">
        <v>12.0897466953863</v>
      </c>
      <c r="AG393">
        <v>1846.6</v>
      </c>
      <c r="AH393">
        <v>12.26</v>
      </c>
      <c r="AI393">
        <v>88837124737.4</v>
      </c>
    </row>
    <row r="394" spans="1:35">
      <c r="A394" s="290" t="s">
        <v>840</v>
      </c>
      <c r="B394" t="s">
        <v>43</v>
      </c>
      <c r="C394" s="291" t="str">
        <v>Avenue Supermarts Ltd</v>
      </c>
      <c r="D394" s="292">
        <v>0.0204608271294958</v>
      </c>
      <c r="E394" s="293">
        <f t="shared" si="12"/>
        <v>0.00852534463728992</v>
      </c>
      <c r="F394" s="291" t="str">
        <v>Consumer Staples</v>
      </c>
      <c r="G394" s="293">
        <f t="shared" si="13"/>
        <v>0.00852534463728992</v>
      </c>
      <c r="H394" s="291"/>
      <c r="J394" s="36"/>
      <c r="P394" s="32"/>
      <c r="X394" s="291" t="str">
        <v>INE411H01032</v>
      </c>
      <c r="Z394" s="290" t="s">
        <v>840</v>
      </c>
      <c r="AB394" t="s">
        <v>1642</v>
      </c>
      <c r="AC394" t="s">
        <v>1643</v>
      </c>
      <c r="AD394" t="s">
        <v>884</v>
      </c>
      <c r="AE394">
        <v>26.468788249694</v>
      </c>
      <c r="AF394">
        <v>29.8319830385376</v>
      </c>
      <c r="AG394">
        <v>1311.82</v>
      </c>
      <c r="AH394">
        <v>11.09</v>
      </c>
      <c r="AI394">
        <v>51200889267.5</v>
      </c>
    </row>
    <row r="395" spans="1:35">
      <c r="A395" s="294" t="s">
        <v>843</v>
      </c>
      <c r="B395" t="s">
        <v>43</v>
      </c>
      <c r="C395" s="291" t="str">
        <v>Axis Bank Ltd</v>
      </c>
      <c r="D395" s="295">
        <v>0.0398891569479767</v>
      </c>
      <c r="E395" s="293">
        <f t="shared" si="12"/>
        <v>0.016620482061657</v>
      </c>
      <c r="F395" s="291" t="str">
        <v>Financials</v>
      </c>
      <c r="G395" s="293">
        <f t="shared" si="13"/>
        <v>0.016620482061657</v>
      </c>
      <c r="H395" s="291"/>
      <c r="J395" s="36"/>
      <c r="P395" s="32"/>
      <c r="X395" s="291" t="str">
        <v>INE887G01027</v>
      </c>
      <c r="Z395" s="294" t="s">
        <v>843</v>
      </c>
      <c r="AB395" t="s">
        <v>1644</v>
      </c>
      <c r="AC395" t="s">
        <v>1645</v>
      </c>
      <c r="AD395" t="s">
        <v>838</v>
      </c>
      <c r="AE395">
        <v>32.5573732138804</v>
      </c>
      <c r="AF395">
        <v>9.40332158854023</v>
      </c>
      <c r="AG395">
        <v>1585.409</v>
      </c>
      <c r="AH395">
        <v>22.183915</v>
      </c>
      <c r="AI395">
        <v>52889196010.5</v>
      </c>
    </row>
    <row r="396" spans="1:35">
      <c r="A396" s="290" t="s">
        <v>842</v>
      </c>
      <c r="B396" t="s">
        <v>43</v>
      </c>
      <c r="C396" s="291" t="str">
        <v>Bajaj Finance Ltd</v>
      </c>
      <c r="D396" s="292">
        <v>0.0310404127179913</v>
      </c>
      <c r="E396" s="293">
        <f t="shared" si="12"/>
        <v>0.012933505299163</v>
      </c>
      <c r="F396" s="291" t="str">
        <v>Financials</v>
      </c>
      <c r="G396" s="293">
        <f t="shared" si="13"/>
        <v>0.012933505299163</v>
      </c>
      <c r="H396" s="291"/>
      <c r="J396" s="36"/>
      <c r="P396" s="32"/>
      <c r="X396" s="291" t="str">
        <v>INE573A01042</v>
      </c>
      <c r="Z396" s="290" t="s">
        <v>842</v>
      </c>
      <c r="AB396" t="s">
        <v>1646</v>
      </c>
      <c r="AC396" t="s">
        <v>1647</v>
      </c>
      <c r="AD396" t="s">
        <v>838</v>
      </c>
      <c r="AE396">
        <v>17.927504826067</v>
      </c>
      <c r="AF396">
        <v>10.6037319978709</v>
      </c>
      <c r="AG396">
        <v>4950.4</v>
      </c>
      <c r="AH396">
        <v>18.07</v>
      </c>
      <c r="AI396">
        <v>88768787746.65</v>
      </c>
    </row>
    <row r="397" spans="1:35">
      <c r="A397" s="294" t="s">
        <v>1257</v>
      </c>
      <c r="B397" t="s">
        <v>43</v>
      </c>
      <c r="C397" s="291" t="str">
        <v>Bank of Baroda</v>
      </c>
      <c r="D397" s="295">
        <v>0.00377727140717785</v>
      </c>
      <c r="E397" s="293">
        <f t="shared" si="12"/>
        <v>0.0015738630863241</v>
      </c>
      <c r="F397" s="291" t="str">
        <v>Financials</v>
      </c>
      <c r="G397" s="293">
        <f t="shared" si="13"/>
        <v>0.0015738630863241</v>
      </c>
      <c r="H397" s="291"/>
      <c r="J397" s="36"/>
      <c r="P397" s="32"/>
      <c r="X397" s="291" t="str">
        <v>INE811A01020</v>
      </c>
      <c r="Z397" s="294" t="s">
        <v>1257</v>
      </c>
      <c r="AB397" t="s">
        <v>1648</v>
      </c>
      <c r="AC397" t="s">
        <v>1649</v>
      </c>
      <c r="AD397" t="s">
        <v>813</v>
      </c>
      <c r="AE397">
        <v>39.2940439279274</v>
      </c>
      <c r="AF397">
        <v>20.900628786413</v>
      </c>
      <c r="AG397">
        <v>2111.88</v>
      </c>
      <c r="AH397">
        <v>32.58</v>
      </c>
      <c r="AI397">
        <v>83102249898</v>
      </c>
    </row>
    <row r="398" spans="1:35">
      <c r="A398" s="290" t="s">
        <v>852</v>
      </c>
      <c r="B398" t="s">
        <v>43</v>
      </c>
      <c r="C398" s="291" t="str">
        <v>Bharat Forge Ltd</v>
      </c>
      <c r="D398" s="292">
        <v>0.00208251764108656</v>
      </c>
      <c r="E398" s="293">
        <f t="shared" si="12"/>
        <v>0.000867715683786067</v>
      </c>
      <c r="F398" s="291" t="str">
        <v>Consumer Discretionary</v>
      </c>
      <c r="G398" s="293">
        <f t="shared" si="13"/>
        <v>0.000867715683786067</v>
      </c>
      <c r="H398" s="291"/>
      <c r="J398" s="36"/>
      <c r="P398" s="32"/>
      <c r="X398" s="291" t="str">
        <v>INE794A01010</v>
      </c>
      <c r="Z398" s="290" t="s">
        <v>852</v>
      </c>
      <c r="AB398" t="s">
        <v>1650</v>
      </c>
      <c r="AC398" t="s">
        <v>1651</v>
      </c>
      <c r="AD398" t="s">
        <v>819</v>
      </c>
      <c r="AE398">
        <v>65.9735129587786</v>
      </c>
      <c r="AF398">
        <v>18.529444104424</v>
      </c>
      <c r="AG398">
        <v>2601.081</v>
      </c>
      <c r="AH398">
        <v>201.626371</v>
      </c>
      <c r="AI398">
        <v>170663183478</v>
      </c>
    </row>
    <row r="399" spans="1:35">
      <c r="A399" s="294" t="s">
        <v>1316</v>
      </c>
      <c r="B399" t="s">
        <v>43</v>
      </c>
      <c r="C399" s="291" t="str">
        <v>Chalet Hotels Ltd</v>
      </c>
      <c r="D399" s="295">
        <v>0.0139459457083743</v>
      </c>
      <c r="E399" s="293">
        <f t="shared" si="12"/>
        <v>0.00581081071182262</v>
      </c>
      <c r="F399" s="291" t="str">
        <v>Consumer Discretionary</v>
      </c>
      <c r="G399" s="293">
        <f t="shared" si="13"/>
        <v>0.00581081071182262</v>
      </c>
      <c r="H399" s="291"/>
      <c r="J399" s="36"/>
      <c r="P399" s="32"/>
      <c r="X399" s="291" t="str">
        <v>INE483B01026</v>
      </c>
      <c r="Z399" s="294" t="s">
        <v>1316</v>
      </c>
      <c r="AB399" t="s">
        <v>1652</v>
      </c>
      <c r="AC399" t="s">
        <v>1653</v>
      </c>
      <c r="AD399" t="s">
        <v>838</v>
      </c>
      <c r="AE399">
        <v>19.9557170775777</v>
      </c>
      <c r="AF399">
        <v>11.2674260391386</v>
      </c>
      <c r="AG399">
        <v>2460.04</v>
      </c>
      <c r="AH399">
        <v>12.42</v>
      </c>
      <c r="AI399">
        <v>49087768169</v>
      </c>
    </row>
    <row r="400" spans="1:35">
      <c r="A400" s="290" t="s">
        <v>876</v>
      </c>
      <c r="B400" t="s">
        <v>43</v>
      </c>
      <c r="C400" s="291" t="str">
        <v>Cholamandalam Investment and F</v>
      </c>
      <c r="D400" s="292">
        <v>0.00653552683884477</v>
      </c>
      <c r="E400" s="293">
        <f t="shared" si="12"/>
        <v>0.00272313618285199</v>
      </c>
      <c r="F400" s="291" t="str">
        <v>Financials</v>
      </c>
      <c r="G400" s="293">
        <f t="shared" si="13"/>
        <v>0.00272313618285199</v>
      </c>
      <c r="H400" s="291"/>
      <c r="J400" s="36"/>
      <c r="P400" s="32"/>
      <c r="X400" s="291" t="str">
        <v>IN9397D01014</v>
      </c>
      <c r="Z400" s="290" t="s">
        <v>876</v>
      </c>
      <c r="AB400" t="s">
        <v>1654</v>
      </c>
      <c r="AC400" t="s">
        <v>856</v>
      </c>
      <c r="AD400" t="s">
        <v>857</v>
      </c>
      <c r="AE400" t="s">
        <v>1333</v>
      </c>
      <c r="AF400">
        <v>33.9797616020359</v>
      </c>
      <c r="AG400">
        <v>335561</v>
      </c>
      <c r="AH400" t="s">
        <v>1333</v>
      </c>
      <c r="AI400">
        <v>11286222346497.9</v>
      </c>
    </row>
    <row r="401" spans="1:35">
      <c r="A401" s="294" t="s">
        <v>878</v>
      </c>
      <c r="B401" t="s">
        <v>43</v>
      </c>
      <c r="C401" s="291" t="str">
        <v>Cipla Ltd/India</v>
      </c>
      <c r="D401" s="295">
        <v>0.00631322745068509</v>
      </c>
      <c r="E401" s="293">
        <f t="shared" si="12"/>
        <v>0.00263051143778545</v>
      </c>
      <c r="F401" s="291" t="str">
        <v>Health Care</v>
      </c>
      <c r="G401" s="293">
        <f t="shared" si="13"/>
        <v>0.00263051143778545</v>
      </c>
      <c r="H401" s="291"/>
      <c r="J401" s="36"/>
      <c r="P401" s="32"/>
      <c r="X401" s="291" t="str">
        <v>INE220G01021</v>
      </c>
      <c r="Z401" s="294" t="s">
        <v>878</v>
      </c>
      <c r="AB401" t="s">
        <v>1655</v>
      </c>
      <c r="AC401" t="s">
        <v>1656</v>
      </c>
      <c r="AD401" t="s">
        <v>823</v>
      </c>
      <c r="AE401">
        <v>24.25049349793</v>
      </c>
      <c r="AF401">
        <v>16.1387161693805</v>
      </c>
      <c r="AG401">
        <v>25052</v>
      </c>
      <c r="AH401">
        <v>30.42</v>
      </c>
      <c r="AI401">
        <v>607694825067.6</v>
      </c>
    </row>
    <row r="402" spans="1:35">
      <c r="A402" s="290" t="s">
        <v>880</v>
      </c>
      <c r="B402" t="s">
        <v>43</v>
      </c>
      <c r="C402" s="291" t="str">
        <v>Coal India Ltd</v>
      </c>
      <c r="D402" s="292">
        <v>0.00490767708710845</v>
      </c>
      <c r="E402" s="293">
        <f t="shared" si="12"/>
        <v>0.00204486545296185</v>
      </c>
      <c r="F402" s="291" t="str">
        <v>Energy</v>
      </c>
      <c r="G402" s="293">
        <f t="shared" si="13"/>
        <v>0.00204486545296185</v>
      </c>
      <c r="H402" s="291"/>
      <c r="J402" s="36"/>
      <c r="P402" s="32"/>
      <c r="X402" s="291" t="str">
        <v>INE499A01024</v>
      </c>
      <c r="Z402" s="290" t="s">
        <v>880</v>
      </c>
      <c r="AB402" t="s">
        <v>1657</v>
      </c>
      <c r="AC402" t="s">
        <v>1658</v>
      </c>
      <c r="AD402" t="s">
        <v>823</v>
      </c>
      <c r="AE402">
        <v>33.1638703377016</v>
      </c>
      <c r="AF402">
        <v>8.93478818562157</v>
      </c>
      <c r="AG402">
        <v>6042.7</v>
      </c>
      <c r="AH402">
        <v>38.75</v>
      </c>
      <c r="AI402">
        <v>200401444589.6</v>
      </c>
    </row>
    <row r="403" spans="1:35">
      <c r="A403" s="294" t="s">
        <v>1124</v>
      </c>
      <c r="B403" t="s">
        <v>43</v>
      </c>
      <c r="C403" s="291" t="str">
        <v>Colgate-Palmolive India Ltd</v>
      </c>
      <c r="D403" s="295">
        <v>0.0030537919372055</v>
      </c>
      <c r="E403" s="293">
        <f t="shared" si="12"/>
        <v>0.00127241330716896</v>
      </c>
      <c r="F403" s="291" t="str">
        <v>Consumer Staples</v>
      </c>
      <c r="G403" s="293">
        <f t="shared" si="13"/>
        <v>0.00127241330716896</v>
      </c>
      <c r="H403" s="291"/>
      <c r="J403" s="36"/>
      <c r="P403" s="32"/>
      <c r="X403" s="291" t="str">
        <v>INE0S4R01014</v>
      </c>
      <c r="Z403" s="294" t="s">
        <v>1124</v>
      </c>
      <c r="AB403" t="s">
        <v>1659</v>
      </c>
      <c r="AC403" t="s">
        <v>1660</v>
      </c>
      <c r="AD403" t="s">
        <v>838</v>
      </c>
      <c r="AE403" t="s">
        <v>824</v>
      </c>
      <c r="AF403">
        <v>36.3041388232781</v>
      </c>
      <c r="AG403">
        <v>1529.33</v>
      </c>
      <c r="AH403" t="s">
        <v>824</v>
      </c>
      <c r="AI403">
        <v>56886810750</v>
      </c>
    </row>
    <row r="404" spans="1:35">
      <c r="A404" s="290" t="s">
        <v>903</v>
      </c>
      <c r="B404" t="s">
        <v>43</v>
      </c>
      <c r="C404" s="291" t="str">
        <v>Devyani International Ltd</v>
      </c>
      <c r="D404" s="292">
        <v>0.0048996729686996</v>
      </c>
      <c r="E404" s="293">
        <f t="shared" si="12"/>
        <v>0.00204153040362483</v>
      </c>
      <c r="F404" s="291" t="str">
        <v>Consumer Discretionary</v>
      </c>
      <c r="G404" s="293">
        <f t="shared" si="13"/>
        <v>0.00204153040362483</v>
      </c>
      <c r="H404" s="291"/>
      <c r="J404" s="36"/>
      <c r="P404" s="32"/>
      <c r="X404" s="291" t="str">
        <v>INE133A01011</v>
      </c>
      <c r="Z404" s="290" t="s">
        <v>903</v>
      </c>
      <c r="AB404" t="s">
        <v>1661</v>
      </c>
      <c r="AC404" t="s">
        <v>1662</v>
      </c>
      <c r="AD404" t="s">
        <v>823</v>
      </c>
      <c r="AE404">
        <v>36.4606096665916</v>
      </c>
      <c r="AF404">
        <v>32.2920190970264</v>
      </c>
      <c r="AG404">
        <v>4295</v>
      </c>
      <c r="AH404">
        <v>94.31</v>
      </c>
      <c r="AI404">
        <v>156594923720.4</v>
      </c>
    </row>
    <row r="405" spans="1:35">
      <c r="A405" s="294" t="s">
        <v>1112</v>
      </c>
      <c r="B405" t="s">
        <v>43</v>
      </c>
      <c r="C405" s="291" t="str">
        <v>Divi's Laboratories Ltd</v>
      </c>
      <c r="D405" s="295">
        <v>0.0119431975415576</v>
      </c>
      <c r="E405" s="293">
        <f t="shared" si="12"/>
        <v>0.00497633230898233</v>
      </c>
      <c r="F405" s="291" t="str">
        <v>Health Care</v>
      </c>
      <c r="G405" s="293">
        <f t="shared" si="13"/>
        <v>0.00497633230898233</v>
      </c>
      <c r="H405" s="291"/>
      <c r="J405" s="36"/>
      <c r="P405" s="32"/>
      <c r="X405" s="291" t="str">
        <v>INE0LRU01027</v>
      </c>
      <c r="Z405" s="294" t="s">
        <v>1112</v>
      </c>
      <c r="AB405" t="s">
        <v>1663</v>
      </c>
      <c r="AC405" t="s">
        <v>1664</v>
      </c>
      <c r="AD405" t="s">
        <v>819</v>
      </c>
      <c r="AE405">
        <v>25.2095804322345</v>
      </c>
      <c r="AF405">
        <v>14.5400990075757</v>
      </c>
      <c r="AG405">
        <v>2724.048</v>
      </c>
      <c r="AH405">
        <v>30.06</v>
      </c>
      <c r="AI405">
        <v>68682918067.2</v>
      </c>
    </row>
    <row r="406" spans="1:35">
      <c r="A406" s="290" t="s">
        <v>895</v>
      </c>
      <c r="B406" t="s">
        <v>43</v>
      </c>
      <c r="C406" s="291" t="str">
        <v>Dr Reddy's Laboratories Ltd</v>
      </c>
      <c r="D406" s="292">
        <v>0.0144027419913043</v>
      </c>
      <c r="E406" s="293">
        <f t="shared" si="12"/>
        <v>0.00600114249637679</v>
      </c>
      <c r="F406" s="291" t="str">
        <v>Health Care</v>
      </c>
      <c r="G406" s="293">
        <f t="shared" si="13"/>
        <v>0.00600114249637679</v>
      </c>
      <c r="H406" s="291"/>
      <c r="J406" s="36"/>
      <c r="P406" s="32"/>
      <c r="X406" s="291" t="str">
        <v>INE092T01019</v>
      </c>
      <c r="Z406" s="290" t="s">
        <v>895</v>
      </c>
      <c r="AB406" t="s">
        <v>1665</v>
      </c>
      <c r="AC406" t="s">
        <v>1666</v>
      </c>
      <c r="AD406" t="s">
        <v>831</v>
      </c>
      <c r="AE406">
        <v>34.2401953304515</v>
      </c>
      <c r="AF406">
        <v>4.23218394073545</v>
      </c>
      <c r="AG406">
        <v>14903.5</v>
      </c>
      <c r="AH406">
        <v>2.04</v>
      </c>
      <c r="AI406">
        <v>512377782970.35</v>
      </c>
    </row>
    <row r="407" spans="1:35">
      <c r="A407" s="294" t="s">
        <v>914</v>
      </c>
      <c r="B407" t="s">
        <v>43</v>
      </c>
      <c r="C407" s="291" t="str">
        <v>EIH Ltd</v>
      </c>
      <c r="D407" s="295">
        <v>0.00912430100685649</v>
      </c>
      <c r="E407" s="293">
        <f t="shared" si="12"/>
        <v>0.0038017920861902</v>
      </c>
      <c r="F407" s="291" t="str">
        <v>Consumer Discretionary</v>
      </c>
      <c r="G407" s="293">
        <f t="shared" si="13"/>
        <v>0.0038017920861902</v>
      </c>
      <c r="H407" s="291"/>
      <c r="J407" s="36"/>
      <c r="P407" s="32"/>
      <c r="X407" s="291" t="str">
        <v>INE385C01021</v>
      </c>
      <c r="Z407" s="294" t="s">
        <v>914</v>
      </c>
      <c r="AB407" t="s">
        <v>1667</v>
      </c>
      <c r="AC407" t="s">
        <v>1668</v>
      </c>
      <c r="AD407" t="s">
        <v>823</v>
      </c>
      <c r="AE407">
        <v>29.2119851165188</v>
      </c>
      <c r="AF407">
        <v>13.7555810426857</v>
      </c>
      <c r="AG407">
        <v>6998.2</v>
      </c>
      <c r="AH407">
        <v>19.86</v>
      </c>
      <c r="AI407">
        <v>204433993790.5</v>
      </c>
    </row>
    <row r="408" spans="1:35">
      <c r="A408" s="290" t="s">
        <v>901</v>
      </c>
      <c r="B408" t="s">
        <v>43</v>
      </c>
      <c r="C408" s="291" t="str">
        <v>Eternal Ltd</v>
      </c>
      <c r="D408" s="292">
        <v>0.0181358628171938</v>
      </c>
      <c r="E408" s="293">
        <f t="shared" si="12"/>
        <v>0.00755660950716408</v>
      </c>
      <c r="F408" s="291" t="str">
        <v>Consumer Discretionary</v>
      </c>
      <c r="G408" s="293">
        <f t="shared" si="13"/>
        <v>0.00755660950716408</v>
      </c>
      <c r="H408" s="291"/>
      <c r="J408" s="36"/>
      <c r="P408" s="32"/>
      <c r="X408" s="291" t="str">
        <v>INE700A01033</v>
      </c>
      <c r="Z408" s="290" t="s">
        <v>901</v>
      </c>
      <c r="AB408" t="s">
        <v>1669</v>
      </c>
      <c r="AC408" t="s">
        <v>1670</v>
      </c>
      <c r="AD408" t="s">
        <v>819</v>
      </c>
      <c r="AE408">
        <v>19.6414427029274</v>
      </c>
      <c r="AF408">
        <v>14.3624666347273</v>
      </c>
      <c r="AG408">
        <v>8394</v>
      </c>
      <c r="AH408">
        <v>52.99</v>
      </c>
      <c r="AI408">
        <v>165779809471.2</v>
      </c>
    </row>
    <row r="409" spans="1:35">
      <c r="A409" s="294" t="s">
        <v>909</v>
      </c>
      <c r="B409" t="s">
        <v>43</v>
      </c>
      <c r="C409" s="291" t="str">
        <v>GE Vernova T&amp;D India Ltd</v>
      </c>
      <c r="D409" s="295">
        <v>0.02963593334395</v>
      </c>
      <c r="E409" s="293">
        <f t="shared" si="12"/>
        <v>0.0123483055599792</v>
      </c>
      <c r="F409" s="291" t="str">
        <v>Industrials</v>
      </c>
      <c r="G409" s="293">
        <f t="shared" si="13"/>
        <v>0.0123483055599792</v>
      </c>
      <c r="H409" s="291"/>
      <c r="J409" s="36"/>
      <c r="P409" s="32"/>
      <c r="X409" s="291" t="str">
        <v>INE294Z01018</v>
      </c>
      <c r="Z409" s="294" t="s">
        <v>909</v>
      </c>
      <c r="AB409" t="s">
        <v>1671</v>
      </c>
      <c r="AC409" t="s">
        <v>1672</v>
      </c>
      <c r="AD409" t="s">
        <v>813</v>
      </c>
      <c r="AE409">
        <v>37.8827012460443</v>
      </c>
      <c r="AF409">
        <v>12.3764922691443</v>
      </c>
      <c r="AG409">
        <v>1183.027</v>
      </c>
      <c r="AH409">
        <v>59.25</v>
      </c>
      <c r="AI409">
        <v>44950404260.3</v>
      </c>
    </row>
    <row r="410" spans="1:35">
      <c r="A410" s="290" t="s">
        <v>1267</v>
      </c>
      <c r="B410" t="s">
        <v>43</v>
      </c>
      <c r="C410" s="291" t="str">
        <v>Gillette India Ltd</v>
      </c>
      <c r="D410" s="292">
        <v>0.00544220954916509</v>
      </c>
      <c r="E410" s="293">
        <f t="shared" si="12"/>
        <v>0.00226758731215212</v>
      </c>
      <c r="F410" s="291" t="str">
        <v>Consumer Staples</v>
      </c>
      <c r="G410" s="293">
        <f t="shared" si="13"/>
        <v>0.00226758731215212</v>
      </c>
      <c r="H410" s="291"/>
      <c r="J410" s="36"/>
      <c r="P410" s="32"/>
      <c r="X410" s="291" t="str">
        <v>INE545H01011</v>
      </c>
      <c r="Z410" s="290" t="s">
        <v>1267</v>
      </c>
      <c r="AB410" t="s">
        <v>1673</v>
      </c>
      <c r="AC410" t="s">
        <v>1674</v>
      </c>
      <c r="AD410" t="s">
        <v>813</v>
      </c>
      <c r="AE410">
        <v>23.766915954416</v>
      </c>
      <c r="AF410">
        <v>14.8631490408805</v>
      </c>
      <c r="AG410">
        <v>2561.904</v>
      </c>
      <c r="AH410">
        <v>112.32</v>
      </c>
      <c r="AI410">
        <v>60525034261</v>
      </c>
    </row>
    <row r="411" spans="1:35">
      <c r="A411" s="294" t="s">
        <v>1170</v>
      </c>
      <c r="B411" t="s">
        <v>43</v>
      </c>
      <c r="C411" s="291" t="str">
        <v>Gland Pharma Ltd</v>
      </c>
      <c r="D411" s="295">
        <v>0.00316041992705267</v>
      </c>
      <c r="E411" s="293">
        <f t="shared" si="12"/>
        <v>0.00131684163627195</v>
      </c>
      <c r="F411" s="291" t="str">
        <v>Health Care</v>
      </c>
      <c r="G411" s="293">
        <f t="shared" si="13"/>
        <v>0.00131684163627195</v>
      </c>
      <c r="H411" s="291"/>
      <c r="J411" s="36"/>
      <c r="P411" s="32"/>
      <c r="X411" s="291" t="str">
        <v>INE482D01024</v>
      </c>
      <c r="Z411" s="294" t="s">
        <v>1170</v>
      </c>
      <c r="AB411" t="s">
        <v>1675</v>
      </c>
      <c r="AC411" t="s">
        <v>1676</v>
      </c>
      <c r="AD411" t="s">
        <v>813</v>
      </c>
      <c r="AE411">
        <v>37.6281689453306</v>
      </c>
      <c r="AF411">
        <v>14.4781012472201</v>
      </c>
      <c r="AG411">
        <v>637.4</v>
      </c>
      <c r="AH411">
        <v>22.431333</v>
      </c>
      <c r="AI411">
        <v>24006981594.3</v>
      </c>
    </row>
    <row r="412" spans="1:35">
      <c r="A412" s="290" t="s">
        <v>1303</v>
      </c>
      <c r="B412" t="s">
        <v>43</v>
      </c>
      <c r="C412" s="291" t="str">
        <v>Godrej Consumer Products Ltd</v>
      </c>
      <c r="D412" s="292">
        <v>0.00427603327160419</v>
      </c>
      <c r="E412" s="293">
        <f t="shared" si="12"/>
        <v>0.00178168052983508</v>
      </c>
      <c r="F412" s="291" t="str">
        <v>Consumer Staples</v>
      </c>
      <c r="G412" s="293">
        <f t="shared" si="13"/>
        <v>0.00178168052983508</v>
      </c>
      <c r="H412" s="291"/>
      <c r="J412" s="36"/>
      <c r="P412" s="32"/>
      <c r="X412" s="291" t="str">
        <v>INE221B01012</v>
      </c>
      <c r="Z412" s="290" t="s">
        <v>1303</v>
      </c>
      <c r="AB412" t="s">
        <v>1677</v>
      </c>
      <c r="AC412" t="s">
        <v>1678</v>
      </c>
      <c r="AD412" t="s">
        <v>838</v>
      </c>
      <c r="AE412">
        <v>105.347846663512</v>
      </c>
      <c r="AF412">
        <v>6.21408564580867</v>
      </c>
      <c r="AG412">
        <v>430.4</v>
      </c>
      <c r="AH412">
        <v>63.39</v>
      </c>
      <c r="AI412">
        <v>45353256354</v>
      </c>
    </row>
    <row r="413" spans="1:35">
      <c r="A413" s="294" t="s">
        <v>1134</v>
      </c>
      <c r="B413" t="s">
        <v>43</v>
      </c>
      <c r="C413" s="291" t="str">
        <v>Grasim Industries Ltd</v>
      </c>
      <c r="D413" s="295">
        <v>0.00250399164758707</v>
      </c>
      <c r="E413" s="293">
        <f t="shared" si="12"/>
        <v>0.00104332985316128</v>
      </c>
      <c r="F413" s="291" t="str">
        <v>Materials</v>
      </c>
      <c r="G413" s="293">
        <f t="shared" si="13"/>
        <v>0.00104332985316128</v>
      </c>
      <c r="H413" s="291"/>
      <c r="J413" s="36"/>
      <c r="P413" s="32"/>
      <c r="X413" s="291" t="str">
        <v>INE570A01022</v>
      </c>
      <c r="Z413" s="294" t="s">
        <v>1134</v>
      </c>
      <c r="AB413" t="s">
        <v>1679</v>
      </c>
      <c r="AC413" t="s">
        <v>1680</v>
      </c>
      <c r="AD413" t="s">
        <v>813</v>
      </c>
      <c r="AE413">
        <v>30.5211341261439</v>
      </c>
      <c r="AF413">
        <v>18.6729483108152</v>
      </c>
      <c r="AG413">
        <v>2078.1</v>
      </c>
      <c r="AH413">
        <v>14.168871</v>
      </c>
      <c r="AI413">
        <v>63425966845.5</v>
      </c>
    </row>
    <row r="414" spans="1:35">
      <c r="A414" s="290" t="s">
        <v>1136</v>
      </c>
      <c r="B414" t="s">
        <v>43</v>
      </c>
      <c r="C414" s="291" t="str">
        <v>Havells India Ltd</v>
      </c>
      <c r="D414" s="292">
        <v>0.00679352663293158</v>
      </c>
      <c r="E414" s="293">
        <f t="shared" si="12"/>
        <v>0.00283063609705482</v>
      </c>
      <c r="F414" s="291" t="str">
        <v>Industrials</v>
      </c>
      <c r="G414" s="293">
        <f t="shared" si="13"/>
        <v>0.00283063609705482</v>
      </c>
      <c r="H414" s="291"/>
      <c r="J414" s="36"/>
      <c r="P414" s="32"/>
      <c r="X414" s="291" t="str">
        <v>INE489L01022</v>
      </c>
      <c r="Z414" s="290" t="s">
        <v>1136</v>
      </c>
      <c r="AB414" t="s">
        <v>1681</v>
      </c>
      <c r="AC414" t="s">
        <v>1682</v>
      </c>
      <c r="AD414" t="s">
        <v>831</v>
      </c>
      <c r="AE414">
        <v>14.0936686903729</v>
      </c>
      <c r="AF414">
        <v>33.1810539867276</v>
      </c>
      <c r="AG414">
        <v>7123.382</v>
      </c>
      <c r="AH414">
        <v>23.06</v>
      </c>
      <c r="AI414">
        <v>100793946175</v>
      </c>
    </row>
    <row r="415" spans="1:35">
      <c r="A415" s="294" t="s">
        <v>919</v>
      </c>
      <c r="B415" t="s">
        <v>43</v>
      </c>
      <c r="C415" s="291" t="str">
        <v>HCL Technologies Ltd</v>
      </c>
      <c r="D415" s="295">
        <v>0.0119683669277621</v>
      </c>
      <c r="E415" s="293">
        <f t="shared" si="12"/>
        <v>0.00498681955323421</v>
      </c>
      <c r="F415" s="291" t="str">
        <v>Information Technology</v>
      </c>
      <c r="G415" s="293">
        <f t="shared" si="13"/>
        <v>0.00498681955323421</v>
      </c>
      <c r="H415" s="291"/>
      <c r="J415" s="36"/>
      <c r="P415" s="32"/>
      <c r="X415" s="291" t="str">
        <v>INE476A01022</v>
      </c>
      <c r="Z415" s="294" t="s">
        <v>919</v>
      </c>
      <c r="AB415" t="s">
        <v>1285</v>
      </c>
      <c r="AC415" t="s">
        <v>1683</v>
      </c>
      <c r="AD415" t="s">
        <v>831</v>
      </c>
      <c r="AE415">
        <v>5.4298480104689</v>
      </c>
      <c r="AF415">
        <v>16.1289576503889</v>
      </c>
      <c r="AG415">
        <v>175396.241</v>
      </c>
      <c r="AH415">
        <v>19.34</v>
      </c>
      <c r="AI415">
        <v>997862345112.6</v>
      </c>
    </row>
    <row r="416" spans="1:35">
      <c r="A416" s="290" t="s">
        <v>922</v>
      </c>
      <c r="B416" t="s">
        <v>43</v>
      </c>
      <c r="C416" s="291" t="str">
        <v>HDB Financial Services Ltd</v>
      </c>
      <c r="D416" s="292">
        <v>0.00541933384668004</v>
      </c>
      <c r="E416" s="293">
        <f t="shared" si="12"/>
        <v>0.00225805576945002</v>
      </c>
      <c r="F416" s="291" t="str">
        <v>Financials</v>
      </c>
      <c r="G416" s="293">
        <f t="shared" si="13"/>
        <v>0.00225805576945002</v>
      </c>
      <c r="H416" s="291"/>
      <c r="J416" s="36"/>
      <c r="P416" s="32"/>
      <c r="X416" s="291" t="str">
        <v>INE926X01010</v>
      </c>
      <c r="Z416" s="290" t="s">
        <v>922</v>
      </c>
      <c r="AB416" t="s">
        <v>1684</v>
      </c>
      <c r="AC416" t="s">
        <v>1685</v>
      </c>
      <c r="AD416" t="s">
        <v>813</v>
      </c>
      <c r="AE416">
        <v>12.50805931657</v>
      </c>
      <c r="AF416">
        <v>18.7046968044086</v>
      </c>
      <c r="AG416">
        <v>5054.66</v>
      </c>
      <c r="AH416">
        <v>77.55</v>
      </c>
      <c r="AI416">
        <v>63215977670</v>
      </c>
    </row>
    <row r="417" spans="1:35">
      <c r="A417" s="294" t="s">
        <v>926</v>
      </c>
      <c r="B417" t="s">
        <v>43</v>
      </c>
      <c r="C417" s="291" t="str">
        <v>HDFC Asset Management Co Ltd</v>
      </c>
      <c r="D417" s="295">
        <v>0.00754668360785014</v>
      </c>
      <c r="E417" s="293">
        <f t="shared" si="12"/>
        <v>0.00314445150327089</v>
      </c>
      <c r="F417" s="291" t="str">
        <v>Financials</v>
      </c>
      <c r="G417" s="293">
        <f t="shared" si="13"/>
        <v>0.00314445150327089</v>
      </c>
      <c r="H417" s="291"/>
      <c r="J417" s="36"/>
      <c r="P417" s="32"/>
      <c r="X417" s="291" t="str">
        <v>INE786A01032</v>
      </c>
      <c r="Z417" s="294" t="s">
        <v>926</v>
      </c>
      <c r="AB417" t="s">
        <v>1686</v>
      </c>
      <c r="AC417" t="s">
        <v>1687</v>
      </c>
      <c r="AD417" t="s">
        <v>823</v>
      </c>
      <c r="AE417">
        <v>36.2760519071962</v>
      </c>
      <c r="AF417">
        <v>8.98933445881503</v>
      </c>
      <c r="AG417">
        <v>2992.5</v>
      </c>
      <c r="AH417">
        <v>25.43</v>
      </c>
      <c r="AI417">
        <v>108550635885</v>
      </c>
    </row>
    <row r="418" spans="1:35">
      <c r="A418" s="290" t="s">
        <v>924</v>
      </c>
      <c r="B418" t="s">
        <v>43</v>
      </c>
      <c r="C418" s="291" t="str">
        <v>HDFC Bank Ltd</v>
      </c>
      <c r="D418" s="292">
        <v>0.089293738922563</v>
      </c>
      <c r="E418" s="293">
        <f t="shared" si="12"/>
        <v>0.0372057245510679</v>
      </c>
      <c r="F418" s="291" t="str">
        <v>Financials</v>
      </c>
      <c r="G418" s="293">
        <f t="shared" si="13"/>
        <v>0.0372057245510679</v>
      </c>
      <c r="H418" s="291"/>
      <c r="J418" s="36"/>
      <c r="P418" s="32"/>
      <c r="X418" s="291" t="str">
        <v>INE049A01027</v>
      </c>
      <c r="Z418" s="290" t="s">
        <v>924</v>
      </c>
      <c r="AB418" t="s">
        <v>1688</v>
      </c>
      <c r="AC418" t="s">
        <v>1689</v>
      </c>
      <c r="AD418" t="s">
        <v>838</v>
      </c>
      <c r="AE418">
        <v>18.3670518026187</v>
      </c>
      <c r="AF418">
        <v>4.23424197483732</v>
      </c>
      <c r="AG418">
        <v>760.403</v>
      </c>
      <c r="AH418">
        <v>6.92</v>
      </c>
      <c r="AI418">
        <v>15981844931.9</v>
      </c>
    </row>
    <row r="419" spans="1:35">
      <c r="A419" s="294" t="s">
        <v>927</v>
      </c>
      <c r="B419" t="s">
        <v>43</v>
      </c>
      <c r="C419" s="291" t="str">
        <v>HDFC Life Insurance Co Ltd</v>
      </c>
      <c r="D419" s="295">
        <v>0.00940851853419822</v>
      </c>
      <c r="E419" s="293">
        <f t="shared" si="12"/>
        <v>0.00392021605591592</v>
      </c>
      <c r="F419" s="291" t="str">
        <v>Financials</v>
      </c>
      <c r="G419" s="293">
        <f t="shared" si="13"/>
        <v>0.00392021605591592</v>
      </c>
      <c r="H419" s="291"/>
      <c r="J419" s="36"/>
      <c r="P419" s="32"/>
      <c r="X419" s="291" t="str">
        <v>INE065X01017</v>
      </c>
      <c r="Z419" s="294" t="s">
        <v>927</v>
      </c>
      <c r="AB419" t="s">
        <v>1690</v>
      </c>
      <c r="AC419" t="s">
        <v>1691</v>
      </c>
      <c r="AD419" t="s">
        <v>819</v>
      </c>
      <c r="AE419">
        <v>34.1749256901421</v>
      </c>
      <c r="AF419">
        <v>20.1102677578065</v>
      </c>
      <c r="AG419">
        <v>4067</v>
      </c>
      <c r="AH419">
        <v>17.15</v>
      </c>
      <c r="AI419">
        <v>140704828312.1</v>
      </c>
    </row>
    <row r="420" spans="1:35">
      <c r="A420" s="290" t="s">
        <v>931</v>
      </c>
      <c r="B420" t="s">
        <v>43</v>
      </c>
      <c r="C420" s="291" t="str">
        <v>Hindalco Industries Ltd</v>
      </c>
      <c r="D420" s="292">
        <v>0.0038679975798863</v>
      </c>
      <c r="E420" s="293">
        <f t="shared" si="12"/>
        <v>0.00161166565828596</v>
      </c>
      <c r="F420" s="291" t="str">
        <v>Materials</v>
      </c>
      <c r="G420" s="293">
        <f t="shared" si="13"/>
        <v>0.00161166565828596</v>
      </c>
      <c r="H420" s="291"/>
      <c r="J420" s="36"/>
      <c r="P420" s="32"/>
      <c r="X420" s="291" t="str">
        <v>INE979A01025</v>
      </c>
      <c r="Z420" s="290" t="s">
        <v>931</v>
      </c>
      <c r="AB420" t="s">
        <v>1692</v>
      </c>
      <c r="AC420" t="s">
        <v>1693</v>
      </c>
      <c r="AD420" t="s">
        <v>857</v>
      </c>
      <c r="AE420">
        <v>45.4048975712835</v>
      </c>
      <c r="AF420">
        <v>13.3831167454823</v>
      </c>
      <c r="AG420">
        <v>2042.6</v>
      </c>
      <c r="AH420">
        <v>10.62</v>
      </c>
      <c r="AI420">
        <v>92972736078</v>
      </c>
    </row>
    <row r="421" spans="1:35">
      <c r="A421" s="294" t="s">
        <v>934</v>
      </c>
      <c r="B421" t="s">
        <v>43</v>
      </c>
      <c r="C421" s="291" t="str">
        <v>Hindustan Unilever Ltd</v>
      </c>
      <c r="D421" s="295">
        <v>0.026463761967239</v>
      </c>
      <c r="E421" s="293">
        <f t="shared" si="12"/>
        <v>0.0110265674863496</v>
      </c>
      <c r="F421" s="291" t="str">
        <v>Consumer Staples</v>
      </c>
      <c r="G421" s="293">
        <f t="shared" si="13"/>
        <v>0.0110265674863496</v>
      </c>
      <c r="H421" s="291"/>
      <c r="J421" s="36"/>
      <c r="P421" s="32"/>
      <c r="X421" s="291" t="str">
        <v>INE076B01028</v>
      </c>
      <c r="Z421" s="294" t="s">
        <v>934</v>
      </c>
      <c r="AB421" t="s">
        <v>1694</v>
      </c>
      <c r="AC421" t="s">
        <v>1695</v>
      </c>
      <c r="AD421" t="s">
        <v>838</v>
      </c>
      <c r="AE421">
        <v>13.5304953835227</v>
      </c>
      <c r="AF421">
        <v>16.2896681080809</v>
      </c>
      <c r="AG421">
        <v>1971.169</v>
      </c>
      <c r="AH421">
        <v>43.45</v>
      </c>
      <c r="AI421">
        <v>26673074735.2</v>
      </c>
    </row>
    <row r="422" spans="1:35">
      <c r="A422" s="290" t="s">
        <v>1179</v>
      </c>
      <c r="B422" t="s">
        <v>43</v>
      </c>
      <c r="C422" s="291" t="str">
        <v>Honeywell Automation India Ltd</v>
      </c>
      <c r="D422" s="292">
        <v>0.00351534767045948</v>
      </c>
      <c r="E422" s="293">
        <f t="shared" si="12"/>
        <v>0.00146472819602478</v>
      </c>
      <c r="F422" s="291" t="str">
        <v>Information Technology</v>
      </c>
      <c r="G422" s="293">
        <f t="shared" si="13"/>
        <v>0.00146472819602478</v>
      </c>
      <c r="H422" s="291"/>
      <c r="J422" s="36"/>
      <c r="P422" s="32"/>
      <c r="X422" s="291" t="str">
        <v>INE843D01027</v>
      </c>
      <c r="Z422" s="290" t="s">
        <v>1179</v>
      </c>
      <c r="AB422" t="s">
        <v>1696</v>
      </c>
      <c r="AC422" t="s">
        <v>1697</v>
      </c>
      <c r="AD422" t="s">
        <v>980</v>
      </c>
      <c r="AE422">
        <v>14.0222984562607</v>
      </c>
      <c r="AF422">
        <v>11.8381250384261</v>
      </c>
      <c r="AG422">
        <v>1014.723</v>
      </c>
      <c r="AH422">
        <v>11.66</v>
      </c>
      <c r="AI422">
        <v>14223222247.5</v>
      </c>
    </row>
    <row r="423" spans="1:35">
      <c r="A423" s="294" t="s">
        <v>1273</v>
      </c>
      <c r="B423" t="s">
        <v>43</v>
      </c>
      <c r="C423" s="291" t="str">
        <v>Hyundai Motor India Ltd</v>
      </c>
      <c r="D423" s="295">
        <v>0.00865256747664415</v>
      </c>
      <c r="E423" s="293">
        <f t="shared" si="12"/>
        <v>0.00360523644860173</v>
      </c>
      <c r="F423" s="291" t="str">
        <v>Consumer Discretionary</v>
      </c>
      <c r="G423" s="293">
        <f t="shared" si="13"/>
        <v>0.00360523644860173</v>
      </c>
      <c r="H423" s="291"/>
      <c r="J423" s="36"/>
      <c r="P423" s="32"/>
      <c r="X423" s="291" t="str">
        <v>INE551W01018</v>
      </c>
      <c r="Z423" s="294" t="s">
        <v>1273</v>
      </c>
      <c r="AB423" t="s">
        <v>1698</v>
      </c>
      <c r="AC423" t="s">
        <v>1699</v>
      </c>
      <c r="AD423" t="s">
        <v>831</v>
      </c>
      <c r="AE423">
        <v>15.4615381261805</v>
      </c>
      <c r="AF423">
        <v>8.71788546909811</v>
      </c>
      <c r="AG423">
        <v>7261.031</v>
      </c>
      <c r="AH423">
        <v>3.75</v>
      </c>
      <c r="AI423">
        <v>81703240724.7</v>
      </c>
    </row>
    <row r="424" spans="1:35">
      <c r="A424" s="290" t="s">
        <v>936</v>
      </c>
      <c r="B424" t="s">
        <v>43</v>
      </c>
      <c r="C424" s="291" t="str">
        <v>ICICI Bank Ltd</v>
      </c>
      <c r="D424" s="292">
        <v>0.0553452522431287</v>
      </c>
      <c r="E424" s="293">
        <f t="shared" si="12"/>
        <v>0.0230605217679703</v>
      </c>
      <c r="F424" s="291" t="str">
        <v>Financials</v>
      </c>
      <c r="G424" s="293">
        <f t="shared" si="13"/>
        <v>0.0230605217679703</v>
      </c>
      <c r="H424" s="291"/>
      <c r="J424" s="36"/>
      <c r="P424" s="32"/>
      <c r="X424" s="291" t="str">
        <v>INE895B01021</v>
      </c>
      <c r="Z424" s="290" t="s">
        <v>936</v>
      </c>
      <c r="AB424" t="s">
        <v>1700</v>
      </c>
      <c r="AC424" t="s">
        <v>1701</v>
      </c>
      <c r="AD424" t="s">
        <v>838</v>
      </c>
      <c r="AE424">
        <v>18.8548236544517</v>
      </c>
      <c r="AF424">
        <v>8.43228413317287</v>
      </c>
      <c r="AG424">
        <v>832.921</v>
      </c>
      <c r="AH424">
        <v>10.47</v>
      </c>
      <c r="AI424">
        <v>15698943389.6</v>
      </c>
    </row>
    <row r="425" spans="1:35">
      <c r="A425" s="294" t="s">
        <v>1117</v>
      </c>
      <c r="B425" t="s">
        <v>43</v>
      </c>
      <c r="C425" s="291" t="str">
        <v>ICICI Lombard General Insuranc</v>
      </c>
      <c r="D425" s="295">
        <v>0.00747570847471183</v>
      </c>
      <c r="E425" s="293">
        <f t="shared" si="12"/>
        <v>0.00311487853112993</v>
      </c>
      <c r="F425" s="291" t="str">
        <v>Financials</v>
      </c>
      <c r="G425" s="293">
        <f t="shared" si="13"/>
        <v>0.00311487853112993</v>
      </c>
      <c r="H425" s="291"/>
      <c r="J425" s="36"/>
      <c r="P425" s="32"/>
      <c r="X425" s="291" t="str">
        <v>INE901L01018</v>
      </c>
      <c r="Z425" s="294" t="s">
        <v>1117</v>
      </c>
      <c r="AB425" t="s">
        <v>1702</v>
      </c>
      <c r="AC425" t="s">
        <v>1703</v>
      </c>
      <c r="AD425" t="s">
        <v>819</v>
      </c>
      <c r="AE425">
        <v>32.6128710312342</v>
      </c>
      <c r="AF425">
        <v>11.6577448212334</v>
      </c>
      <c r="AG425">
        <v>5834.2</v>
      </c>
      <c r="AH425">
        <v>29.68</v>
      </c>
      <c r="AI425">
        <v>190263275875.8</v>
      </c>
    </row>
    <row r="426" spans="1:35">
      <c r="A426" s="290" t="s">
        <v>1155</v>
      </c>
      <c r="B426" t="s">
        <v>43</v>
      </c>
      <c r="C426" s="291" t="str">
        <v>IndusInd Bank Ltd</v>
      </c>
      <c r="D426" s="292">
        <v>0</v>
      </c>
      <c r="E426" s="293">
        <f t="shared" si="12"/>
        <v>0</v>
      </c>
      <c r="F426" s="291" t="str">
        <v>Financials</v>
      </c>
      <c r="G426" s="293">
        <f t="shared" si="13"/>
        <v>0</v>
      </c>
      <c r="H426" s="291"/>
      <c r="J426" s="36"/>
      <c r="P426" s="32"/>
      <c r="X426" s="291" t="str">
        <v>INE987B01026</v>
      </c>
      <c r="Z426" s="290" t="s">
        <v>1155</v>
      </c>
      <c r="AB426" t="s">
        <v>1704</v>
      </c>
      <c r="AC426" t="s">
        <v>1705</v>
      </c>
      <c r="AD426" t="s">
        <v>819</v>
      </c>
      <c r="AE426">
        <v>8.38985372296437</v>
      </c>
      <c r="AF426">
        <v>28.01465070839</v>
      </c>
      <c r="AG426">
        <v>18854</v>
      </c>
      <c r="AH426">
        <v>105.329609</v>
      </c>
      <c r="AI426">
        <v>158279392119</v>
      </c>
    </row>
    <row r="427" spans="1:35">
      <c r="A427" s="294" t="s">
        <v>955</v>
      </c>
      <c r="B427" t="s">
        <v>43</v>
      </c>
      <c r="C427" s="291" t="str">
        <v>Infosys Ltd</v>
      </c>
      <c r="D427" s="295">
        <v>0.023235593461145</v>
      </c>
      <c r="E427" s="293">
        <f t="shared" si="12"/>
        <v>0.00968149727547708</v>
      </c>
      <c r="F427" s="291" t="str">
        <v>Information Technology</v>
      </c>
      <c r="G427" s="293">
        <f t="shared" si="13"/>
        <v>0.00968149727547708</v>
      </c>
      <c r="H427" s="291"/>
      <c r="J427" s="36"/>
      <c r="P427" s="32"/>
      <c r="X427" s="291" t="str">
        <v>INE119A01028</v>
      </c>
      <c r="Z427" s="294" t="s">
        <v>955</v>
      </c>
      <c r="AB427" t="s">
        <v>1706</v>
      </c>
      <c r="AC427" t="s">
        <v>1707</v>
      </c>
      <c r="AD427" t="s">
        <v>980</v>
      </c>
      <c r="AE427">
        <v>25.5796761105297</v>
      </c>
      <c r="AF427">
        <v>12.1426579975241</v>
      </c>
      <c r="AG427">
        <v>4369.212</v>
      </c>
      <c r="AH427">
        <v>21.65</v>
      </c>
      <c r="AI427">
        <v>111813533059.8</v>
      </c>
    </row>
    <row r="428" spans="1:35">
      <c r="A428" s="290" t="s">
        <v>958</v>
      </c>
      <c r="B428" t="s">
        <v>43</v>
      </c>
      <c r="C428" s="291" t="str">
        <v>InterGlobe Aviation Ltd</v>
      </c>
      <c r="D428" s="292">
        <v>0.0152532005165436</v>
      </c>
      <c r="E428" s="293">
        <f t="shared" si="12"/>
        <v>0.0063555002152265</v>
      </c>
      <c r="F428" s="291" t="str">
        <v>Industrials</v>
      </c>
      <c r="G428" s="293">
        <f t="shared" si="13"/>
        <v>0.0063555002152265</v>
      </c>
      <c r="H428" s="291"/>
      <c r="J428" s="36"/>
      <c r="P428" s="32"/>
      <c r="X428" s="291" t="str">
        <v>INE665L01035</v>
      </c>
      <c r="Z428" s="290" t="s">
        <v>958</v>
      </c>
      <c r="AB428" t="s">
        <v>1708</v>
      </c>
      <c r="AC428" t="s">
        <v>1709</v>
      </c>
      <c r="AD428" t="s">
        <v>838</v>
      </c>
      <c r="AE428">
        <v>131.259345532653</v>
      </c>
      <c r="AF428">
        <v>3.99921491812321</v>
      </c>
      <c r="AG428">
        <v>612.3</v>
      </c>
      <c r="AH428">
        <v>4.01</v>
      </c>
      <c r="AI428">
        <v>80419121640</v>
      </c>
    </row>
    <row r="429" spans="1:35">
      <c r="A429" s="294" t="s">
        <v>961</v>
      </c>
      <c r="B429" t="s">
        <v>43</v>
      </c>
      <c r="C429" s="291" t="str">
        <v>ITC Ltd</v>
      </c>
      <c r="D429" s="295">
        <v>0.0329541351627148</v>
      </c>
      <c r="E429" s="293">
        <f t="shared" si="12"/>
        <v>0.0137308896511312</v>
      </c>
      <c r="F429" s="291" t="str">
        <v>Consumer Staples</v>
      </c>
      <c r="G429" s="293">
        <f t="shared" si="13"/>
        <v>0.0137308896511312</v>
      </c>
      <c r="H429" s="291"/>
      <c r="J429" s="36"/>
      <c r="P429" s="32"/>
      <c r="X429" s="291" t="str">
        <v>INE939A01011</v>
      </c>
      <c r="Z429" s="294" t="s">
        <v>961</v>
      </c>
      <c r="AB429" t="s">
        <v>1710</v>
      </c>
      <c r="AC429" t="s">
        <v>1711</v>
      </c>
      <c r="AD429" t="s">
        <v>819</v>
      </c>
      <c r="AE429">
        <v>20.4858121319878</v>
      </c>
      <c r="AF429">
        <v>153.651946510409</v>
      </c>
      <c r="AG429">
        <v>35934.55</v>
      </c>
      <c r="AH429">
        <v>390.55</v>
      </c>
      <c r="AI429">
        <v>83176657113.6</v>
      </c>
    </row>
    <row r="430" spans="1:35">
      <c r="A430" s="290" t="s">
        <v>972</v>
      </c>
      <c r="B430" t="s">
        <v>43</v>
      </c>
      <c r="C430" s="291" t="str">
        <v>Kotak Mahindra Bank Ltd</v>
      </c>
      <c r="D430" s="292">
        <v>0.00489048917682794</v>
      </c>
      <c r="E430" s="293">
        <f t="shared" si="12"/>
        <v>0.00203770382367831</v>
      </c>
      <c r="F430" s="291" t="str">
        <v>Financials</v>
      </c>
      <c r="G430" s="293">
        <f t="shared" si="13"/>
        <v>0.00203770382367831</v>
      </c>
      <c r="H430" s="291"/>
      <c r="J430" s="36"/>
      <c r="P430" s="32"/>
      <c r="X430" s="291" t="str">
        <v>INE805D01034</v>
      </c>
      <c r="Z430" s="290" t="s">
        <v>972</v>
      </c>
      <c r="AB430" t="s">
        <v>1712</v>
      </c>
      <c r="AC430" t="s">
        <v>1713</v>
      </c>
      <c r="AD430" t="s">
        <v>998</v>
      </c>
      <c r="AE430">
        <v>36.9883040935673</v>
      </c>
      <c r="AF430">
        <v>4.70898378342361</v>
      </c>
      <c r="AG430">
        <v>1503.161</v>
      </c>
      <c r="AH430">
        <v>10.26</v>
      </c>
      <c r="AI430">
        <v>55592607378</v>
      </c>
    </row>
    <row r="431" spans="1:35">
      <c r="A431" s="294" t="s">
        <v>975</v>
      </c>
      <c r="B431" t="s">
        <v>43</v>
      </c>
      <c r="C431" s="291" t="str">
        <v>Larsen &amp; Toubro Ltd</v>
      </c>
      <c r="D431" s="295">
        <v>0.0362336907882683</v>
      </c>
      <c r="E431" s="293">
        <f t="shared" si="12"/>
        <v>0.0150973711617785</v>
      </c>
      <c r="F431" s="291" t="str">
        <v>Industrials</v>
      </c>
      <c r="G431" s="293">
        <f t="shared" si="13"/>
        <v>0.0150973711617785</v>
      </c>
      <c r="H431" s="291"/>
      <c r="J431" s="36"/>
      <c r="P431" s="32"/>
      <c r="X431" s="291" t="str">
        <v>INE935A01035</v>
      </c>
      <c r="Z431" s="294" t="s">
        <v>975</v>
      </c>
      <c r="AB431" t="s">
        <v>915</v>
      </c>
      <c r="AC431" t="s">
        <v>1714</v>
      </c>
      <c r="AD431" t="s">
        <v>819</v>
      </c>
      <c r="AE431">
        <v>54.9205059441104</v>
      </c>
      <c r="AF431">
        <v>12.5420605211552</v>
      </c>
      <c r="AG431">
        <v>10470.97</v>
      </c>
      <c r="AH431">
        <v>37.11</v>
      </c>
      <c r="AI431">
        <v>575153468822.9</v>
      </c>
    </row>
    <row r="432" spans="1:35">
      <c r="A432" s="290" t="s">
        <v>960</v>
      </c>
      <c r="B432" t="s">
        <v>43</v>
      </c>
      <c r="C432" s="291" t="str">
        <v>Linde India Ltd</v>
      </c>
      <c r="D432" s="292">
        <v>0.00322141198860268</v>
      </c>
      <c r="E432" s="293">
        <f t="shared" si="12"/>
        <v>0.00134225499525112</v>
      </c>
      <c r="F432" s="291" t="str">
        <v>Materials</v>
      </c>
      <c r="G432" s="293">
        <f t="shared" si="13"/>
        <v>0.00134225499525112</v>
      </c>
      <c r="H432" s="291"/>
      <c r="J432" s="36"/>
      <c r="P432" s="32"/>
      <c r="X432" s="291" t="str">
        <v>INE278Y01022</v>
      </c>
      <c r="Z432" s="290" t="s">
        <v>960</v>
      </c>
      <c r="AB432" t="s">
        <v>1715</v>
      </c>
      <c r="AC432" t="s">
        <v>1716</v>
      </c>
      <c r="AD432" t="s">
        <v>838</v>
      </c>
      <c r="AE432">
        <v>68.9027535891013</v>
      </c>
      <c r="AF432">
        <v>17.210990150337</v>
      </c>
      <c r="AG432">
        <v>1211.8</v>
      </c>
      <c r="AH432">
        <v>3.967911</v>
      </c>
      <c r="AI432">
        <v>83516097839.6</v>
      </c>
    </row>
    <row r="433" spans="1:35">
      <c r="A433" s="294" t="s">
        <v>966</v>
      </c>
      <c r="B433" t="s">
        <v>43</v>
      </c>
      <c r="C433" s="291" t="str">
        <v>Mahindra &amp; Mahindra Ltd</v>
      </c>
      <c r="D433" s="295">
        <v>0.0200520781995038</v>
      </c>
      <c r="E433" s="293">
        <f t="shared" si="12"/>
        <v>0.00835503258312658</v>
      </c>
      <c r="F433" s="291" t="str">
        <v>Consumer Discretionary</v>
      </c>
      <c r="G433" s="293">
        <f t="shared" si="13"/>
        <v>0.00835503258312658</v>
      </c>
      <c r="H433" s="291"/>
      <c r="J433" s="36"/>
      <c r="P433" s="32"/>
      <c r="X433" s="291" t="str">
        <v>INE399G01023</v>
      </c>
      <c r="Z433" s="294" t="s">
        <v>966</v>
      </c>
      <c r="AB433" t="s">
        <v>1717</v>
      </c>
      <c r="AC433" t="s">
        <v>1718</v>
      </c>
      <c r="AD433" t="s">
        <v>823</v>
      </c>
      <c r="AE433">
        <v>31.3028583989245</v>
      </c>
      <c r="AF433">
        <v>14.5076356740745</v>
      </c>
      <c r="AG433">
        <v>4150.252</v>
      </c>
      <c r="AH433">
        <v>22.95</v>
      </c>
      <c r="AI433">
        <v>103784845273.2</v>
      </c>
    </row>
    <row r="434" spans="1:35">
      <c r="A434" s="290" t="s">
        <v>990</v>
      </c>
      <c r="B434" t="s">
        <v>43</v>
      </c>
      <c r="C434" s="291" t="str">
        <v>Maruti Suzuki India Ltd</v>
      </c>
      <c r="D434" s="292">
        <v>0.0167409951779886</v>
      </c>
      <c r="E434" s="293">
        <f t="shared" si="12"/>
        <v>0.00697541465749525</v>
      </c>
      <c r="F434" s="291" t="str">
        <v>Consumer Discretionary</v>
      </c>
      <c r="G434" s="293">
        <f t="shared" si="13"/>
        <v>0.00697541465749525</v>
      </c>
      <c r="H434" s="291"/>
      <c r="J434" s="36"/>
      <c r="P434" s="32"/>
      <c r="X434" s="291" t="str">
        <v>INE522D01027</v>
      </c>
      <c r="Z434" s="290" t="s">
        <v>990</v>
      </c>
      <c r="AB434" t="s">
        <v>1719</v>
      </c>
      <c r="AC434" t="s">
        <v>1720</v>
      </c>
      <c r="AD434" t="s">
        <v>831</v>
      </c>
      <c r="AE434">
        <v>18.7327601632784</v>
      </c>
      <c r="AF434">
        <v>10.1428890261868</v>
      </c>
      <c r="AG434">
        <v>12161.47</v>
      </c>
      <c r="AH434">
        <v>14.367877</v>
      </c>
      <c r="AI434">
        <v>227817907310.35</v>
      </c>
    </row>
    <row r="435" spans="1:35">
      <c r="A435" s="294" t="s">
        <v>1181</v>
      </c>
      <c r="B435" t="s">
        <v>43</v>
      </c>
      <c r="C435" s="291" t="str">
        <v>Max Financial Services Ltd</v>
      </c>
      <c r="D435" s="295">
        <v>0.00790419938727996</v>
      </c>
      <c r="E435" s="293">
        <f t="shared" si="12"/>
        <v>0.00329341641136665</v>
      </c>
      <c r="F435" s="291" t="str">
        <v>Financials</v>
      </c>
      <c r="G435" s="293">
        <f t="shared" si="13"/>
        <v>0.00329341641136665</v>
      </c>
      <c r="H435" s="291"/>
      <c r="J435" s="36"/>
      <c r="P435" s="32"/>
      <c r="X435" s="291" t="str">
        <v>INE501A01019</v>
      </c>
      <c r="Z435" s="294" t="s">
        <v>1181</v>
      </c>
      <c r="AB435" t="s">
        <v>1721</v>
      </c>
      <c r="AC435" t="s">
        <v>1722</v>
      </c>
      <c r="AD435" t="s">
        <v>823</v>
      </c>
      <c r="AE435">
        <v>19.7065591457488</v>
      </c>
      <c r="AF435">
        <v>16.0343842986385</v>
      </c>
      <c r="AG435">
        <v>9335.9</v>
      </c>
      <c r="AH435">
        <v>73.95</v>
      </c>
      <c r="AI435">
        <v>183966382372.5</v>
      </c>
    </row>
    <row r="436" spans="1:35">
      <c r="A436" s="290" t="s">
        <v>1130</v>
      </c>
      <c r="B436" t="s">
        <v>43</v>
      </c>
      <c r="C436" s="291" t="str">
        <v>NTPC Green Energy Ltd</v>
      </c>
      <c r="D436" s="292">
        <v>0.00817030292670914</v>
      </c>
      <c r="E436" s="293">
        <f t="shared" si="12"/>
        <v>0.00340429288612881</v>
      </c>
      <c r="F436" s="291" t="str">
        <v>Utilities</v>
      </c>
      <c r="G436" s="293">
        <f t="shared" si="13"/>
        <v>0.00340429288612881</v>
      </c>
      <c r="H436" s="291"/>
      <c r="J436" s="36"/>
      <c r="P436" s="32"/>
      <c r="X436" s="291" t="str">
        <v>INE085A01013</v>
      </c>
      <c r="Z436" s="290" t="s">
        <v>1130</v>
      </c>
      <c r="AB436" t="s">
        <v>1723</v>
      </c>
      <c r="AC436" t="s">
        <v>1724</v>
      </c>
      <c r="AD436" t="s">
        <v>823</v>
      </c>
      <c r="AE436">
        <v>12.8515903712883</v>
      </c>
      <c r="AF436">
        <v>20.6168519714003</v>
      </c>
      <c r="AG436">
        <v>16495.1</v>
      </c>
      <c r="AH436">
        <v>41.17</v>
      </c>
      <c r="AI436">
        <v>211984188544.7</v>
      </c>
    </row>
    <row r="437" spans="1:35">
      <c r="A437" s="294" t="s">
        <v>992</v>
      </c>
      <c r="B437" t="s">
        <v>43</v>
      </c>
      <c r="C437" s="291" t="str">
        <v>NTPC Ltd</v>
      </c>
      <c r="D437" s="295">
        <v>0.024156325202491</v>
      </c>
      <c r="E437" s="293">
        <f t="shared" si="12"/>
        <v>0.0100651355010379</v>
      </c>
      <c r="F437" s="291" t="str">
        <v>Utilities</v>
      </c>
      <c r="G437" s="293">
        <f t="shared" si="13"/>
        <v>0.0100651355010379</v>
      </c>
      <c r="H437" s="291"/>
      <c r="J437" s="36"/>
      <c r="P437" s="32"/>
      <c r="X437" s="291" t="str">
        <v>INE0NAZ01010</v>
      </c>
      <c r="Z437" s="294" t="s">
        <v>992</v>
      </c>
      <c r="AB437" t="s">
        <v>1725</v>
      </c>
      <c r="AC437" t="s">
        <v>1726</v>
      </c>
      <c r="AD437" t="s">
        <v>998</v>
      </c>
      <c r="AE437" t="s">
        <v>824</v>
      </c>
      <c r="AF437">
        <v>-80.0301479529793</v>
      </c>
      <c r="AG437">
        <v>-631.79</v>
      </c>
      <c r="AH437">
        <v>-6.18</v>
      </c>
      <c r="AI437">
        <v>52449050863.3</v>
      </c>
    </row>
    <row r="438" spans="1:35">
      <c r="A438" s="290" t="s">
        <v>1321</v>
      </c>
      <c r="B438" t="s">
        <v>43</v>
      </c>
      <c r="C438" s="291" t="str">
        <v>One 97 Communications Ltd</v>
      </c>
      <c r="D438" s="292">
        <v>0.00493311818313162</v>
      </c>
      <c r="E438" s="293">
        <f t="shared" si="12"/>
        <v>0.00205546590963817</v>
      </c>
      <c r="F438" s="291" t="str">
        <v>Financials</v>
      </c>
      <c r="G438" s="293">
        <f t="shared" si="13"/>
        <v>0.00205546590963817</v>
      </c>
      <c r="H438" s="291"/>
      <c r="J438" s="36"/>
      <c r="P438" s="32"/>
      <c r="X438" s="291" t="str">
        <v>INE438K01021</v>
      </c>
      <c r="Z438" s="290" t="s">
        <v>1321</v>
      </c>
      <c r="AB438" t="s">
        <v>1727</v>
      </c>
      <c r="AC438" t="s">
        <v>1728</v>
      </c>
      <c r="AD438" t="s">
        <v>838</v>
      </c>
      <c r="AE438">
        <v>30.215201953605</v>
      </c>
      <c r="AF438">
        <v>7.78140263906102</v>
      </c>
      <c r="AG438">
        <v>853.9</v>
      </c>
      <c r="AH438">
        <v>5.567727</v>
      </c>
      <c r="AI438">
        <v>25800781021.76</v>
      </c>
    </row>
    <row r="439" spans="1:35">
      <c r="A439" s="294" t="s">
        <v>1002</v>
      </c>
      <c r="B439" t="s">
        <v>43</v>
      </c>
      <c r="C439" s="291" t="str">
        <v>PB Fintech Ltd</v>
      </c>
      <c r="D439" s="295">
        <v>0.00211963773081634</v>
      </c>
      <c r="E439" s="293">
        <f t="shared" si="12"/>
        <v>0.000883182387840142</v>
      </c>
      <c r="F439" s="291" t="str">
        <v>Financials</v>
      </c>
      <c r="G439" s="293">
        <f t="shared" si="13"/>
        <v>0.000883182387840142</v>
      </c>
      <c r="H439" s="291"/>
      <c r="J439" s="36"/>
      <c r="P439" s="32"/>
      <c r="X439" s="291" t="str">
        <v>INE371P01015</v>
      </c>
      <c r="Z439" s="294" t="s">
        <v>1002</v>
      </c>
      <c r="AB439" t="s">
        <v>1729</v>
      </c>
      <c r="AC439" t="s">
        <v>1730</v>
      </c>
      <c r="AD439" t="s">
        <v>838</v>
      </c>
      <c r="AE439">
        <v>103.509646037445</v>
      </c>
      <c r="AF439">
        <v>11.1976802644322</v>
      </c>
      <c r="AG439">
        <v>2435.58</v>
      </c>
      <c r="AH439">
        <v>71.969138</v>
      </c>
      <c r="AI439">
        <v>252471607909.5</v>
      </c>
    </row>
    <row r="440" spans="1:35">
      <c r="A440" s="290" t="s">
        <v>1020</v>
      </c>
      <c r="B440" t="s">
        <v>43</v>
      </c>
      <c r="C440" s="291" t="str">
        <v>Power Finance Corp Ltd</v>
      </c>
      <c r="D440" s="292">
        <v>0.00348862500979151</v>
      </c>
      <c r="E440" s="293">
        <f t="shared" si="12"/>
        <v>0.0014535937540798</v>
      </c>
      <c r="F440" s="291" t="str">
        <v>Financials</v>
      </c>
      <c r="G440" s="293">
        <f t="shared" si="13"/>
        <v>0.0014535937540798</v>
      </c>
      <c r="H440" s="291"/>
      <c r="J440" s="36"/>
      <c r="P440" s="32"/>
      <c r="X440" s="291" t="str">
        <v>INE024L01027</v>
      </c>
      <c r="Z440" s="290" t="s">
        <v>1020</v>
      </c>
      <c r="AB440" t="s">
        <v>1731</v>
      </c>
      <c r="AC440" t="s">
        <v>1732</v>
      </c>
      <c r="AD440" t="s">
        <v>823</v>
      </c>
      <c r="AE440">
        <v>41.7677905509729</v>
      </c>
      <c r="AF440">
        <v>21.4899683900238</v>
      </c>
      <c r="AG440">
        <v>3123.9</v>
      </c>
      <c r="AH440">
        <v>42.329268</v>
      </c>
      <c r="AI440">
        <v>130493341368</v>
      </c>
    </row>
    <row r="441" spans="1:35">
      <c r="A441" s="294" t="s">
        <v>1323</v>
      </c>
      <c r="B441" t="s">
        <v>43</v>
      </c>
      <c r="C441" s="291" t="str">
        <v>PVR Inox Ltd</v>
      </c>
      <c r="D441" s="295">
        <v>0.00216339659711606</v>
      </c>
      <c r="E441" s="293">
        <f t="shared" si="12"/>
        <v>0.000901415248798358</v>
      </c>
      <c r="F441" s="291" t="str">
        <v>Communication Services</v>
      </c>
      <c r="G441" s="293">
        <f t="shared" si="13"/>
        <v>0.000901415248798358</v>
      </c>
      <c r="H441" s="291"/>
      <c r="J441" s="36"/>
      <c r="P441" s="32"/>
      <c r="X441" s="291" t="str">
        <v>INE372A01015</v>
      </c>
      <c r="Z441" s="294" t="s">
        <v>1323</v>
      </c>
      <c r="AB441" t="s">
        <v>1733</v>
      </c>
      <c r="AC441" t="s">
        <v>1734</v>
      </c>
      <c r="AD441" t="s">
        <v>813</v>
      </c>
      <c r="AE441">
        <v>41.8618868293637</v>
      </c>
      <c r="AF441">
        <v>19.601502153349</v>
      </c>
      <c r="AG441">
        <v>8213</v>
      </c>
      <c r="AH441">
        <v>204.47</v>
      </c>
      <c r="AI441">
        <v>343820692242.5</v>
      </c>
    </row>
    <row r="442" spans="1:35">
      <c r="A442" s="290" t="s">
        <v>1031</v>
      </c>
      <c r="B442" t="s">
        <v>43</v>
      </c>
      <c r="C442" s="291" t="str">
        <v>REC Ltd</v>
      </c>
      <c r="D442" s="292">
        <v>0</v>
      </c>
      <c r="E442" s="293">
        <f t="shared" si="12"/>
        <v>0</v>
      </c>
      <c r="F442" s="291" t="str">
        <v>Financials</v>
      </c>
      <c r="G442" s="293">
        <f t="shared" si="13"/>
        <v>0</v>
      </c>
      <c r="H442" s="291"/>
      <c r="J442" s="36"/>
      <c r="P442" s="32"/>
      <c r="X442" s="291" t="str">
        <v>INE660A01013</v>
      </c>
      <c r="Z442" s="290" t="s">
        <v>1031</v>
      </c>
      <c r="AB442" t="s">
        <v>1735</v>
      </c>
      <c r="AC442" t="s">
        <v>1736</v>
      </c>
      <c r="AD442" t="s">
        <v>831</v>
      </c>
      <c r="AE442">
        <v>28.0141995818764</v>
      </c>
      <c r="AF442">
        <v>15.4845407115536</v>
      </c>
      <c r="AG442">
        <v>18794.4</v>
      </c>
      <c r="AH442">
        <v>169.160639</v>
      </c>
      <c r="AI442">
        <v>526510082154</v>
      </c>
    </row>
    <row r="443" spans="1:35">
      <c r="A443" s="294" t="s">
        <v>1034</v>
      </c>
      <c r="B443" t="s">
        <v>43</v>
      </c>
      <c r="C443" s="291" t="str">
        <v>Reliance Industries Ltd</v>
      </c>
      <c r="D443" s="295">
        <v>0.0630687261087567</v>
      </c>
      <c r="E443" s="293">
        <f t="shared" si="12"/>
        <v>0.0262786358786486</v>
      </c>
      <c r="F443" s="291" t="str">
        <v>Energy</v>
      </c>
      <c r="G443" s="293">
        <f t="shared" si="13"/>
        <v>0.0262786358786486</v>
      </c>
      <c r="H443" s="291"/>
      <c r="J443" s="36"/>
      <c r="P443" s="32"/>
      <c r="X443" s="291" t="str">
        <v>INE466L01038</v>
      </c>
      <c r="Z443" s="294" t="s">
        <v>1034</v>
      </c>
      <c r="AB443" t="s">
        <v>811</v>
      </c>
      <c r="AC443" t="s">
        <v>1737</v>
      </c>
      <c r="AD443" t="s">
        <v>831</v>
      </c>
      <c r="AE443">
        <v>40.2868837961449</v>
      </c>
      <c r="AF443">
        <v>19.3117353076839</v>
      </c>
      <c r="AG443">
        <v>10153</v>
      </c>
      <c r="AH443">
        <v>25.829746</v>
      </c>
      <c r="AI443">
        <v>421009140560.8</v>
      </c>
    </row>
    <row r="444" spans="1:35">
      <c r="A444" s="290" t="s">
        <v>1019</v>
      </c>
      <c r="B444" t="s">
        <v>43</v>
      </c>
      <c r="C444" s="291" t="str">
        <v>Samvardhana Motherson Internat</v>
      </c>
      <c r="D444" s="292">
        <v>0.00830188067065735</v>
      </c>
      <c r="E444" s="293">
        <f t="shared" si="12"/>
        <v>0.00345911694610723</v>
      </c>
      <c r="F444" s="291" t="str">
        <v>Consumer Discretionary</v>
      </c>
      <c r="G444" s="293">
        <f t="shared" si="13"/>
        <v>0.00345911694610723</v>
      </c>
      <c r="H444" s="291"/>
      <c r="J444" s="36"/>
      <c r="P444" s="32"/>
      <c r="X444" s="291" t="str">
        <v>INE769A01020</v>
      </c>
      <c r="Z444" s="290" t="s">
        <v>1019</v>
      </c>
      <c r="AB444" t="s">
        <v>815</v>
      </c>
      <c r="AC444" t="s">
        <v>1738</v>
      </c>
      <c r="AD444" t="s">
        <v>823</v>
      </c>
      <c r="AE444">
        <v>41.4731647203159</v>
      </c>
      <c r="AF444">
        <v>6.07385664288488</v>
      </c>
      <c r="AG444">
        <v>3308.7</v>
      </c>
      <c r="AH444">
        <v>9.13</v>
      </c>
      <c r="AI444">
        <v>137280813860.7</v>
      </c>
    </row>
    <row r="445" spans="1:35">
      <c r="A445" s="294" t="s">
        <v>1222</v>
      </c>
      <c r="B445" t="s">
        <v>43</v>
      </c>
      <c r="C445" s="291" t="str">
        <v>SBI Cards &amp; Payment Services L</v>
      </c>
      <c r="D445" s="295">
        <v>0.00811559868321327</v>
      </c>
      <c r="E445" s="293">
        <f t="shared" si="12"/>
        <v>0.00338149945133886</v>
      </c>
      <c r="F445" s="291" t="str">
        <v>Financials</v>
      </c>
      <c r="G445" s="293">
        <f t="shared" si="13"/>
        <v>0.00338149945133886</v>
      </c>
      <c r="H445" s="291"/>
      <c r="J445" s="36"/>
      <c r="P445" s="32"/>
      <c r="X445" s="291"/>
      <c r="Z445" s="294" t="s">
        <v>1222</v>
      </c>
      <c r="AB445" t="s">
        <v>833</v>
      </c>
      <c r="AC445" t="s">
        <v>1739</v>
      </c>
      <c r="AD445" t="s">
        <v>831</v>
      </c>
      <c r="AE445">
        <v>24.0724725926176</v>
      </c>
      <c r="AF445">
        <v>18.584676232108</v>
      </c>
      <c r="AG445">
        <v>7512.461</v>
      </c>
      <c r="AH445">
        <v>15.04</v>
      </c>
      <c r="AI445">
        <v>181003552882.1</v>
      </c>
    </row>
    <row r="446" spans="1:35">
      <c r="A446" s="290" t="s">
        <v>1138</v>
      </c>
      <c r="B446" t="s">
        <v>43</v>
      </c>
      <c r="C446" s="291" t="str">
        <v>SBI Life Insurance Co Ltd</v>
      </c>
      <c r="D446" s="292">
        <v>0.014349262706241</v>
      </c>
      <c r="E446" s="293">
        <f t="shared" si="12"/>
        <v>0.00597885946093375</v>
      </c>
      <c r="F446" s="291" t="str">
        <v>Financials</v>
      </c>
      <c r="G446" s="293">
        <f t="shared" si="13"/>
        <v>0.00597885946093375</v>
      </c>
      <c r="H446" s="291"/>
      <c r="J446" s="36"/>
      <c r="P446" s="32"/>
      <c r="X446" s="291"/>
      <c r="Z446" s="290" t="s">
        <v>1138</v>
      </c>
      <c r="AB446" t="s">
        <v>867</v>
      </c>
      <c r="AC446" t="s">
        <v>1740</v>
      </c>
      <c r="AD446" t="s">
        <v>813</v>
      </c>
      <c r="AE446">
        <v>38.0954534357244</v>
      </c>
      <c r="AF446">
        <v>17.6876500649044</v>
      </c>
      <c r="AG446">
        <v>625.43</v>
      </c>
      <c r="AH446">
        <v>11</v>
      </c>
      <c r="AI446">
        <v>23823636998.9</v>
      </c>
    </row>
    <row r="447" spans="1:35">
      <c r="A447" s="294" t="s">
        <v>1025</v>
      </c>
      <c r="B447" t="s">
        <v>43</v>
      </c>
      <c r="C447" s="291" t="str">
        <v>Shree Cement Ltd</v>
      </c>
      <c r="D447" s="295">
        <v>0.00727465905862205</v>
      </c>
      <c r="E447" s="293">
        <f t="shared" si="12"/>
        <v>0.00303110794109252</v>
      </c>
      <c r="F447" s="291" t="str">
        <v>Materials</v>
      </c>
      <c r="G447" s="293">
        <f t="shared" si="13"/>
        <v>0.00303110794109252</v>
      </c>
      <c r="H447" s="291"/>
      <c r="J447" s="36"/>
      <c r="P447" s="32"/>
      <c r="X447" s="291"/>
      <c r="Z447" s="294" t="s">
        <v>1025</v>
      </c>
      <c r="AB447" t="s">
        <v>898</v>
      </c>
      <c r="AC447" t="s">
        <v>1741</v>
      </c>
      <c r="AD447" t="s">
        <v>823</v>
      </c>
      <c r="AE447" t="s">
        <v>824</v>
      </c>
      <c r="AF447">
        <v>18.4420294668597</v>
      </c>
      <c r="AG447">
        <v>832.89</v>
      </c>
      <c r="AH447" t="s">
        <v>824</v>
      </c>
      <c r="AI447">
        <v>70185928800</v>
      </c>
    </row>
    <row r="448" spans="1:35">
      <c r="A448" s="290" t="s">
        <v>1027</v>
      </c>
      <c r="B448" t="s">
        <v>43</v>
      </c>
      <c r="C448" s="291" t="str">
        <v>Siemens Energy India Ltd</v>
      </c>
      <c r="D448" s="292">
        <v>0.0113868467810603</v>
      </c>
      <c r="E448" s="293">
        <f t="shared" ref="E448:E511" si="14">_xlfn.IFNA(D448*VLOOKUP($B448,$AK$1:$AM$34,3,FALSE),0)</f>
        <v>0.00474451949210846</v>
      </c>
      <c r="F448" s="291" t="str">
        <v>Industrials</v>
      </c>
      <c r="G448" s="293">
        <f t="shared" ref="G448:G511" si="15">_xlfn.IFNA(D448*VLOOKUP($B448,$AK$1:$AM$34,3,FALSE),0)</f>
        <v>0.00474451949210846</v>
      </c>
      <c r="H448" s="291"/>
      <c r="J448" s="36"/>
      <c r="P448" s="32"/>
      <c r="X448" s="291"/>
      <c r="Z448" s="290" t="s">
        <v>1027</v>
      </c>
      <c r="AB448" t="s">
        <v>904</v>
      </c>
      <c r="AC448" t="s">
        <v>1742</v>
      </c>
      <c r="AD448" t="s">
        <v>819</v>
      </c>
      <c r="AE448">
        <v>91.7495102910271</v>
      </c>
      <c r="AF448">
        <v>9.33947700908554</v>
      </c>
      <c r="AG448">
        <v>7742.152</v>
      </c>
      <c r="AH448">
        <v>10.26</v>
      </c>
      <c r="AI448">
        <v>710679852619.8</v>
      </c>
    </row>
    <row r="449" spans="1:35">
      <c r="A449" s="294" t="s">
        <v>1030</v>
      </c>
      <c r="B449" t="s">
        <v>43</v>
      </c>
      <c r="C449" s="291" t="str">
        <v>Siemens Ltd</v>
      </c>
      <c r="D449" s="295">
        <v>0.00723348822834533</v>
      </c>
      <c r="E449" s="293">
        <f t="shared" si="14"/>
        <v>0.00301395342847722</v>
      </c>
      <c r="F449" s="291" t="str">
        <v>Industrials</v>
      </c>
      <c r="G449" s="293">
        <f t="shared" si="15"/>
        <v>0.00301395342847722</v>
      </c>
      <c r="H449" s="291"/>
      <c r="J449" s="36"/>
      <c r="P449" s="32"/>
      <c r="X449" s="291"/>
      <c r="Z449" s="294" t="s">
        <v>1030</v>
      </c>
      <c r="AB449" t="s">
        <v>912</v>
      </c>
      <c r="AC449" t="s">
        <v>1743</v>
      </c>
      <c r="AD449" t="s">
        <v>819</v>
      </c>
      <c r="AE449">
        <v>49.4119804387897</v>
      </c>
      <c r="AF449">
        <v>49.750347979957</v>
      </c>
      <c r="AG449">
        <v>9275.829</v>
      </c>
      <c r="AH449">
        <v>54.76</v>
      </c>
      <c r="AI449">
        <v>458378846797.2</v>
      </c>
    </row>
    <row r="450" spans="1:35">
      <c r="A450" s="290" t="s">
        <v>1041</v>
      </c>
      <c r="B450" t="s">
        <v>43</v>
      </c>
      <c r="C450" s="291" t="str">
        <v>State Bank of India</v>
      </c>
      <c r="D450" s="292">
        <v>0.0410391166778589</v>
      </c>
      <c r="E450" s="293">
        <f t="shared" si="14"/>
        <v>0.0170996319491079</v>
      </c>
      <c r="F450" s="291" t="str">
        <v>Financials</v>
      </c>
      <c r="G450" s="293">
        <f t="shared" si="15"/>
        <v>0.0170996319491079</v>
      </c>
      <c r="H450" s="291"/>
      <c r="J450" s="36"/>
      <c r="P450" s="32"/>
      <c r="X450" s="291"/>
      <c r="Z450" s="290" t="s">
        <v>1041</v>
      </c>
      <c r="AB450" t="s">
        <v>917</v>
      </c>
      <c r="AC450" t="s">
        <v>1744</v>
      </c>
      <c r="AD450" t="s">
        <v>819</v>
      </c>
      <c r="AE450">
        <v>22.2426298795085</v>
      </c>
      <c r="AF450">
        <v>14.4505744172196</v>
      </c>
      <c r="AG450">
        <v>5015.16</v>
      </c>
      <c r="AH450">
        <v>20.69</v>
      </c>
      <c r="AI450">
        <v>111664638103.2</v>
      </c>
    </row>
    <row r="451" spans="1:35">
      <c r="A451" s="294" t="s">
        <v>1048</v>
      </c>
      <c r="B451" t="s">
        <v>43</v>
      </c>
      <c r="C451" s="291" t="str">
        <v>Swiggy Ltd</v>
      </c>
      <c r="D451" s="295">
        <v>0.00521981279832038</v>
      </c>
      <c r="E451" s="293">
        <f t="shared" si="14"/>
        <v>0.00217492199930016</v>
      </c>
      <c r="F451" s="291" t="str">
        <v>Consumer Discretionary</v>
      </c>
      <c r="G451" s="293">
        <f t="shared" si="15"/>
        <v>0.00217492199930016</v>
      </c>
      <c r="H451" s="291"/>
      <c r="J451" s="36"/>
      <c r="P451" s="32"/>
      <c r="X451" s="291"/>
      <c r="Z451" s="294" t="s">
        <v>1048</v>
      </c>
      <c r="AB451" t="s">
        <v>939</v>
      </c>
      <c r="AC451" t="s">
        <v>1745</v>
      </c>
      <c r="AD451" t="s">
        <v>831</v>
      </c>
      <c r="AE451">
        <v>15.6393204806737</v>
      </c>
      <c r="AF451">
        <v>15.6685495137304</v>
      </c>
      <c r="AG451">
        <v>27091.4</v>
      </c>
      <c r="AH451">
        <v>13.53</v>
      </c>
      <c r="AI451">
        <v>423602040000</v>
      </c>
    </row>
    <row r="452" spans="1:35">
      <c r="A452" s="290" t="s">
        <v>1051</v>
      </c>
      <c r="B452" t="s">
        <v>43</v>
      </c>
      <c r="C452" s="291" t="str">
        <v>Tata Consultancy Services Ltd</v>
      </c>
      <c r="D452" s="292">
        <v>0.0199406024536416</v>
      </c>
      <c r="E452" s="293">
        <f t="shared" si="14"/>
        <v>0.008308584355684</v>
      </c>
      <c r="F452" s="291" t="str">
        <v>Information Technology</v>
      </c>
      <c r="G452" s="293">
        <f t="shared" si="15"/>
        <v>0.008308584355684</v>
      </c>
      <c r="H452" s="291"/>
      <c r="J452" s="36"/>
      <c r="P452" s="32"/>
      <c r="X452" s="291"/>
      <c r="Z452" s="290" t="s">
        <v>1051</v>
      </c>
      <c r="AB452" t="s">
        <v>949</v>
      </c>
      <c r="AC452" t="s">
        <v>1746</v>
      </c>
      <c r="AD452" t="s">
        <v>998</v>
      </c>
      <c r="AE452" t="s">
        <v>824</v>
      </c>
      <c r="AF452" t="s">
        <v>824</v>
      </c>
      <c r="AG452" t="s">
        <v>824</v>
      </c>
      <c r="AH452" t="s">
        <v>824</v>
      </c>
      <c r="AI452">
        <v>44175920497.45</v>
      </c>
    </row>
    <row r="453" spans="1:35">
      <c r="A453" s="294" t="s">
        <v>1058</v>
      </c>
      <c r="B453" t="s">
        <v>43</v>
      </c>
      <c r="C453" s="291" t="str">
        <v>Tata Consumer Products Ltd</v>
      </c>
      <c r="D453" s="295">
        <v>0.00953535720605881</v>
      </c>
      <c r="E453" s="293">
        <f t="shared" si="14"/>
        <v>0.0039730655025245</v>
      </c>
      <c r="F453" s="291" t="str">
        <v>Consumer Staples</v>
      </c>
      <c r="G453" s="293">
        <f t="shared" si="15"/>
        <v>0.0039730655025245</v>
      </c>
      <c r="H453" s="291"/>
      <c r="J453" s="36"/>
      <c r="P453" s="32"/>
      <c r="X453" s="291"/>
      <c r="Z453" s="294" t="s">
        <v>1058</v>
      </c>
      <c r="AB453" t="s">
        <v>964</v>
      </c>
      <c r="AC453" t="s">
        <v>1747</v>
      </c>
      <c r="AD453" t="s">
        <v>994</v>
      </c>
      <c r="AE453">
        <v>47.9133176420074</v>
      </c>
      <c r="AF453">
        <v>8.09612648431303</v>
      </c>
      <c r="AG453">
        <v>19508.9</v>
      </c>
      <c r="AH453">
        <v>11.19</v>
      </c>
      <c r="AI453">
        <v>937066055003.65</v>
      </c>
    </row>
    <row r="454" spans="1:35">
      <c r="A454" s="290" t="s">
        <v>1054</v>
      </c>
      <c r="B454" t="s">
        <v>43</v>
      </c>
      <c r="C454" s="291" t="str">
        <v>Tata Motors Ltd</v>
      </c>
      <c r="D454" s="292">
        <v>0.00905843628255801</v>
      </c>
      <c r="E454" s="293">
        <f t="shared" si="14"/>
        <v>0.00377434845106584</v>
      </c>
      <c r="F454" s="291" t="str">
        <v>Consumer Discretionary</v>
      </c>
      <c r="G454" s="293">
        <f t="shared" si="15"/>
        <v>0.00377434845106584</v>
      </c>
      <c r="H454" s="291"/>
      <c r="J454" s="36"/>
      <c r="P454" s="32"/>
      <c r="X454" s="291"/>
      <c r="Z454" s="290" t="s">
        <v>1054</v>
      </c>
      <c r="AB454" t="s">
        <v>967</v>
      </c>
      <c r="AC454" t="s">
        <v>1748</v>
      </c>
      <c r="AD454" t="s">
        <v>813</v>
      </c>
      <c r="AE454">
        <v>66.5251807343188</v>
      </c>
      <c r="AF454">
        <v>20.7166963421765</v>
      </c>
      <c r="AG454">
        <v>3160.1</v>
      </c>
      <c r="AH454">
        <v>13.9</v>
      </c>
      <c r="AI454">
        <v>210298136871.2</v>
      </c>
    </row>
    <row r="455" spans="1:35">
      <c r="A455" s="294" t="s">
        <v>1063</v>
      </c>
      <c r="B455" t="s">
        <v>43</v>
      </c>
      <c r="C455" s="291" t="str">
        <v>Tata Power Co Ltd/The</v>
      </c>
      <c r="D455" s="295">
        <v>0.0202636088218495</v>
      </c>
      <c r="E455" s="293">
        <f t="shared" si="14"/>
        <v>0.00844317034243729</v>
      </c>
      <c r="F455" s="291" t="str">
        <v>Utilities</v>
      </c>
      <c r="G455" s="293">
        <f t="shared" si="15"/>
        <v>0.00844317034243729</v>
      </c>
      <c r="H455" s="291"/>
      <c r="J455" s="36"/>
      <c r="P455" s="32"/>
      <c r="X455" s="291"/>
      <c r="Z455" s="294" t="s">
        <v>1063</v>
      </c>
      <c r="AB455" t="s">
        <v>996</v>
      </c>
      <c r="AC455" t="s">
        <v>1749</v>
      </c>
      <c r="AD455" t="s">
        <v>838</v>
      </c>
      <c r="AE455">
        <v>46.5115201747912</v>
      </c>
      <c r="AF455">
        <v>12.211915463326</v>
      </c>
      <c r="AG455">
        <v>2554</v>
      </c>
      <c r="AH455">
        <v>10.85</v>
      </c>
      <c r="AI455">
        <v>120651433340.2</v>
      </c>
    </row>
    <row r="456" spans="1:35">
      <c r="A456" s="290" t="s">
        <v>1056</v>
      </c>
      <c r="B456" t="s">
        <v>43</v>
      </c>
      <c r="C456" s="291" t="str">
        <v>Tata Steel Ltd</v>
      </c>
      <c r="D456" s="292">
        <v>0.00983555353498788</v>
      </c>
      <c r="E456" s="293">
        <f t="shared" si="14"/>
        <v>0.00409814730624495</v>
      </c>
      <c r="F456" s="291" t="str">
        <v>Materials</v>
      </c>
      <c r="G456" s="293">
        <f t="shared" si="15"/>
        <v>0.00409814730624495</v>
      </c>
      <c r="H456" s="291"/>
      <c r="J456" s="36"/>
      <c r="P456" s="32"/>
      <c r="X456" s="291"/>
      <c r="Z456" s="290" t="s">
        <v>1056</v>
      </c>
      <c r="AB456" t="s">
        <v>1037</v>
      </c>
      <c r="AC456" t="s">
        <v>1750</v>
      </c>
      <c r="AD456" t="s">
        <v>813</v>
      </c>
      <c r="AE456">
        <v>39.4529913225745</v>
      </c>
      <c r="AF456">
        <v>7.29570824691109</v>
      </c>
      <c r="AG456">
        <v>5391.23</v>
      </c>
      <c r="AH456">
        <v>1.17</v>
      </c>
      <c r="AI456">
        <v>216090119544.08</v>
      </c>
    </row>
    <row r="457" spans="1:35">
      <c r="A457" s="294" t="s">
        <v>1059</v>
      </c>
      <c r="B457" t="s">
        <v>43</v>
      </c>
      <c r="C457" s="291" t="str">
        <v>Tech Mahindra Ltd</v>
      </c>
      <c r="D457" s="295">
        <v>0.00413503625394147</v>
      </c>
      <c r="E457" s="293">
        <f t="shared" si="14"/>
        <v>0.00172293177247561</v>
      </c>
      <c r="F457" s="291" t="str">
        <v>Information Technology</v>
      </c>
      <c r="G457" s="293">
        <f t="shared" si="15"/>
        <v>0.00172293177247561</v>
      </c>
      <c r="H457" s="291"/>
      <c r="J457" s="36"/>
      <c r="P457" s="32"/>
      <c r="X457" s="291"/>
      <c r="Z457" s="294" t="s">
        <v>1059</v>
      </c>
      <c r="AB457" t="s">
        <v>1042</v>
      </c>
      <c r="AC457" t="s">
        <v>1751</v>
      </c>
      <c r="AD457" t="s">
        <v>994</v>
      </c>
      <c r="AE457">
        <v>44.3509615384615</v>
      </c>
      <c r="AF457">
        <v>5.80300536292678</v>
      </c>
      <c r="AG457">
        <v>8196.6</v>
      </c>
      <c r="AH457">
        <v>2.08</v>
      </c>
      <c r="AI457">
        <v>362523604893.75</v>
      </c>
    </row>
    <row r="458" spans="1:35">
      <c r="A458" s="290" t="s">
        <v>1064</v>
      </c>
      <c r="B458" t="s">
        <v>43</v>
      </c>
      <c r="C458" s="291" t="str">
        <v>Indian Hotels Co Ltd/The</v>
      </c>
      <c r="D458" s="292">
        <v>0.0116620820346459</v>
      </c>
      <c r="E458" s="293">
        <f t="shared" si="14"/>
        <v>0.00485920084776912</v>
      </c>
      <c r="F458" s="291" t="str">
        <v>Consumer Discretionary</v>
      </c>
      <c r="G458" s="293">
        <f t="shared" si="15"/>
        <v>0.00485920084776912</v>
      </c>
      <c r="H458" s="291"/>
      <c r="J458" s="36"/>
      <c r="P458" s="32"/>
      <c r="X458" s="291"/>
      <c r="Z458" s="290" t="s">
        <v>1064</v>
      </c>
      <c r="AB458" t="s">
        <v>1097</v>
      </c>
      <c r="AC458" t="s">
        <v>1752</v>
      </c>
      <c r="AD458" t="s">
        <v>823</v>
      </c>
      <c r="AE458">
        <v>35.261765423943</v>
      </c>
      <c r="AF458">
        <v>8.7832511178416</v>
      </c>
      <c r="AG458">
        <v>41674.3</v>
      </c>
      <c r="AH458">
        <v>17</v>
      </c>
      <c r="AI458">
        <v>1476519368887.1</v>
      </c>
    </row>
    <row r="459" spans="1:35">
      <c r="A459" s="294" t="s">
        <v>1141</v>
      </c>
      <c r="B459" t="s">
        <v>43</v>
      </c>
      <c r="C459" s="291" t="str">
        <v>Torrent Pharmaceuticals Ltd</v>
      </c>
      <c r="D459" s="295">
        <v>0</v>
      </c>
      <c r="E459" s="293">
        <f t="shared" si="14"/>
        <v>0</v>
      </c>
      <c r="F459" s="291" t="str">
        <v>Health Care</v>
      </c>
      <c r="G459" s="293">
        <f t="shared" si="15"/>
        <v>0</v>
      </c>
      <c r="H459" s="291"/>
      <c r="J459" s="36"/>
      <c r="P459" s="32"/>
      <c r="X459" s="291"/>
      <c r="Z459" s="294" t="s">
        <v>1141</v>
      </c>
      <c r="AB459" t="s">
        <v>1104</v>
      </c>
      <c r="AC459" t="s">
        <v>1753</v>
      </c>
      <c r="AD459" t="s">
        <v>823</v>
      </c>
      <c r="AE459">
        <v>38.6871083531058</v>
      </c>
      <c r="AF459">
        <v>9.03453689900671</v>
      </c>
      <c r="AG459">
        <v>4839.3</v>
      </c>
      <c r="AH459">
        <v>164.37</v>
      </c>
      <c r="AI459">
        <v>187220120045</v>
      </c>
    </row>
    <row r="460" spans="1:35">
      <c r="A460" s="290" t="s">
        <v>1071</v>
      </c>
      <c r="B460" t="s">
        <v>43</v>
      </c>
      <c r="C460" s="291" t="str">
        <v>UltraTech Cement Ltd</v>
      </c>
      <c r="D460" s="292">
        <v>0.0158216378354755</v>
      </c>
      <c r="E460" s="293">
        <f t="shared" si="14"/>
        <v>0.00659234909811479</v>
      </c>
      <c r="F460" s="291" t="str">
        <v>Materials</v>
      </c>
      <c r="G460" s="293">
        <f t="shared" si="15"/>
        <v>0.00659234909811479</v>
      </c>
      <c r="H460" s="291"/>
      <c r="J460" s="36"/>
      <c r="P460" s="32"/>
      <c r="X460" s="291"/>
      <c r="Z460" s="290" t="s">
        <v>1071</v>
      </c>
      <c r="AB460" t="s">
        <v>1109</v>
      </c>
      <c r="AC460" t="s">
        <v>1754</v>
      </c>
      <c r="AD460" t="s">
        <v>813</v>
      </c>
      <c r="AE460">
        <v>107.162346521146</v>
      </c>
      <c r="AF460">
        <v>8.56540417577922</v>
      </c>
      <c r="AG460">
        <v>873.18</v>
      </c>
      <c r="AH460">
        <v>14.66</v>
      </c>
      <c r="AI460">
        <v>101457918253</v>
      </c>
    </row>
    <row r="461" spans="1:35">
      <c r="A461" s="294" t="s">
        <v>1090</v>
      </c>
      <c r="B461" t="s">
        <v>43</v>
      </c>
      <c r="C461" s="291" t="str">
        <v>United Breweries Ltd</v>
      </c>
      <c r="D461" s="295">
        <v>0.00188409928174108</v>
      </c>
      <c r="E461" s="293">
        <f t="shared" si="14"/>
        <v>0.000785041367392117</v>
      </c>
      <c r="F461" s="291" t="str">
        <v>Consumer Staples</v>
      </c>
      <c r="G461" s="293">
        <f t="shared" si="15"/>
        <v>0.000785041367392117</v>
      </c>
      <c r="H461" s="291"/>
      <c r="J461" s="36"/>
      <c r="P461" s="32"/>
      <c r="X461" s="291"/>
      <c r="Z461" s="294" t="s">
        <v>1090</v>
      </c>
      <c r="AB461" t="s">
        <v>1121</v>
      </c>
      <c r="AC461" t="s">
        <v>1755</v>
      </c>
      <c r="AD461" t="s">
        <v>813</v>
      </c>
      <c r="AE461">
        <v>19.4054409828872</v>
      </c>
      <c r="AF461">
        <v>17.6801740594545</v>
      </c>
      <c r="AG461">
        <v>3724.57</v>
      </c>
      <c r="AH461">
        <v>22.79</v>
      </c>
      <c r="AI461">
        <v>72737981257.25</v>
      </c>
    </row>
    <row r="462" spans="1:35">
      <c r="A462" s="290" t="s">
        <v>1245</v>
      </c>
      <c r="B462" t="s">
        <v>43</v>
      </c>
      <c r="C462" s="291" t="str">
        <v>Vedanta Ltd</v>
      </c>
      <c r="D462" s="292">
        <v>0.0103067798735387</v>
      </c>
      <c r="E462" s="293">
        <f t="shared" si="14"/>
        <v>0.00429449161397446</v>
      </c>
      <c r="F462" s="291" t="str">
        <v>Materials</v>
      </c>
      <c r="G462" s="293">
        <f t="shared" si="15"/>
        <v>0.00429449161397446</v>
      </c>
      <c r="H462" s="291"/>
      <c r="J462" s="36"/>
      <c r="P462" s="32"/>
      <c r="X462" s="291"/>
      <c r="Z462" s="290" t="s">
        <v>1245</v>
      </c>
      <c r="AB462" t="s">
        <v>1163</v>
      </c>
      <c r="AC462" t="s">
        <v>1756</v>
      </c>
      <c r="AD462" t="s">
        <v>813</v>
      </c>
      <c r="AE462">
        <v>4.23112782161034</v>
      </c>
      <c r="AF462">
        <v>38.6087264861629</v>
      </c>
      <c r="AG462">
        <v>64806.84</v>
      </c>
      <c r="AH462">
        <v>10.73</v>
      </c>
      <c r="AI462">
        <v>274170600000</v>
      </c>
    </row>
    <row r="463" spans="1:35">
      <c r="A463" s="294" t="s">
        <v>1085</v>
      </c>
      <c r="B463" t="s">
        <v>43</v>
      </c>
      <c r="C463" s="291" t="str">
        <v>Vishal Mega Mart Ltd</v>
      </c>
      <c r="D463" s="295">
        <v>0.0123909617372647</v>
      </c>
      <c r="E463" s="293">
        <f t="shared" si="14"/>
        <v>0.00516290072386029</v>
      </c>
      <c r="F463" s="291" t="str">
        <v>Consumer Discretionary</v>
      </c>
      <c r="G463" s="293">
        <f t="shared" si="15"/>
        <v>0.00516290072386029</v>
      </c>
      <c r="H463" s="291"/>
      <c r="J463" s="36"/>
      <c r="P463" s="32"/>
      <c r="X463" s="291"/>
      <c r="Z463" s="294" t="s">
        <v>1085</v>
      </c>
      <c r="AB463" t="s">
        <v>1205</v>
      </c>
      <c r="AC463" t="s">
        <v>1757</v>
      </c>
      <c r="AD463" t="s">
        <v>823</v>
      </c>
      <c r="AE463">
        <v>50.1274209989806</v>
      </c>
      <c r="AF463">
        <v>5.1632871773559</v>
      </c>
      <c r="AG463">
        <v>2025.128</v>
      </c>
      <c r="AH463">
        <v>9.81</v>
      </c>
      <c r="AI463">
        <v>101547076235.5</v>
      </c>
    </row>
    <row r="464" spans="1:35">
      <c r="A464" s="290" t="s">
        <v>810</v>
      </c>
      <c r="B464" t="s">
        <v>53</v>
      </c>
      <c r="C464" s="291" t="str">
        <v>3M India Ltd</v>
      </c>
      <c r="D464" s="292">
        <v>0.00375825638607779</v>
      </c>
      <c r="E464" s="293">
        <f t="shared" si="14"/>
        <v>0</v>
      </c>
      <c r="F464" s="291" t="str">
        <v>Industrials</v>
      </c>
      <c r="G464" s="293">
        <f t="shared" si="15"/>
        <v>0</v>
      </c>
      <c r="H464" s="291"/>
      <c r="J464" s="36"/>
      <c r="P464" s="32"/>
      <c r="X464" s="291"/>
      <c r="Z464" s="290" t="s">
        <v>810</v>
      </c>
      <c r="AB464" t="s">
        <v>1208</v>
      </c>
      <c r="AC464" t="s">
        <v>1758</v>
      </c>
      <c r="AD464" t="s">
        <v>813</v>
      </c>
      <c r="AE464">
        <v>44.4343727338651</v>
      </c>
      <c r="AF464">
        <v>15.6544523212407</v>
      </c>
      <c r="AG464">
        <v>3116.11</v>
      </c>
      <c r="AH464">
        <v>27.58</v>
      </c>
      <c r="AI464">
        <v>138587178541.5</v>
      </c>
    </row>
    <row r="465" spans="1:35">
      <c r="A465" s="294" t="s">
        <v>1326</v>
      </c>
      <c r="B465" t="s">
        <v>53</v>
      </c>
      <c r="C465" s="291" t="str">
        <v>Aavas Financiers Ltd</v>
      </c>
      <c r="D465" s="295">
        <v>0.002630869484926</v>
      </c>
      <c r="E465" s="293">
        <f t="shared" si="14"/>
        <v>0</v>
      </c>
      <c r="F465" s="291" t="str">
        <v>Financials</v>
      </c>
      <c r="G465" s="293">
        <f t="shared" si="15"/>
        <v>0</v>
      </c>
      <c r="H465" s="291"/>
      <c r="J465" s="36"/>
      <c r="P465" s="32"/>
      <c r="X465" s="291"/>
      <c r="Z465" s="294" t="s">
        <v>1326</v>
      </c>
      <c r="AB465" t="s">
        <v>1237</v>
      </c>
      <c r="AC465" t="s">
        <v>1759</v>
      </c>
      <c r="AD465" t="s">
        <v>838</v>
      </c>
      <c r="AE465" t="s">
        <v>1333</v>
      </c>
      <c r="AF465">
        <v>37.6906311299312</v>
      </c>
      <c r="AG465">
        <v>3631.53</v>
      </c>
      <c r="AH465" t="s">
        <v>1333</v>
      </c>
      <c r="AI465">
        <v>149798580998.4</v>
      </c>
    </row>
    <row r="466" spans="1:35">
      <c r="A466" s="290" t="s">
        <v>814</v>
      </c>
      <c r="B466" t="s">
        <v>53</v>
      </c>
      <c r="C466" s="291" t="str">
        <v>ABB India Ltd</v>
      </c>
      <c r="D466" s="292">
        <v>0.00420512583176025</v>
      </c>
      <c r="E466" s="293">
        <f t="shared" si="14"/>
        <v>0</v>
      </c>
      <c r="F466" s="291" t="str">
        <v>Industrials</v>
      </c>
      <c r="G466" s="293">
        <f t="shared" si="15"/>
        <v>0</v>
      </c>
      <c r="H466" s="291"/>
      <c r="J466" s="36"/>
      <c r="P466" s="32"/>
      <c r="X466" s="291"/>
      <c r="Z466" s="290" t="s">
        <v>814</v>
      </c>
      <c r="AB466" t="s">
        <v>1252</v>
      </c>
      <c r="AC466" t="s">
        <v>1760</v>
      </c>
      <c r="AD466" t="s">
        <v>813</v>
      </c>
      <c r="AE466">
        <v>37.5898750793467</v>
      </c>
      <c r="AF466">
        <v>15.8831977515173</v>
      </c>
      <c r="AG466">
        <v>70990</v>
      </c>
      <c r="AH466">
        <v>61.91</v>
      </c>
      <c r="AI466">
        <v>2691203205809.3</v>
      </c>
    </row>
    <row r="467" spans="1:35">
      <c r="A467" s="294" t="s">
        <v>817</v>
      </c>
      <c r="B467" t="s">
        <v>53</v>
      </c>
      <c r="C467" s="291" t="str">
        <v>Abbott India Ltd</v>
      </c>
      <c r="D467" s="295">
        <v>0.00656007092472162</v>
      </c>
      <c r="E467" s="293">
        <f t="shared" si="14"/>
        <v>0</v>
      </c>
      <c r="F467" s="291" t="str">
        <v>Health Care</v>
      </c>
      <c r="G467" s="293">
        <f t="shared" si="15"/>
        <v>0</v>
      </c>
      <c r="H467" s="291"/>
      <c r="J467" s="36"/>
      <c r="P467" s="32"/>
      <c r="X467" s="291"/>
      <c r="Z467" s="294" t="s">
        <v>817</v>
      </c>
      <c r="AB467" t="s">
        <v>1355</v>
      </c>
      <c r="AC467" t="s">
        <v>1761</v>
      </c>
      <c r="AD467" t="s">
        <v>813</v>
      </c>
      <c r="AE467">
        <v>51.5525286316552</v>
      </c>
      <c r="AF467">
        <v>15.5901703310516</v>
      </c>
      <c r="AG467">
        <v>6964.14</v>
      </c>
      <c r="AH467">
        <v>75.652935</v>
      </c>
      <c r="AI467">
        <v>372664675759.5</v>
      </c>
    </row>
    <row r="468" spans="1:35">
      <c r="A468" s="290" t="s">
        <v>1329</v>
      </c>
      <c r="B468" t="s">
        <v>53</v>
      </c>
      <c r="C468" s="291" t="str">
        <v>Aditya Birla Fashion and Retai</v>
      </c>
      <c r="D468" s="292">
        <v>0.000708602904803895</v>
      </c>
      <c r="E468" s="293">
        <f t="shared" si="14"/>
        <v>0</v>
      </c>
      <c r="F468" s="291" t="str">
        <v>Consumer Discretionary</v>
      </c>
      <c r="G468" s="293">
        <f t="shared" si="15"/>
        <v>0</v>
      </c>
      <c r="H468" s="291"/>
      <c r="J468" s="36"/>
      <c r="P468" s="32"/>
      <c r="X468" s="291"/>
      <c r="Z468" s="290" t="s">
        <v>1329</v>
      </c>
      <c r="AB468" t="s">
        <v>1375</v>
      </c>
      <c r="AC468" t="s">
        <v>1762</v>
      </c>
      <c r="AD468" t="s">
        <v>819</v>
      </c>
      <c r="AE468">
        <v>71.2307410158854</v>
      </c>
      <c r="AF468" t="s">
        <v>824</v>
      </c>
      <c r="AG468">
        <v>1449.683</v>
      </c>
      <c r="AH468">
        <v>28.29</v>
      </c>
      <c r="AI468">
        <v>109068858340</v>
      </c>
    </row>
    <row r="469" spans="1:35">
      <c r="A469" s="294" t="s">
        <v>1331</v>
      </c>
      <c r="B469" t="s">
        <v>53</v>
      </c>
      <c r="C469" s="291" t="str">
        <v>Aditya Birla Lifestyle Brands</v>
      </c>
      <c r="D469" s="295">
        <v>0.00139542356681332</v>
      </c>
      <c r="E469" s="293">
        <f t="shared" si="14"/>
        <v>0</v>
      </c>
      <c r="F469" s="291" t="str">
        <v>Consumer Discretionary</v>
      </c>
      <c r="G469" s="293">
        <f t="shared" si="15"/>
        <v>0</v>
      </c>
      <c r="H469" s="291"/>
      <c r="J469" s="36"/>
      <c r="P469" s="32"/>
      <c r="X469" s="291"/>
      <c r="Z469" s="294" t="s">
        <v>1331</v>
      </c>
      <c r="AB469" t="s">
        <v>1382</v>
      </c>
      <c r="AC469" t="s">
        <v>1763</v>
      </c>
      <c r="AD469" t="s">
        <v>831</v>
      </c>
      <c r="AE469">
        <v>24.9215459976681</v>
      </c>
      <c r="AF469">
        <v>30.8905936345963</v>
      </c>
      <c r="AG469">
        <v>9861.7</v>
      </c>
      <c r="AH469">
        <v>274.722122</v>
      </c>
      <c r="AI469">
        <v>246508985615</v>
      </c>
    </row>
    <row r="470" spans="1:35">
      <c r="A470" s="290" t="s">
        <v>1334</v>
      </c>
      <c r="B470" t="s">
        <v>53</v>
      </c>
      <c r="C470" s="291" t="str">
        <v>Aditya Birla Sun Life Asset Ma</v>
      </c>
      <c r="D470" s="292">
        <v>0.0101162389243529</v>
      </c>
      <c r="E470" s="293">
        <f t="shared" si="14"/>
        <v>0</v>
      </c>
      <c r="F470" s="291" t="str">
        <v>Financials</v>
      </c>
      <c r="G470" s="293">
        <f t="shared" si="15"/>
        <v>0</v>
      </c>
      <c r="H470" s="291"/>
      <c r="J470" s="36"/>
      <c r="P470" s="32"/>
      <c r="X470" s="291"/>
      <c r="Z470" s="290" t="s">
        <v>1334</v>
      </c>
      <c r="AB470" t="s">
        <v>1393</v>
      </c>
      <c r="AC470" t="s">
        <v>1764</v>
      </c>
      <c r="AD470" t="s">
        <v>819</v>
      </c>
      <c r="AE470">
        <v>279.42029427791</v>
      </c>
      <c r="AF470">
        <v>1.13650818989277</v>
      </c>
      <c r="AG470">
        <v>911.3</v>
      </c>
      <c r="AH470">
        <v>0.69</v>
      </c>
      <c r="AI470">
        <v>256279039464</v>
      </c>
    </row>
    <row r="471" spans="1:35">
      <c r="A471" s="294" t="s">
        <v>1336</v>
      </c>
      <c r="B471" t="s">
        <v>53</v>
      </c>
      <c r="C471" s="291" t="str">
        <v>Afcons Infrastructure Ltd</v>
      </c>
      <c r="D471" s="295">
        <v>0.00206559478388508</v>
      </c>
      <c r="E471" s="293">
        <f t="shared" si="14"/>
        <v>0</v>
      </c>
      <c r="F471" s="291" t="str">
        <v>Industrials</v>
      </c>
      <c r="G471" s="293">
        <f t="shared" si="15"/>
        <v>0</v>
      </c>
      <c r="H471" s="291"/>
      <c r="J471" s="36"/>
      <c r="P471" s="32"/>
      <c r="X471" s="291"/>
      <c r="Z471" s="294" t="s">
        <v>1336</v>
      </c>
      <c r="AB471" t="s">
        <v>1402</v>
      </c>
      <c r="AC471" t="s">
        <v>1765</v>
      </c>
      <c r="AD471" t="s">
        <v>819</v>
      </c>
      <c r="AE471">
        <v>61.5463491586539</v>
      </c>
      <c r="AF471" t="s">
        <v>824</v>
      </c>
      <c r="AG471">
        <v>2434.24</v>
      </c>
      <c r="AH471">
        <v>23.97</v>
      </c>
      <c r="AI471">
        <v>158440920214.6</v>
      </c>
    </row>
    <row r="472" spans="1:35">
      <c r="A472" s="290" t="s">
        <v>825</v>
      </c>
      <c r="B472" t="s">
        <v>53</v>
      </c>
      <c r="C472" s="291" t="str">
        <v>Ajanta Pharma Ltd</v>
      </c>
      <c r="D472" s="292">
        <v>0.00364279349891751</v>
      </c>
      <c r="E472" s="293">
        <f t="shared" si="14"/>
        <v>0</v>
      </c>
      <c r="F472" s="291" t="str">
        <v>Health Care</v>
      </c>
      <c r="G472" s="293">
        <f t="shared" si="15"/>
        <v>0</v>
      </c>
      <c r="H472" s="291"/>
      <c r="J472" s="36"/>
      <c r="P472" s="32"/>
      <c r="X472" s="291"/>
      <c r="Z472" s="290" t="s">
        <v>825</v>
      </c>
      <c r="AB472" t="s">
        <v>1437</v>
      </c>
      <c r="AC472" t="s">
        <v>1766</v>
      </c>
      <c r="AD472" t="s">
        <v>813</v>
      </c>
      <c r="AE472">
        <v>44.574435355968</v>
      </c>
      <c r="AF472">
        <v>14.3302645956755</v>
      </c>
      <c r="AG472">
        <v>4229.455</v>
      </c>
      <c r="AH472">
        <v>37.19</v>
      </c>
      <c r="AI472">
        <v>172367598625.4</v>
      </c>
    </row>
    <row r="473" spans="1:35">
      <c r="A473" s="294" t="s">
        <v>1149</v>
      </c>
      <c r="B473" t="s">
        <v>53</v>
      </c>
      <c r="C473" s="291" t="str">
        <v>Alkem Laboratories Ltd</v>
      </c>
      <c r="D473" s="295">
        <v>0.00458987207688529</v>
      </c>
      <c r="E473" s="293">
        <f t="shared" si="14"/>
        <v>0</v>
      </c>
      <c r="F473" s="291" t="str">
        <v>Health Care</v>
      </c>
      <c r="G473" s="293">
        <f t="shared" si="15"/>
        <v>0</v>
      </c>
      <c r="H473" s="291"/>
      <c r="J473" s="36"/>
      <c r="P473" s="32"/>
      <c r="X473" s="291"/>
      <c r="Z473" s="294" t="s">
        <v>1149</v>
      </c>
      <c r="AB473" t="s">
        <v>1453</v>
      </c>
      <c r="AC473" t="s">
        <v>1767</v>
      </c>
      <c r="AD473" t="s">
        <v>819</v>
      </c>
      <c r="AE473">
        <v>46.8851918759553</v>
      </c>
      <c r="AF473">
        <v>10.5287438457317</v>
      </c>
      <c r="AG473">
        <v>1305.45</v>
      </c>
      <c r="AH473">
        <v>14.72</v>
      </c>
      <c r="AI473">
        <v>66498959483.55</v>
      </c>
    </row>
    <row r="474" spans="1:35">
      <c r="A474" s="290" t="s">
        <v>1338</v>
      </c>
      <c r="B474" t="s">
        <v>53</v>
      </c>
      <c r="C474" s="291" t="str">
        <v>Amara Raja Energy &amp; Mobility L</v>
      </c>
      <c r="D474" s="292">
        <v>0.00320262393459889</v>
      </c>
      <c r="E474" s="293">
        <f t="shared" si="14"/>
        <v>0</v>
      </c>
      <c r="F474" s="291" t="str">
        <v>Industrials</v>
      </c>
      <c r="G474" s="293">
        <f t="shared" si="15"/>
        <v>0</v>
      </c>
      <c r="H474" s="291"/>
      <c r="J474" s="36"/>
      <c r="P474" s="32"/>
      <c r="X474" s="291"/>
      <c r="Z474" s="290" t="s">
        <v>1338</v>
      </c>
      <c r="AB474" t="s">
        <v>1456</v>
      </c>
      <c r="AC474" t="s">
        <v>1768</v>
      </c>
      <c r="AD474" t="s">
        <v>813</v>
      </c>
      <c r="AE474">
        <v>45.0265045213595</v>
      </c>
      <c r="AF474">
        <v>26.0774663614539</v>
      </c>
      <c r="AG474">
        <v>2802.441</v>
      </c>
      <c r="AH474">
        <v>32.07</v>
      </c>
      <c r="AI474">
        <v>130379274064</v>
      </c>
    </row>
    <row r="475" spans="1:35">
      <c r="A475" s="294" t="s">
        <v>836</v>
      </c>
      <c r="B475" t="s">
        <v>53</v>
      </c>
      <c r="C475" s="291" t="str">
        <v>AU Small Finance Bank Ltd</v>
      </c>
      <c r="D475" s="295">
        <v>0.00443807857083956</v>
      </c>
      <c r="E475" s="293">
        <f t="shared" si="14"/>
        <v>0</v>
      </c>
      <c r="F475" s="291" t="str">
        <v>Financials</v>
      </c>
      <c r="G475" s="293">
        <f t="shared" si="15"/>
        <v>0</v>
      </c>
      <c r="H475" s="291"/>
      <c r="J475" s="36"/>
      <c r="P475" s="32"/>
      <c r="X475" s="291"/>
      <c r="Z475" s="294" t="s">
        <v>836</v>
      </c>
      <c r="AB475" t="s">
        <v>1466</v>
      </c>
      <c r="AC475" t="s">
        <v>1769</v>
      </c>
      <c r="AD475" t="s">
        <v>994</v>
      </c>
      <c r="AE475">
        <v>90.1903560442695</v>
      </c>
      <c r="AF475">
        <v>6.10762105748385</v>
      </c>
      <c r="AG475">
        <v>10599.7</v>
      </c>
      <c r="AH475">
        <v>9.05</v>
      </c>
      <c r="AI475">
        <v>956461239560.4</v>
      </c>
    </row>
    <row r="476" spans="1:35">
      <c r="A476" s="290" t="s">
        <v>1341</v>
      </c>
      <c r="B476" t="s">
        <v>53</v>
      </c>
      <c r="C476" s="291" t="str">
        <v>Awfis Space Solutions Ltd</v>
      </c>
      <c r="D476" s="292">
        <v>0.00312683942747396</v>
      </c>
      <c r="E476" s="293">
        <f t="shared" si="14"/>
        <v>0</v>
      </c>
      <c r="F476" s="291" t="str">
        <v>Real Estate</v>
      </c>
      <c r="G476" s="293">
        <f t="shared" si="15"/>
        <v>0</v>
      </c>
      <c r="H476" s="291"/>
      <c r="J476" s="36"/>
      <c r="X476" s="291"/>
      <c r="Z476" s="290" t="s">
        <v>1341</v>
      </c>
      <c r="AB476" t="s">
        <v>1528</v>
      </c>
      <c r="AC476" t="s">
        <v>1770</v>
      </c>
      <c r="AD476" t="s">
        <v>819</v>
      </c>
      <c r="AE476">
        <v>54.8595898771939</v>
      </c>
      <c r="AF476">
        <v>32.9805207847054</v>
      </c>
      <c r="AG476">
        <v>4860.59</v>
      </c>
      <c r="AH476">
        <v>29.2</v>
      </c>
      <c r="AI476">
        <v>274843043402.1</v>
      </c>
    </row>
    <row r="477" spans="1:35">
      <c r="A477" s="294" t="s">
        <v>843</v>
      </c>
      <c r="B477" t="s">
        <v>53</v>
      </c>
      <c r="C477" s="291" t="str">
        <v>Axis Bank Ltd</v>
      </c>
      <c r="D477" s="295">
        <v>0.0374904088888112</v>
      </c>
      <c r="E477" s="293">
        <f t="shared" si="14"/>
        <v>0</v>
      </c>
      <c r="F477" s="291" t="str">
        <v>Financials</v>
      </c>
      <c r="G477" s="293">
        <f t="shared" si="15"/>
        <v>0</v>
      </c>
      <c r="H477" s="291"/>
      <c r="J477" s="36"/>
      <c r="X477" s="291"/>
      <c r="Z477" s="294" t="s">
        <v>843</v>
      </c>
      <c r="AB477" t="s">
        <v>1599</v>
      </c>
      <c r="AC477" t="s">
        <v>1771</v>
      </c>
      <c r="AD477" t="s">
        <v>838</v>
      </c>
      <c r="AE477">
        <v>62.7167402930526</v>
      </c>
      <c r="AF477">
        <v>4.77699976620469</v>
      </c>
      <c r="AG477">
        <v>365.74</v>
      </c>
      <c r="AH477">
        <v>2.33</v>
      </c>
      <c r="AI477">
        <v>22930163283.09</v>
      </c>
    </row>
    <row r="478" spans="1:26">
      <c r="A478" s="290" t="s">
        <v>839</v>
      </c>
      <c r="B478" t="s">
        <v>53</v>
      </c>
      <c r="C478" s="291" t="str">
        <v>Bajaj Auto Ltd</v>
      </c>
      <c r="D478" s="292">
        <v>0.00474202956477478</v>
      </c>
      <c r="E478" s="293">
        <f t="shared" si="14"/>
        <v>0</v>
      </c>
      <c r="F478" s="291" t="str">
        <v>Consumer Discretionary</v>
      </c>
      <c r="G478" s="293">
        <f t="shared" si="15"/>
        <v>0</v>
      </c>
      <c r="H478" s="291"/>
      <c r="J478" s="36"/>
      <c r="X478" s="291"/>
      <c r="Z478" s="290" t="s">
        <v>839</v>
      </c>
    </row>
    <row r="479" spans="1:26">
      <c r="A479" s="294" t="s">
        <v>842</v>
      </c>
      <c r="B479" t="s">
        <v>53</v>
      </c>
      <c r="C479" s="291" t="str">
        <v>Bajaj Finance Ltd</v>
      </c>
      <c r="D479" s="295">
        <v>0.0216681922440462</v>
      </c>
      <c r="E479" s="293">
        <f t="shared" si="14"/>
        <v>0</v>
      </c>
      <c r="F479" s="291" t="str">
        <v>Financials</v>
      </c>
      <c r="G479" s="293">
        <f t="shared" si="15"/>
        <v>0</v>
      </c>
      <c r="H479" s="291"/>
      <c r="J479" s="36"/>
      <c r="X479" s="291"/>
      <c r="Z479" s="294" t="s">
        <v>842</v>
      </c>
    </row>
    <row r="480" spans="1:26">
      <c r="A480" s="290" t="s">
        <v>847</v>
      </c>
      <c r="B480" t="s">
        <v>53</v>
      </c>
      <c r="C480" s="291" t="str">
        <v>Berger Paints India Ltd</v>
      </c>
      <c r="D480" s="292">
        <v>0.00613993997759856</v>
      </c>
      <c r="E480" s="293">
        <f t="shared" si="14"/>
        <v>0</v>
      </c>
      <c r="F480" s="291" t="str">
        <v>Materials</v>
      </c>
      <c r="G480" s="293">
        <f t="shared" si="15"/>
        <v>0</v>
      </c>
      <c r="H480" s="291"/>
      <c r="J480" s="36"/>
      <c r="X480" s="291"/>
      <c r="Z480" s="290" t="s">
        <v>847</v>
      </c>
    </row>
    <row r="481" spans="1:26">
      <c r="A481" s="294" t="s">
        <v>852</v>
      </c>
      <c r="B481" t="s">
        <v>53</v>
      </c>
      <c r="C481" s="291" t="str">
        <v>Bharat Forge Ltd</v>
      </c>
      <c r="D481" s="295">
        <v>0.00289856614359574</v>
      </c>
      <c r="E481" s="293">
        <f t="shared" si="14"/>
        <v>0</v>
      </c>
      <c r="F481" s="291" t="str">
        <v>Consumer Discretionary</v>
      </c>
      <c r="G481" s="293">
        <f t="shared" si="15"/>
        <v>0</v>
      </c>
      <c r="H481" s="291"/>
      <c r="J481" s="36"/>
      <c r="X481" s="291"/>
      <c r="Z481" s="294" t="s">
        <v>852</v>
      </c>
    </row>
    <row r="482" spans="1:26">
      <c r="A482" s="290" t="s">
        <v>859</v>
      </c>
      <c r="B482" t="s">
        <v>53</v>
      </c>
      <c r="C482" s="291" t="str">
        <v>Biocon Ltd</v>
      </c>
      <c r="D482" s="292">
        <v>0.00569588866679035</v>
      </c>
      <c r="E482" s="293">
        <f t="shared" si="14"/>
        <v>0</v>
      </c>
      <c r="F482" s="291" t="str">
        <v>Health Care</v>
      </c>
      <c r="G482" s="293">
        <f t="shared" si="15"/>
        <v>0</v>
      </c>
      <c r="H482" s="291"/>
      <c r="J482" s="36"/>
      <c r="X482" s="291"/>
      <c r="Z482" s="290" t="s">
        <v>859</v>
      </c>
    </row>
    <row r="483" spans="1:26">
      <c r="A483" s="294" t="s">
        <v>861</v>
      </c>
      <c r="B483" t="s">
        <v>53</v>
      </c>
      <c r="C483" s="291" t="str">
        <v>Brigade Enterprises Ltd</v>
      </c>
      <c r="D483" s="295">
        <v>0.00142804026317306</v>
      </c>
      <c r="E483" s="293">
        <f t="shared" si="14"/>
        <v>0</v>
      </c>
      <c r="F483" s="291" t="str">
        <v>Real Estate</v>
      </c>
      <c r="G483" s="293">
        <f t="shared" si="15"/>
        <v>0</v>
      </c>
      <c r="H483" s="291"/>
      <c r="J483" s="36"/>
      <c r="X483" s="291"/>
      <c r="Z483" s="294" t="s">
        <v>861</v>
      </c>
    </row>
    <row r="484" spans="1:26">
      <c r="A484" s="290" t="s">
        <v>1345</v>
      </c>
      <c r="B484" t="s">
        <v>53</v>
      </c>
      <c r="C484" s="291" t="str">
        <v>Care Ratings Ltd</v>
      </c>
      <c r="D484" s="292">
        <v>0.00337763381549419</v>
      </c>
      <c r="E484" s="293">
        <f t="shared" si="14"/>
        <v>0</v>
      </c>
      <c r="F484" s="291" t="str">
        <v>Financials</v>
      </c>
      <c r="G484" s="293">
        <f t="shared" si="15"/>
        <v>0</v>
      </c>
      <c r="H484" s="291"/>
      <c r="J484" s="36"/>
      <c r="X484" s="291"/>
      <c r="Z484" s="290" t="s">
        <v>1345</v>
      </c>
    </row>
    <row r="485" spans="1:26">
      <c r="A485" s="294" t="s">
        <v>1348</v>
      </c>
      <c r="B485" t="s">
        <v>53</v>
      </c>
      <c r="C485" s="291" t="str">
        <v>CESC Ltd</v>
      </c>
      <c r="D485" s="295">
        <v>0.00403110981745633</v>
      </c>
      <c r="E485" s="293">
        <f t="shared" si="14"/>
        <v>0</v>
      </c>
      <c r="F485" s="291" t="str">
        <v>Utilities</v>
      </c>
      <c r="G485" s="293">
        <f t="shared" si="15"/>
        <v>0</v>
      </c>
      <c r="H485" s="291"/>
      <c r="J485" s="36"/>
      <c r="X485" s="291"/>
      <c r="Z485" s="294" t="s">
        <v>1348</v>
      </c>
    </row>
    <row r="486" spans="1:26">
      <c r="A486" s="290" t="s">
        <v>870</v>
      </c>
      <c r="B486" t="s">
        <v>53</v>
      </c>
      <c r="C486" s="291" t="str">
        <v>CG Power &amp; Industrial Solution</v>
      </c>
      <c r="D486" s="292">
        <v>0.00546305798150296</v>
      </c>
      <c r="E486" s="293">
        <f t="shared" si="14"/>
        <v>0</v>
      </c>
      <c r="F486" s="291" t="str">
        <v>Industrials</v>
      </c>
      <c r="G486" s="293">
        <f t="shared" si="15"/>
        <v>0</v>
      </c>
      <c r="H486" s="291"/>
      <c r="J486" s="36"/>
      <c r="X486" s="291"/>
      <c r="Z486" s="290" t="s">
        <v>870</v>
      </c>
    </row>
    <row r="487" spans="1:26">
      <c r="A487" s="294" t="s">
        <v>1316</v>
      </c>
      <c r="B487" t="s">
        <v>53</v>
      </c>
      <c r="C487" s="291" t="str">
        <v>Chalet Hotels Ltd</v>
      </c>
      <c r="D487" s="295">
        <v>0.00322291319797429</v>
      </c>
      <c r="E487" s="293">
        <f t="shared" si="14"/>
        <v>0</v>
      </c>
      <c r="F487" s="291" t="str">
        <v>Consumer Discretionary</v>
      </c>
      <c r="G487" s="293">
        <f t="shared" si="15"/>
        <v>0</v>
      </c>
      <c r="H487" s="291"/>
      <c r="J487" s="36"/>
      <c r="X487" s="291"/>
      <c r="Z487" s="294" t="s">
        <v>1316</v>
      </c>
    </row>
    <row r="488" spans="1:26">
      <c r="A488" s="290" t="s">
        <v>1159</v>
      </c>
      <c r="B488" t="s">
        <v>53</v>
      </c>
      <c r="C488" s="291" t="str">
        <v>CIE Automotive India Ltd</v>
      </c>
      <c r="D488" s="292">
        <v>0.00386988765598446</v>
      </c>
      <c r="E488" s="293">
        <f t="shared" si="14"/>
        <v>0</v>
      </c>
      <c r="F488" s="291" t="str">
        <v>Consumer Discretionary</v>
      </c>
      <c r="G488" s="293">
        <f t="shared" si="15"/>
        <v>0</v>
      </c>
      <c r="H488" s="291"/>
      <c r="J488" s="36"/>
      <c r="X488" s="291"/>
      <c r="Z488" s="290" t="s">
        <v>1159</v>
      </c>
    </row>
    <row r="489" spans="1:26">
      <c r="A489" s="294" t="s">
        <v>1124</v>
      </c>
      <c r="B489" t="s">
        <v>53</v>
      </c>
      <c r="C489" s="291" t="str">
        <v>Colgate-Palmolive India Ltd</v>
      </c>
      <c r="D489" s="295">
        <v>0.00253650446751261</v>
      </c>
      <c r="E489" s="293">
        <f t="shared" si="14"/>
        <v>0</v>
      </c>
      <c r="F489" s="291" t="str">
        <v>Consumer Staples</v>
      </c>
      <c r="G489" s="293">
        <f t="shared" si="15"/>
        <v>0</v>
      </c>
      <c r="H489" s="291"/>
      <c r="J489" s="36"/>
      <c r="X489" s="291"/>
      <c r="Z489" s="294" t="s">
        <v>1124</v>
      </c>
    </row>
    <row r="490" spans="1:26">
      <c r="A490" s="290" t="s">
        <v>888</v>
      </c>
      <c r="B490" t="s">
        <v>53</v>
      </c>
      <c r="C490" s="291" t="str">
        <v>Container Corp Of India Ltd</v>
      </c>
      <c r="D490" s="292">
        <v>0.00673052122467576</v>
      </c>
      <c r="E490" s="293">
        <f t="shared" si="14"/>
        <v>0</v>
      </c>
      <c r="F490" s="291" t="str">
        <v>Industrials</v>
      </c>
      <c r="G490" s="293">
        <f t="shared" si="15"/>
        <v>0</v>
      </c>
      <c r="H490" s="291"/>
      <c r="J490" s="36"/>
      <c r="X490" s="291"/>
      <c r="Z490" s="290" t="s">
        <v>888</v>
      </c>
    </row>
    <row r="491" spans="1:26">
      <c r="A491" s="294" t="s">
        <v>889</v>
      </c>
      <c r="B491" t="s">
        <v>53</v>
      </c>
      <c r="C491" s="291" t="str">
        <v>Craftsman Automation Ltd</v>
      </c>
      <c r="D491" s="295">
        <v>0.00380668340755572</v>
      </c>
      <c r="E491" s="293">
        <f t="shared" si="14"/>
        <v>0</v>
      </c>
      <c r="F491" s="291" t="str">
        <v>Industrials</v>
      </c>
      <c r="G491" s="293">
        <f t="shared" si="15"/>
        <v>0</v>
      </c>
      <c r="H491" s="291"/>
      <c r="J491" s="36"/>
      <c r="X491" s="291"/>
      <c r="Z491" s="294" t="s">
        <v>889</v>
      </c>
    </row>
    <row r="492" spans="1:26">
      <c r="A492" s="290" t="s">
        <v>894</v>
      </c>
      <c r="B492" t="s">
        <v>53</v>
      </c>
      <c r="C492" s="291" t="str">
        <v>Crompton Greaves Consumer Elec</v>
      </c>
      <c r="D492" s="292">
        <v>0.0105004751589903</v>
      </c>
      <c r="E492" s="293">
        <f t="shared" si="14"/>
        <v>0</v>
      </c>
      <c r="F492" s="291" t="str">
        <v>Consumer Discretionary</v>
      </c>
      <c r="G492" s="293">
        <f t="shared" si="15"/>
        <v>0</v>
      </c>
      <c r="H492" s="291"/>
      <c r="J492" s="36"/>
      <c r="X492" s="291"/>
      <c r="Z492" s="290" t="s">
        <v>894</v>
      </c>
    </row>
    <row r="493" spans="1:26">
      <c r="A493" s="294" t="s">
        <v>1352</v>
      </c>
      <c r="B493" t="s">
        <v>53</v>
      </c>
      <c r="C493" s="291" t="str">
        <v>Cyient DLM Ltd</v>
      </c>
      <c r="D493" s="295">
        <v>0.00129521740364356</v>
      </c>
      <c r="E493" s="293">
        <f t="shared" si="14"/>
        <v>0</v>
      </c>
      <c r="F493" s="291" t="str">
        <v>Information Technology</v>
      </c>
      <c r="G493" s="293">
        <f t="shared" si="15"/>
        <v>0</v>
      </c>
      <c r="H493" s="291"/>
      <c r="J493" s="36"/>
      <c r="X493" s="291"/>
      <c r="Z493" s="294" t="s">
        <v>1352</v>
      </c>
    </row>
    <row r="494" spans="1:26">
      <c r="A494" s="290" t="s">
        <v>1295</v>
      </c>
      <c r="B494" t="s">
        <v>53</v>
      </c>
      <c r="C494" s="291" t="str">
        <v>Dalmia Bharat Ltd</v>
      </c>
      <c r="D494" s="292">
        <v>0.00493470019345512</v>
      </c>
      <c r="E494" s="293">
        <f t="shared" si="14"/>
        <v>0</v>
      </c>
      <c r="F494" s="291" t="str">
        <v>Materials</v>
      </c>
      <c r="G494" s="293">
        <f t="shared" si="15"/>
        <v>0</v>
      </c>
      <c r="H494" s="291"/>
      <c r="J494" s="36"/>
      <c r="X494" s="291"/>
      <c r="Z494" s="290" t="s">
        <v>1295</v>
      </c>
    </row>
    <row r="495" spans="1:26">
      <c r="A495" s="294" t="s">
        <v>1356</v>
      </c>
      <c r="B495" t="s">
        <v>53</v>
      </c>
      <c r="C495" s="291" t="str">
        <v>Delhivery Ltd</v>
      </c>
      <c r="D495" s="295">
        <v>0.00782034171229888</v>
      </c>
      <c r="E495" s="293">
        <f t="shared" si="14"/>
        <v>0</v>
      </c>
      <c r="F495" s="291" t="str">
        <v>Industrials</v>
      </c>
      <c r="G495" s="293">
        <f t="shared" si="15"/>
        <v>0</v>
      </c>
      <c r="H495" s="291"/>
      <c r="J495" s="36"/>
      <c r="X495" s="291"/>
      <c r="Z495" s="294" t="s">
        <v>1356</v>
      </c>
    </row>
    <row r="496" spans="1:26">
      <c r="A496" s="290" t="s">
        <v>903</v>
      </c>
      <c r="B496" t="s">
        <v>53</v>
      </c>
      <c r="C496" s="291" t="str">
        <v>Devyani International Ltd</v>
      </c>
      <c r="D496" s="292">
        <v>0.00798758374115101</v>
      </c>
      <c r="E496" s="293">
        <f t="shared" si="14"/>
        <v>0</v>
      </c>
      <c r="F496" s="291" t="str">
        <v>Consumer Discretionary</v>
      </c>
      <c r="G496" s="293">
        <f t="shared" si="15"/>
        <v>0</v>
      </c>
      <c r="H496" s="291"/>
      <c r="J496" s="36"/>
      <c r="X496" s="291"/>
      <c r="Z496" s="290" t="s">
        <v>903</v>
      </c>
    </row>
    <row r="497" spans="1:26">
      <c r="A497" s="294" t="s">
        <v>1112</v>
      </c>
      <c r="B497" t="s">
        <v>53</v>
      </c>
      <c r="C497" s="291" t="str">
        <v>Divi's Laboratories Ltd</v>
      </c>
      <c r="D497" s="295">
        <v>0.00573490446909812</v>
      </c>
      <c r="E497" s="293">
        <f t="shared" si="14"/>
        <v>0</v>
      </c>
      <c r="F497" s="291" t="str">
        <v>Health Care</v>
      </c>
      <c r="G497" s="293">
        <f t="shared" si="15"/>
        <v>0</v>
      </c>
      <c r="H497" s="291"/>
      <c r="J497" s="36"/>
      <c r="X497" s="291"/>
      <c r="Z497" s="294" t="s">
        <v>1112</v>
      </c>
    </row>
    <row r="498" spans="1:26">
      <c r="A498" s="290" t="s">
        <v>911</v>
      </c>
      <c r="B498" t="s">
        <v>53</v>
      </c>
      <c r="C498" s="291" t="str">
        <v>Dr Lal PathLabs Ltd</v>
      </c>
      <c r="D498" s="292">
        <v>0.00257955894261387</v>
      </c>
      <c r="E498" s="293">
        <f t="shared" si="14"/>
        <v>0</v>
      </c>
      <c r="F498" s="291" t="str">
        <v>Health Care</v>
      </c>
      <c r="G498" s="293">
        <f t="shared" si="15"/>
        <v>0</v>
      </c>
      <c r="H498" s="291"/>
      <c r="J498" s="36"/>
      <c r="X498" s="291"/>
      <c r="Z498" s="290" t="s">
        <v>911</v>
      </c>
    </row>
    <row r="499" spans="1:26">
      <c r="A499" s="294" t="s">
        <v>914</v>
      </c>
      <c r="B499" t="s">
        <v>53</v>
      </c>
      <c r="C499" s="291" t="str">
        <v>EIH Ltd</v>
      </c>
      <c r="D499" s="295">
        <v>0.0194217006633374</v>
      </c>
      <c r="E499" s="293">
        <f t="shared" si="14"/>
        <v>0</v>
      </c>
      <c r="F499" s="291" t="str">
        <v>Consumer Discretionary</v>
      </c>
      <c r="G499" s="293">
        <f t="shared" si="15"/>
        <v>0</v>
      </c>
      <c r="H499" s="291"/>
      <c r="J499" s="36"/>
      <c r="X499" s="291"/>
      <c r="Z499" s="294" t="s">
        <v>914</v>
      </c>
    </row>
    <row r="500" spans="1:26">
      <c r="A500" s="290" t="s">
        <v>1358</v>
      </c>
      <c r="B500" t="s">
        <v>53</v>
      </c>
      <c r="C500" s="291" t="str">
        <v>Electronics Mart India Ltd</v>
      </c>
      <c r="D500" s="292">
        <v>0.00224408755691422</v>
      </c>
      <c r="E500" s="293">
        <f t="shared" si="14"/>
        <v>0</v>
      </c>
      <c r="F500" s="291" t="str">
        <v>Consumer Discretionary</v>
      </c>
      <c r="G500" s="293">
        <f t="shared" si="15"/>
        <v>0</v>
      </c>
      <c r="H500" s="291"/>
      <c r="J500" s="36"/>
      <c r="X500" s="291"/>
      <c r="Z500" s="290" t="s">
        <v>1358</v>
      </c>
    </row>
    <row r="501" spans="1:26">
      <c r="A501" s="294" t="s">
        <v>1361</v>
      </c>
      <c r="B501" t="s">
        <v>53</v>
      </c>
      <c r="C501" s="291" t="str">
        <v>Emami Ltd</v>
      </c>
      <c r="D501" s="295">
        <v>0.00536813500389792</v>
      </c>
      <c r="E501" s="293">
        <f t="shared" si="14"/>
        <v>0</v>
      </c>
      <c r="F501" s="291" t="str">
        <v>Consumer Staples</v>
      </c>
      <c r="G501" s="293">
        <f t="shared" si="15"/>
        <v>0</v>
      </c>
      <c r="H501" s="291"/>
      <c r="J501" s="36"/>
      <c r="X501" s="291"/>
      <c r="Z501" s="294" t="s">
        <v>1361</v>
      </c>
    </row>
    <row r="502" spans="1:26">
      <c r="A502" s="290" t="s">
        <v>1363</v>
      </c>
      <c r="B502" t="s">
        <v>53</v>
      </c>
      <c r="C502" s="291" t="str">
        <v>Emcure Pharmaceuticals Ltd</v>
      </c>
      <c r="D502" s="292">
        <v>0.00307226830529185</v>
      </c>
      <c r="E502" s="293">
        <f t="shared" si="14"/>
        <v>0</v>
      </c>
      <c r="F502" s="291" t="str">
        <v>Health Care</v>
      </c>
      <c r="G502" s="293">
        <f t="shared" si="15"/>
        <v>0</v>
      </c>
      <c r="H502" s="291"/>
      <c r="J502" s="36"/>
      <c r="X502" s="291"/>
      <c r="Z502" s="290" t="s">
        <v>1363</v>
      </c>
    </row>
    <row r="503" spans="1:26">
      <c r="A503" s="294" t="s">
        <v>901</v>
      </c>
      <c r="B503" t="s">
        <v>53</v>
      </c>
      <c r="C503" s="291" t="str">
        <v>Eternal Ltd</v>
      </c>
      <c r="D503" s="295">
        <v>0.0105735287125209</v>
      </c>
      <c r="E503" s="293">
        <f t="shared" si="14"/>
        <v>0</v>
      </c>
      <c r="F503" s="291" t="str">
        <v>Consumer Discretionary</v>
      </c>
      <c r="G503" s="293">
        <f t="shared" si="15"/>
        <v>0</v>
      </c>
      <c r="H503" s="291"/>
      <c r="J503" s="36"/>
      <c r="X503" s="291"/>
      <c r="Z503" s="294" t="s">
        <v>901</v>
      </c>
    </row>
    <row r="504" spans="1:26">
      <c r="A504" s="290" t="s">
        <v>1365</v>
      </c>
      <c r="B504" t="s">
        <v>53</v>
      </c>
      <c r="C504" s="291" t="str">
        <v>Exide Industries Ltd</v>
      </c>
      <c r="D504" s="292">
        <v>0.0041879707353989</v>
      </c>
      <c r="E504" s="293">
        <f t="shared" si="14"/>
        <v>0</v>
      </c>
      <c r="F504" s="291" t="str">
        <v>Consumer Discretionary</v>
      </c>
      <c r="G504" s="293">
        <f t="shared" si="15"/>
        <v>0</v>
      </c>
      <c r="H504" s="291"/>
      <c r="J504" s="36"/>
      <c r="X504" s="291"/>
      <c r="Z504" s="290" t="s">
        <v>1365</v>
      </c>
    </row>
    <row r="505" spans="1:26">
      <c r="A505" s="294" t="s">
        <v>1367</v>
      </c>
      <c r="B505" t="s">
        <v>53</v>
      </c>
      <c r="C505" s="291" t="str">
        <v>Finolex Cables Ltd</v>
      </c>
      <c r="D505" s="295">
        <v>0.00194118491787035</v>
      </c>
      <c r="E505" s="293">
        <f t="shared" si="14"/>
        <v>0</v>
      </c>
      <c r="F505" s="291" t="str">
        <v>Industrials</v>
      </c>
      <c r="G505" s="293">
        <f t="shared" si="15"/>
        <v>0</v>
      </c>
      <c r="H505" s="291"/>
      <c r="J505" s="36"/>
      <c r="X505" s="291"/>
      <c r="Z505" s="294" t="s">
        <v>1367</v>
      </c>
    </row>
    <row r="506" spans="1:26">
      <c r="A506" s="290" t="s">
        <v>1132</v>
      </c>
      <c r="B506" t="s">
        <v>53</v>
      </c>
      <c r="C506" s="291" t="str">
        <v>FSN E-Commerce Ventures Ltd</v>
      </c>
      <c r="D506" s="292">
        <v>0.0121733575082953</v>
      </c>
      <c r="E506" s="293">
        <f t="shared" si="14"/>
        <v>0</v>
      </c>
      <c r="F506" s="291" t="str">
        <v>Consumer Discretionary</v>
      </c>
      <c r="G506" s="293">
        <f t="shared" si="15"/>
        <v>0</v>
      </c>
      <c r="H506" s="291"/>
      <c r="J506" s="36"/>
      <c r="X506" s="291"/>
      <c r="Z506" s="290" t="s">
        <v>1132</v>
      </c>
    </row>
    <row r="507" spans="1:26">
      <c r="A507" s="294" t="s">
        <v>909</v>
      </c>
      <c r="B507" t="s">
        <v>53</v>
      </c>
      <c r="C507" s="291" t="str">
        <v>GE Vernova T&amp;D India Ltd</v>
      </c>
      <c r="D507" s="295">
        <v>0.0358237861554063</v>
      </c>
      <c r="E507" s="293">
        <f t="shared" si="14"/>
        <v>0</v>
      </c>
      <c r="F507" s="291" t="str">
        <v>Industrials</v>
      </c>
      <c r="G507" s="293">
        <f t="shared" si="15"/>
        <v>0</v>
      </c>
      <c r="H507" s="291"/>
      <c r="J507" s="36"/>
      <c r="X507" s="291"/>
      <c r="Z507" s="294" t="s">
        <v>909</v>
      </c>
    </row>
    <row r="508" spans="1:26">
      <c r="A508" s="290" t="s">
        <v>1267</v>
      </c>
      <c r="B508" t="s">
        <v>53</v>
      </c>
      <c r="C508" s="291" t="str">
        <v>Gillette India Ltd</v>
      </c>
      <c r="D508" s="292">
        <v>0.00577977667388625</v>
      </c>
      <c r="E508" s="293">
        <f t="shared" si="14"/>
        <v>0</v>
      </c>
      <c r="F508" s="291" t="str">
        <v>Consumer Staples</v>
      </c>
      <c r="G508" s="293">
        <f t="shared" si="15"/>
        <v>0</v>
      </c>
      <c r="H508" s="291"/>
      <c r="J508" s="36"/>
      <c r="X508" s="291"/>
      <c r="Z508" s="290" t="s">
        <v>1267</v>
      </c>
    </row>
    <row r="509" spans="1:26">
      <c r="A509" s="294" t="s">
        <v>1170</v>
      </c>
      <c r="B509" t="s">
        <v>53</v>
      </c>
      <c r="C509" s="291" t="str">
        <v>Gland Pharma Ltd</v>
      </c>
      <c r="D509" s="295">
        <v>0.00659930468022925</v>
      </c>
      <c r="E509" s="293">
        <f t="shared" si="14"/>
        <v>0</v>
      </c>
      <c r="F509" s="291" t="str">
        <v>Health Care</v>
      </c>
      <c r="G509" s="293">
        <f t="shared" si="15"/>
        <v>0</v>
      </c>
      <c r="H509" s="291"/>
      <c r="J509" s="36"/>
      <c r="X509" s="291"/>
      <c r="Z509" s="294" t="s">
        <v>1170</v>
      </c>
    </row>
    <row r="510" spans="1:26">
      <c r="A510" s="290" t="s">
        <v>1369</v>
      </c>
      <c r="B510" t="s">
        <v>53</v>
      </c>
      <c r="C510" s="291" t="str">
        <v>Go Fashion India Ltd</v>
      </c>
      <c r="D510" s="292">
        <v>0.00172580574529612</v>
      </c>
      <c r="E510" s="293">
        <f t="shared" si="14"/>
        <v>0</v>
      </c>
      <c r="F510" s="291" t="str">
        <v>Consumer Discretionary</v>
      </c>
      <c r="G510" s="293">
        <f t="shared" si="15"/>
        <v>0</v>
      </c>
      <c r="H510" s="291"/>
      <c r="J510" s="36"/>
      <c r="X510" s="291"/>
      <c r="Z510" s="290" t="s">
        <v>1369</v>
      </c>
    </row>
    <row r="511" spans="1:26">
      <c r="A511" s="294" t="s">
        <v>919</v>
      </c>
      <c r="B511" t="s">
        <v>53</v>
      </c>
      <c r="C511" s="291" t="str">
        <v>HCL Technologies Ltd</v>
      </c>
      <c r="D511" s="295">
        <v>0.00831827105411362</v>
      </c>
      <c r="E511" s="293">
        <f t="shared" si="14"/>
        <v>0</v>
      </c>
      <c r="F511" s="291" t="str">
        <v>Information Technology</v>
      </c>
      <c r="G511" s="293">
        <f t="shared" si="15"/>
        <v>0</v>
      </c>
      <c r="H511" s="291"/>
      <c r="J511" s="36"/>
      <c r="X511" s="291"/>
      <c r="Z511" s="294" t="s">
        <v>919</v>
      </c>
    </row>
    <row r="512" spans="1:26">
      <c r="A512" s="290" t="s">
        <v>926</v>
      </c>
      <c r="B512" t="s">
        <v>53</v>
      </c>
      <c r="C512" s="291" t="str">
        <v>HDFC Asset Management Co Ltd</v>
      </c>
      <c r="D512" s="292">
        <v>0.0129319087479122</v>
      </c>
      <c r="E512" s="293">
        <f t="shared" ref="E512:E575" si="16">_xlfn.IFNA(D512*VLOOKUP($B512,$AK$1:$AM$34,3,FALSE),0)</f>
        <v>0</v>
      </c>
      <c r="F512" s="291" t="str">
        <v>Financials</v>
      </c>
      <c r="G512" s="293">
        <f t="shared" ref="G512:G575" si="17">_xlfn.IFNA(D512*VLOOKUP($B512,$AK$1:$AM$34,3,FALSE),0)</f>
        <v>0</v>
      </c>
      <c r="H512" s="291"/>
      <c r="J512" s="36"/>
      <c r="X512" s="291"/>
      <c r="Z512" s="290" t="s">
        <v>926</v>
      </c>
    </row>
    <row r="513" spans="1:26">
      <c r="A513" s="294" t="s">
        <v>924</v>
      </c>
      <c r="B513" t="s">
        <v>53</v>
      </c>
      <c r="C513" s="291" t="str">
        <v>HDFC Bank Ltd</v>
      </c>
      <c r="D513" s="295">
        <v>0.0527867480529428</v>
      </c>
      <c r="E513" s="293">
        <f t="shared" si="16"/>
        <v>0</v>
      </c>
      <c r="F513" s="291" t="str">
        <v>Financials</v>
      </c>
      <c r="G513" s="293">
        <f t="shared" si="17"/>
        <v>0</v>
      </c>
      <c r="H513" s="291"/>
      <c r="J513" s="36"/>
      <c r="X513" s="291"/>
      <c r="Z513" s="294" t="s">
        <v>924</v>
      </c>
    </row>
    <row r="514" spans="1:26">
      <c r="A514" s="290" t="s">
        <v>927</v>
      </c>
      <c r="B514" t="s">
        <v>53</v>
      </c>
      <c r="C514" s="291" t="str">
        <v>HDFC Life Insurance Co Ltd</v>
      </c>
      <c r="D514" s="292">
        <v>0.00905650033737512</v>
      </c>
      <c r="E514" s="293">
        <f t="shared" si="16"/>
        <v>0</v>
      </c>
      <c r="F514" s="291" t="str">
        <v>Financials</v>
      </c>
      <c r="G514" s="293">
        <f t="shared" si="17"/>
        <v>0</v>
      </c>
      <c r="H514" s="291"/>
      <c r="J514" s="36"/>
      <c r="X514" s="291"/>
      <c r="Z514" s="290" t="s">
        <v>927</v>
      </c>
    </row>
    <row r="515" spans="1:26">
      <c r="A515" s="294" t="s">
        <v>1371</v>
      </c>
      <c r="B515" t="s">
        <v>53</v>
      </c>
      <c r="C515" s="291" t="str">
        <v>Hitachi Energy India Ltd</v>
      </c>
      <c r="D515" s="295">
        <v>0.0143850027314097</v>
      </c>
      <c r="E515" s="293">
        <f t="shared" si="16"/>
        <v>0</v>
      </c>
      <c r="F515" s="291" t="str">
        <v>Industrials</v>
      </c>
      <c r="G515" s="293">
        <f t="shared" si="17"/>
        <v>0</v>
      </c>
      <c r="H515" s="291"/>
      <c r="J515" s="36"/>
      <c r="X515" s="291"/>
      <c r="Z515" s="294" t="s">
        <v>1371</v>
      </c>
    </row>
    <row r="516" spans="1:26">
      <c r="A516" s="290" t="s">
        <v>1273</v>
      </c>
      <c r="B516" t="s">
        <v>53</v>
      </c>
      <c r="C516" s="291" t="str">
        <v>Hyundai Motor India Ltd</v>
      </c>
      <c r="D516" s="292">
        <v>0.0040140898520789</v>
      </c>
      <c r="E516" s="293">
        <f t="shared" si="16"/>
        <v>0</v>
      </c>
      <c r="F516" s="291" t="str">
        <v>Consumer Discretionary</v>
      </c>
      <c r="G516" s="293">
        <f t="shared" si="17"/>
        <v>0</v>
      </c>
      <c r="H516" s="291"/>
      <c r="J516" s="36"/>
      <c r="X516" s="291"/>
      <c r="Z516" s="290" t="s">
        <v>1273</v>
      </c>
    </row>
    <row r="517" spans="1:26">
      <c r="A517" s="294" t="s">
        <v>936</v>
      </c>
      <c r="B517" t="s">
        <v>53</v>
      </c>
      <c r="C517" s="291" t="str">
        <v>ICICI Bank Ltd</v>
      </c>
      <c r="D517" s="295">
        <v>0.0354561623136626</v>
      </c>
      <c r="E517" s="293">
        <f t="shared" si="16"/>
        <v>0</v>
      </c>
      <c r="F517" s="291" t="str">
        <v>Financials</v>
      </c>
      <c r="G517" s="293">
        <f t="shared" si="17"/>
        <v>0</v>
      </c>
      <c r="H517" s="291"/>
      <c r="J517" s="36"/>
      <c r="X517" s="291"/>
      <c r="Z517" s="294" t="s">
        <v>936</v>
      </c>
    </row>
    <row r="518" spans="1:26">
      <c r="A518" s="290" t="s">
        <v>1373</v>
      </c>
      <c r="B518" t="s">
        <v>53</v>
      </c>
      <c r="C518" s="291" t="str">
        <v>Indigo Paints Ltd</v>
      </c>
      <c r="D518" s="292">
        <v>0.00228701343962756</v>
      </c>
      <c r="E518" s="293">
        <f t="shared" si="16"/>
        <v>0</v>
      </c>
      <c r="F518" s="291" t="str">
        <v>Materials</v>
      </c>
      <c r="G518" s="293">
        <f t="shared" si="17"/>
        <v>0</v>
      </c>
      <c r="H518" s="291"/>
      <c r="J518" s="36"/>
      <c r="X518" s="291"/>
      <c r="Z518" s="290" t="s">
        <v>1373</v>
      </c>
    </row>
    <row r="519" spans="1:26">
      <c r="A519" s="294" t="s">
        <v>1119</v>
      </c>
      <c r="B519" t="s">
        <v>53</v>
      </c>
      <c r="C519" s="291" t="str">
        <v>Info Edge India Ltd</v>
      </c>
      <c r="D519" s="295">
        <v>0.00607655918707792</v>
      </c>
      <c r="E519" s="293">
        <f t="shared" si="16"/>
        <v>0</v>
      </c>
      <c r="F519" s="291" t="str">
        <v>Communication Services</v>
      </c>
      <c r="G519" s="293">
        <f t="shared" si="17"/>
        <v>0</v>
      </c>
      <c r="H519" s="291"/>
      <c r="J519" s="36"/>
      <c r="X519" s="291"/>
      <c r="Z519" s="294" t="s">
        <v>1119</v>
      </c>
    </row>
    <row r="520" spans="1:26">
      <c r="A520" s="290" t="s">
        <v>955</v>
      </c>
      <c r="B520" t="s">
        <v>53</v>
      </c>
      <c r="C520" s="291" t="str">
        <v>Infosys Ltd</v>
      </c>
      <c r="D520" s="292">
        <v>0.015788444796446</v>
      </c>
      <c r="E520" s="293">
        <f t="shared" si="16"/>
        <v>0</v>
      </c>
      <c r="F520" s="291" t="str">
        <v>Information Technology</v>
      </c>
      <c r="G520" s="293">
        <f t="shared" si="17"/>
        <v>0</v>
      </c>
      <c r="H520" s="291"/>
      <c r="J520" s="36"/>
      <c r="X520" s="291"/>
      <c r="Z520" s="290" t="s">
        <v>955</v>
      </c>
    </row>
    <row r="521" spans="1:26">
      <c r="A521" s="294" t="s">
        <v>958</v>
      </c>
      <c r="B521" t="s">
        <v>53</v>
      </c>
      <c r="C521" s="291" t="str">
        <v>InterGlobe Aviation Ltd</v>
      </c>
      <c r="D521" s="295">
        <v>0.0104723417599518</v>
      </c>
      <c r="E521" s="293">
        <f t="shared" si="16"/>
        <v>0</v>
      </c>
      <c r="F521" s="291" t="str">
        <v>Industrials</v>
      </c>
      <c r="G521" s="293">
        <f t="shared" si="17"/>
        <v>0</v>
      </c>
      <c r="H521" s="291"/>
      <c r="J521" s="36"/>
      <c r="X521" s="291"/>
      <c r="Z521" s="294" t="s">
        <v>958</v>
      </c>
    </row>
    <row r="522" spans="1:26">
      <c r="A522" s="290" t="s">
        <v>941</v>
      </c>
      <c r="B522" t="s">
        <v>53</v>
      </c>
      <c r="C522" s="291" t="str">
        <v>ITC Hotels Ltd</v>
      </c>
      <c r="D522" s="292">
        <v>0.000576181079162141</v>
      </c>
      <c r="E522" s="293">
        <f t="shared" si="16"/>
        <v>0</v>
      </c>
      <c r="F522" s="291" t="str">
        <v>Consumer Discretionary</v>
      </c>
      <c r="G522" s="293">
        <f t="shared" si="17"/>
        <v>0</v>
      </c>
      <c r="H522" s="291"/>
      <c r="J522" s="36"/>
      <c r="X522" s="291"/>
      <c r="Z522" s="290" t="s">
        <v>941</v>
      </c>
    </row>
    <row r="523" spans="1:26">
      <c r="A523" s="294" t="s">
        <v>961</v>
      </c>
      <c r="B523" t="s">
        <v>53</v>
      </c>
      <c r="C523" s="291" t="str">
        <v>ITC Ltd</v>
      </c>
      <c r="D523" s="295">
        <v>0.0140153584635032</v>
      </c>
      <c r="E523" s="293">
        <f t="shared" si="16"/>
        <v>0</v>
      </c>
      <c r="F523" s="291" t="str">
        <v>Consumer Staples</v>
      </c>
      <c r="G523" s="293">
        <f t="shared" si="17"/>
        <v>0</v>
      </c>
      <c r="H523" s="291"/>
      <c r="J523" s="36"/>
      <c r="X523" s="291"/>
      <c r="Z523" s="294" t="s">
        <v>961</v>
      </c>
    </row>
    <row r="524" spans="1:26">
      <c r="A524" s="290" t="s">
        <v>1344</v>
      </c>
      <c r="B524" t="s">
        <v>53</v>
      </c>
      <c r="C524" s="291" t="str">
        <v>JB Chemicals &amp; Pharmaceuticals</v>
      </c>
      <c r="D524" s="292">
        <v>0.00366279288453708</v>
      </c>
      <c r="E524" s="293">
        <f t="shared" si="16"/>
        <v>0</v>
      </c>
      <c r="F524" s="291" t="str">
        <v>Health Care</v>
      </c>
      <c r="G524" s="293">
        <f t="shared" si="17"/>
        <v>0</v>
      </c>
      <c r="H524" s="291"/>
      <c r="J524" s="36"/>
      <c r="X524" s="291"/>
      <c r="Z524" s="290" t="s">
        <v>1344</v>
      </c>
    </row>
    <row r="525" spans="1:26">
      <c r="A525" s="294" t="s">
        <v>943</v>
      </c>
      <c r="B525" t="s">
        <v>53</v>
      </c>
      <c r="C525" s="291" t="str">
        <v>JK Cement Ltd</v>
      </c>
      <c r="D525" s="295">
        <v>0.00362837589474646</v>
      </c>
      <c r="E525" s="293">
        <f t="shared" si="16"/>
        <v>0</v>
      </c>
      <c r="F525" s="291" t="str">
        <v>Materials</v>
      </c>
      <c r="G525" s="293">
        <f t="shared" si="17"/>
        <v>0</v>
      </c>
      <c r="H525" s="291"/>
      <c r="J525" s="36"/>
      <c r="X525" s="291"/>
      <c r="Z525" s="294" t="s">
        <v>943</v>
      </c>
    </row>
    <row r="526" spans="1:26">
      <c r="A526" s="290" t="s">
        <v>1350</v>
      </c>
      <c r="B526" t="s">
        <v>53</v>
      </c>
      <c r="C526" s="291" t="str">
        <v>Jubilant Foodworks Ltd</v>
      </c>
      <c r="D526" s="292">
        <v>0.00641185838974967</v>
      </c>
      <c r="E526" s="293">
        <f t="shared" si="16"/>
        <v>0</v>
      </c>
      <c r="F526" s="291" t="str">
        <v>Consumer Discretionary</v>
      </c>
      <c r="G526" s="293">
        <f t="shared" si="17"/>
        <v>0</v>
      </c>
      <c r="H526" s="291"/>
      <c r="J526" s="36"/>
      <c r="X526" s="291"/>
      <c r="Z526" s="290" t="s">
        <v>1350</v>
      </c>
    </row>
    <row r="527" spans="1:26">
      <c r="A527" s="294" t="s">
        <v>948</v>
      </c>
      <c r="B527" t="s">
        <v>53</v>
      </c>
      <c r="C527" s="291" t="str">
        <v>Kajaria Ceramics Ltd</v>
      </c>
      <c r="D527" s="295">
        <v>0.00408344473980782</v>
      </c>
      <c r="E527" s="293">
        <f t="shared" si="16"/>
        <v>0</v>
      </c>
      <c r="F527" s="291" t="str">
        <v>Industrials</v>
      </c>
      <c r="G527" s="293">
        <f t="shared" si="17"/>
        <v>0</v>
      </c>
      <c r="H527" s="291"/>
      <c r="J527" s="36"/>
      <c r="X527" s="291"/>
      <c r="Z527" s="294" t="s">
        <v>948</v>
      </c>
    </row>
    <row r="528" spans="1:26">
      <c r="A528" s="290" t="s">
        <v>1167</v>
      </c>
      <c r="B528" t="s">
        <v>53</v>
      </c>
      <c r="C528" s="291" t="str">
        <v>Kalpataru Projects Internation</v>
      </c>
      <c r="D528" s="292">
        <v>0.00154698168340319</v>
      </c>
      <c r="E528" s="293">
        <f t="shared" si="16"/>
        <v>0</v>
      </c>
      <c r="F528" s="291" t="str">
        <v>Industrials</v>
      </c>
      <c r="G528" s="293">
        <f t="shared" si="17"/>
        <v>0</v>
      </c>
      <c r="H528" s="291"/>
      <c r="J528" s="36"/>
      <c r="X528" s="291"/>
      <c r="Z528" s="290" t="s">
        <v>1167</v>
      </c>
    </row>
    <row r="529" spans="1:26">
      <c r="A529" s="294" t="s">
        <v>1378</v>
      </c>
      <c r="B529" t="s">
        <v>53</v>
      </c>
      <c r="C529" s="291" t="str">
        <v>Kansai Nerolac Paints Ltd</v>
      </c>
      <c r="D529" s="295">
        <v>0.00411204455869406</v>
      </c>
      <c r="E529" s="293">
        <f t="shared" si="16"/>
        <v>0</v>
      </c>
      <c r="F529" s="291" t="str">
        <v>Materials</v>
      </c>
      <c r="G529" s="293">
        <f t="shared" si="17"/>
        <v>0</v>
      </c>
      <c r="H529" s="291"/>
      <c r="J529" s="36"/>
      <c r="X529" s="291"/>
      <c r="Z529" s="294" t="s">
        <v>1378</v>
      </c>
    </row>
    <row r="530" spans="1:26">
      <c r="A530" s="290" t="s">
        <v>1380</v>
      </c>
      <c r="B530" t="s">
        <v>53</v>
      </c>
      <c r="C530" s="291" t="str">
        <v>KEC International Ltd</v>
      </c>
      <c r="D530" s="292">
        <v>0.00653628787155239</v>
      </c>
      <c r="E530" s="293">
        <f t="shared" si="16"/>
        <v>0</v>
      </c>
      <c r="F530" s="291" t="str">
        <v>Industrials</v>
      </c>
      <c r="G530" s="293">
        <f t="shared" si="17"/>
        <v>0</v>
      </c>
      <c r="H530" s="291"/>
      <c r="J530" s="36"/>
      <c r="X530" s="291"/>
      <c r="Z530" s="290" t="s">
        <v>1380</v>
      </c>
    </row>
    <row r="531" spans="1:26">
      <c r="A531" s="294" t="s">
        <v>1383</v>
      </c>
      <c r="B531" t="s">
        <v>53</v>
      </c>
      <c r="C531" s="291" t="str">
        <v>Kennametal India Ltd</v>
      </c>
      <c r="D531" s="295">
        <v>0.00922648203794954</v>
      </c>
      <c r="E531" s="293">
        <f t="shared" si="16"/>
        <v>0</v>
      </c>
      <c r="F531" s="291" t="str">
        <v>Industrials</v>
      </c>
      <c r="G531" s="293">
        <f t="shared" si="17"/>
        <v>0</v>
      </c>
      <c r="H531" s="291"/>
      <c r="J531" s="36"/>
      <c r="X531" s="291"/>
      <c r="Z531" s="294" t="s">
        <v>1383</v>
      </c>
    </row>
    <row r="532" spans="1:26">
      <c r="A532" s="290" t="s">
        <v>975</v>
      </c>
      <c r="B532" t="s">
        <v>53</v>
      </c>
      <c r="C532" s="291" t="str">
        <v>Larsen &amp; Toubro Ltd</v>
      </c>
      <c r="D532" s="292">
        <v>0.0188825084217243</v>
      </c>
      <c r="E532" s="293">
        <f t="shared" si="16"/>
        <v>0</v>
      </c>
      <c r="F532" s="291" t="str">
        <v>Industrials</v>
      </c>
      <c r="G532" s="293">
        <f t="shared" si="17"/>
        <v>0</v>
      </c>
      <c r="H532" s="291"/>
      <c r="J532" s="36"/>
      <c r="X532" s="291"/>
      <c r="Z532" s="290" t="s">
        <v>975</v>
      </c>
    </row>
    <row r="533" spans="1:26">
      <c r="A533" s="294" t="s">
        <v>960</v>
      </c>
      <c r="B533" t="s">
        <v>53</v>
      </c>
      <c r="C533" s="291" t="str">
        <v>Linde India Ltd</v>
      </c>
      <c r="D533" s="295">
        <v>0.021842304157758</v>
      </c>
      <c r="E533" s="293">
        <f t="shared" si="16"/>
        <v>0</v>
      </c>
      <c r="F533" s="291" t="str">
        <v>Materials</v>
      </c>
      <c r="G533" s="293">
        <f t="shared" si="17"/>
        <v>0</v>
      </c>
      <c r="H533" s="291"/>
      <c r="J533" s="36"/>
      <c r="X533" s="291"/>
      <c r="Z533" s="294" t="s">
        <v>960</v>
      </c>
    </row>
    <row r="534" spans="1:26">
      <c r="A534" s="290" t="s">
        <v>978</v>
      </c>
      <c r="B534" t="s">
        <v>53</v>
      </c>
      <c r="C534" s="291" t="str">
        <v>Lupin Ltd</v>
      </c>
      <c r="D534" s="292">
        <v>0.0105955419857072</v>
      </c>
      <c r="E534" s="293">
        <f t="shared" si="16"/>
        <v>0</v>
      </c>
      <c r="F534" s="291" t="str">
        <v>Health Care</v>
      </c>
      <c r="G534" s="293">
        <f t="shared" si="17"/>
        <v>0</v>
      </c>
      <c r="H534" s="291"/>
      <c r="J534" s="36"/>
      <c r="X534" s="291"/>
      <c r="Z534" s="290" t="s">
        <v>978</v>
      </c>
    </row>
    <row r="535" spans="1:26">
      <c r="A535" s="294" t="s">
        <v>966</v>
      </c>
      <c r="B535" t="s">
        <v>53</v>
      </c>
      <c r="C535" s="291" t="str">
        <v>Mahindra &amp; Mahindra Ltd</v>
      </c>
      <c r="D535" s="295">
        <v>0.00705077075889685</v>
      </c>
      <c r="E535" s="293">
        <f t="shared" si="16"/>
        <v>0</v>
      </c>
      <c r="F535" s="291" t="str">
        <v>Consumer Discretionary</v>
      </c>
      <c r="G535" s="293">
        <f t="shared" si="17"/>
        <v>0</v>
      </c>
      <c r="H535" s="291"/>
      <c r="J535" s="36"/>
      <c r="X535" s="291"/>
      <c r="Z535" s="294" t="s">
        <v>966</v>
      </c>
    </row>
    <row r="536" spans="1:26">
      <c r="A536" s="290" t="s">
        <v>1385</v>
      </c>
      <c r="B536" t="s">
        <v>53</v>
      </c>
      <c r="C536" s="291" t="str">
        <v>Mahindra Logistics Ltd</v>
      </c>
      <c r="D536" s="292">
        <v>0.00287709339434507</v>
      </c>
      <c r="E536" s="293">
        <f t="shared" si="16"/>
        <v>0</v>
      </c>
      <c r="F536" s="291" t="str">
        <v>Industrials</v>
      </c>
      <c r="G536" s="293">
        <f t="shared" si="17"/>
        <v>0</v>
      </c>
      <c r="H536" s="291"/>
      <c r="J536" s="36"/>
      <c r="X536" s="291"/>
      <c r="Z536" s="290" t="s">
        <v>1385</v>
      </c>
    </row>
    <row r="537" spans="1:26">
      <c r="A537" s="294" t="s">
        <v>1181</v>
      </c>
      <c r="B537" t="s">
        <v>53</v>
      </c>
      <c r="C537" s="291" t="str">
        <v>Max Financial Services Ltd</v>
      </c>
      <c r="D537" s="295">
        <v>0.0242153851364801</v>
      </c>
      <c r="E537" s="293">
        <f t="shared" si="16"/>
        <v>0</v>
      </c>
      <c r="F537" s="291" t="str">
        <v>Financials</v>
      </c>
      <c r="G537" s="293">
        <f t="shared" si="17"/>
        <v>0</v>
      </c>
      <c r="H537" s="291"/>
      <c r="J537" s="36"/>
      <c r="X537" s="291"/>
      <c r="Z537" s="294" t="s">
        <v>1181</v>
      </c>
    </row>
    <row r="538" spans="1:26">
      <c r="A538" s="290" t="s">
        <v>1387</v>
      </c>
      <c r="B538" t="s">
        <v>53</v>
      </c>
      <c r="C538" s="291" t="str">
        <v>Medplus Health Services Ltd</v>
      </c>
      <c r="D538" s="292">
        <v>0.00512701991748367</v>
      </c>
      <c r="E538" s="293">
        <f t="shared" si="16"/>
        <v>0</v>
      </c>
      <c r="F538" s="291" t="str">
        <v>Consumer Staples</v>
      </c>
      <c r="G538" s="293">
        <f t="shared" si="17"/>
        <v>0</v>
      </c>
      <c r="H538" s="291"/>
      <c r="J538" s="36"/>
      <c r="X538" s="291"/>
      <c r="Z538" s="290" t="s">
        <v>1387</v>
      </c>
    </row>
    <row r="539" spans="1:26">
      <c r="A539" s="294" t="s">
        <v>1389</v>
      </c>
      <c r="B539" t="s">
        <v>53</v>
      </c>
      <c r="C539" s="291" t="str">
        <v>Narayana Hrudayalaya Ltd</v>
      </c>
      <c r="D539" s="295">
        <v>0.00345638684520128</v>
      </c>
      <c r="E539" s="293">
        <f t="shared" si="16"/>
        <v>0</v>
      </c>
      <c r="F539" s="291" t="str">
        <v>Health Care</v>
      </c>
      <c r="G539" s="293">
        <f t="shared" si="17"/>
        <v>0</v>
      </c>
      <c r="H539" s="291"/>
      <c r="J539" s="36"/>
      <c r="X539" s="291"/>
      <c r="Z539" s="294" t="s">
        <v>1389</v>
      </c>
    </row>
    <row r="540" spans="1:26">
      <c r="A540" s="290" t="s">
        <v>1391</v>
      </c>
      <c r="B540" t="s">
        <v>53</v>
      </c>
      <c r="C540" s="291" t="str">
        <v>Niva Bupa Health Insurance Co</v>
      </c>
      <c r="D540" s="292">
        <v>0.00257859994853446</v>
      </c>
      <c r="E540" s="293">
        <f t="shared" si="16"/>
        <v>0</v>
      </c>
      <c r="F540" s="291" t="str">
        <v>Financials</v>
      </c>
      <c r="G540" s="293">
        <f t="shared" si="17"/>
        <v>0</v>
      </c>
      <c r="H540" s="291"/>
      <c r="J540" s="36"/>
      <c r="X540" s="291"/>
      <c r="Z540" s="290" t="s">
        <v>1391</v>
      </c>
    </row>
    <row r="541" spans="1:26">
      <c r="A541" s="294" t="s">
        <v>1394</v>
      </c>
      <c r="B541" t="s">
        <v>53</v>
      </c>
      <c r="C541" s="291" t="str">
        <v>NLC India Ltd</v>
      </c>
      <c r="D541" s="295">
        <v>0.00354311696202341</v>
      </c>
      <c r="E541" s="293">
        <f t="shared" si="16"/>
        <v>0</v>
      </c>
      <c r="F541" s="291" t="str">
        <v>Utilities</v>
      </c>
      <c r="G541" s="293">
        <f t="shared" si="17"/>
        <v>0</v>
      </c>
      <c r="H541" s="291"/>
      <c r="J541" s="36"/>
      <c r="X541" s="291"/>
      <c r="Z541" s="294" t="s">
        <v>1394</v>
      </c>
    </row>
    <row r="542" spans="1:26">
      <c r="A542" s="290" t="s">
        <v>1130</v>
      </c>
      <c r="B542" t="s">
        <v>53</v>
      </c>
      <c r="C542" s="291" t="str">
        <v>NTPC Green Energy Ltd</v>
      </c>
      <c r="D542" s="292">
        <v>0.00593459972941009</v>
      </c>
      <c r="E542" s="293">
        <f t="shared" si="16"/>
        <v>0</v>
      </c>
      <c r="F542" s="291" t="str">
        <v>Utilities</v>
      </c>
      <c r="G542" s="293">
        <f t="shared" si="17"/>
        <v>0</v>
      </c>
      <c r="H542" s="291"/>
      <c r="J542" s="36"/>
      <c r="X542" s="291"/>
      <c r="Z542" s="290" t="s">
        <v>1130</v>
      </c>
    </row>
    <row r="543" spans="1:26">
      <c r="A543" s="294" t="s">
        <v>992</v>
      </c>
      <c r="B543" t="s">
        <v>53</v>
      </c>
      <c r="C543" s="291" t="str">
        <v>NTPC Ltd</v>
      </c>
      <c r="D543" s="295">
        <v>0.0216822894570134</v>
      </c>
      <c r="E543" s="293">
        <f t="shared" si="16"/>
        <v>0</v>
      </c>
      <c r="F543" s="291" t="str">
        <v>Utilities</v>
      </c>
      <c r="G543" s="293">
        <f t="shared" si="17"/>
        <v>0</v>
      </c>
      <c r="H543" s="291"/>
      <c r="J543" s="36"/>
      <c r="X543" s="291"/>
      <c r="Z543" s="294" t="s">
        <v>992</v>
      </c>
    </row>
    <row r="544" spans="1:26">
      <c r="A544" s="290" t="s">
        <v>1396</v>
      </c>
      <c r="B544" t="s">
        <v>53</v>
      </c>
      <c r="C544" s="291" t="str">
        <v>Ola Electric Mobility Ltd</v>
      </c>
      <c r="D544" s="292">
        <v>0.00102863666535713</v>
      </c>
      <c r="E544" s="293">
        <f t="shared" si="16"/>
        <v>0</v>
      </c>
      <c r="F544" s="291" t="str">
        <v>Consumer Discretionary</v>
      </c>
      <c r="G544" s="293">
        <f t="shared" si="17"/>
        <v>0</v>
      </c>
      <c r="H544" s="291"/>
      <c r="J544" s="36"/>
      <c r="X544" s="291"/>
      <c r="Z544" s="290" t="s">
        <v>1396</v>
      </c>
    </row>
    <row r="545" spans="1:26">
      <c r="A545" s="294" t="s">
        <v>1321</v>
      </c>
      <c r="B545" t="s">
        <v>53</v>
      </c>
      <c r="C545" s="291" t="str">
        <v>One 97 Communications Ltd</v>
      </c>
      <c r="D545" s="295">
        <v>0.00654378328209574</v>
      </c>
      <c r="E545" s="293">
        <f t="shared" si="16"/>
        <v>0</v>
      </c>
      <c r="F545" s="291" t="str">
        <v>Financials</v>
      </c>
      <c r="G545" s="293">
        <f t="shared" si="17"/>
        <v>0</v>
      </c>
      <c r="H545" s="291"/>
      <c r="J545" s="36"/>
      <c r="X545" s="291"/>
      <c r="Z545" s="294" t="s">
        <v>1321</v>
      </c>
    </row>
    <row r="546" spans="1:26">
      <c r="A546" s="290" t="s">
        <v>1008</v>
      </c>
      <c r="B546" t="s">
        <v>53</v>
      </c>
      <c r="C546" s="291" t="str">
        <v>Page Industries Ltd</v>
      </c>
      <c r="D546" s="292">
        <v>0.00533806835997659</v>
      </c>
      <c r="E546" s="293">
        <f t="shared" si="16"/>
        <v>0</v>
      </c>
      <c r="F546" s="291" t="str">
        <v>Consumer Discretionary</v>
      </c>
      <c r="G546" s="293">
        <f t="shared" si="17"/>
        <v>0</v>
      </c>
      <c r="H546" s="291"/>
      <c r="J546" s="36"/>
      <c r="X546" s="291"/>
      <c r="Z546" s="290" t="s">
        <v>1008</v>
      </c>
    </row>
    <row r="547" spans="1:26">
      <c r="A547" s="294" t="s">
        <v>1398</v>
      </c>
      <c r="B547" t="s">
        <v>53</v>
      </c>
      <c r="C547" s="291" t="str">
        <v>Pfizer Ltd</v>
      </c>
      <c r="D547" s="295">
        <v>0.00410801242449656</v>
      </c>
      <c r="E547" s="293">
        <f t="shared" si="16"/>
        <v>0</v>
      </c>
      <c r="F547" s="291" t="str">
        <v>Health Care</v>
      </c>
      <c r="G547" s="293">
        <f t="shared" si="17"/>
        <v>0</v>
      </c>
      <c r="H547" s="291"/>
      <c r="J547" s="36"/>
      <c r="X547" s="291"/>
      <c r="Z547" s="294" t="s">
        <v>1398</v>
      </c>
    </row>
    <row r="548" spans="1:26">
      <c r="A548" s="290" t="s">
        <v>1400</v>
      </c>
      <c r="B548" t="s">
        <v>53</v>
      </c>
      <c r="C548" s="291" t="str">
        <v>PNB Housing Finance Ltd</v>
      </c>
      <c r="D548" s="292">
        <v>0.00230848618887823</v>
      </c>
      <c r="E548" s="293">
        <f t="shared" si="16"/>
        <v>0</v>
      </c>
      <c r="F548" s="291" t="str">
        <v>Financials</v>
      </c>
      <c r="G548" s="293">
        <f t="shared" si="17"/>
        <v>0</v>
      </c>
      <c r="H548" s="291"/>
      <c r="J548" s="36"/>
      <c r="X548" s="291"/>
      <c r="Z548" s="290" t="s">
        <v>1400</v>
      </c>
    </row>
    <row r="549" spans="1:26">
      <c r="A549" s="294" t="s">
        <v>1020</v>
      </c>
      <c r="B549" t="s">
        <v>53</v>
      </c>
      <c r="C549" s="291" t="str">
        <v>Power Finance Corp Ltd</v>
      </c>
      <c r="D549" s="295">
        <v>0.00373035837649512</v>
      </c>
      <c r="E549" s="293">
        <f t="shared" si="16"/>
        <v>0</v>
      </c>
      <c r="F549" s="291" t="str">
        <v>Financials</v>
      </c>
      <c r="G549" s="293">
        <f t="shared" si="17"/>
        <v>0</v>
      </c>
      <c r="H549" s="291"/>
      <c r="J549" s="36"/>
      <c r="X549" s="291"/>
      <c r="Z549" s="294" t="s">
        <v>1020</v>
      </c>
    </row>
    <row r="550" spans="1:26">
      <c r="A550" s="290" t="s">
        <v>1323</v>
      </c>
      <c r="B550" t="s">
        <v>53</v>
      </c>
      <c r="C550" s="291" t="str">
        <v>PVR Inox Ltd</v>
      </c>
      <c r="D550" s="292">
        <v>0.00719477679711141</v>
      </c>
      <c r="E550" s="293">
        <f t="shared" si="16"/>
        <v>0</v>
      </c>
      <c r="F550" s="291" t="str">
        <v>Communication Services</v>
      </c>
      <c r="G550" s="293">
        <f t="shared" si="17"/>
        <v>0</v>
      </c>
      <c r="H550" s="291"/>
      <c r="J550" s="36"/>
      <c r="X550" s="291"/>
      <c r="Z550" s="290" t="s">
        <v>1323</v>
      </c>
    </row>
    <row r="551" spans="1:26">
      <c r="A551" s="294" t="s">
        <v>1031</v>
      </c>
      <c r="B551" t="s">
        <v>53</v>
      </c>
      <c r="C551" s="291" t="str">
        <v>REC Ltd</v>
      </c>
      <c r="D551" s="295">
        <v>0.00538944210871668</v>
      </c>
      <c r="E551" s="293">
        <f t="shared" si="16"/>
        <v>0</v>
      </c>
      <c r="F551" s="291" t="str">
        <v>Financials</v>
      </c>
      <c r="G551" s="293">
        <f t="shared" si="17"/>
        <v>0</v>
      </c>
      <c r="H551" s="291"/>
      <c r="J551" s="36"/>
      <c r="X551" s="291"/>
      <c r="Z551" s="294" t="s">
        <v>1031</v>
      </c>
    </row>
    <row r="552" spans="1:26">
      <c r="A552" s="290" t="s">
        <v>1034</v>
      </c>
      <c r="B552" t="s">
        <v>53</v>
      </c>
      <c r="C552" s="291" t="str">
        <v>Reliance Industries Ltd</v>
      </c>
      <c r="D552" s="292">
        <v>0.0289938542967403</v>
      </c>
      <c r="E552" s="293">
        <f t="shared" si="16"/>
        <v>0</v>
      </c>
      <c r="F552" s="291" t="str">
        <v>Energy</v>
      </c>
      <c r="G552" s="293">
        <f t="shared" si="17"/>
        <v>0</v>
      </c>
      <c r="H552" s="291"/>
      <c r="J552" s="36"/>
      <c r="X552" s="291"/>
      <c r="Z552" s="290" t="s">
        <v>1034</v>
      </c>
    </row>
    <row r="553" spans="1:26">
      <c r="A553" s="294" t="s">
        <v>1403</v>
      </c>
      <c r="B553" t="s">
        <v>53</v>
      </c>
      <c r="C553" s="291" t="str">
        <v>SAI Life Sciences Ltd</v>
      </c>
      <c r="D553" s="295">
        <v>0.00538519420085132</v>
      </c>
      <c r="E553" s="293">
        <f t="shared" si="16"/>
        <v>0</v>
      </c>
      <c r="F553" s="291" t="str">
        <v>Health Care</v>
      </c>
      <c r="G553" s="293">
        <f t="shared" si="17"/>
        <v>0</v>
      </c>
      <c r="H553" s="291"/>
      <c r="J553" s="36"/>
      <c r="X553" s="291"/>
      <c r="Z553" s="294" t="s">
        <v>1403</v>
      </c>
    </row>
    <row r="554" spans="1:26">
      <c r="A554" s="290" t="s">
        <v>1019</v>
      </c>
      <c r="B554" t="s">
        <v>53</v>
      </c>
      <c r="C554" s="291" t="str">
        <v>Samvardhana Motherson Internat</v>
      </c>
      <c r="D554" s="292">
        <v>0.00953033059388083</v>
      </c>
      <c r="E554" s="293">
        <f t="shared" si="16"/>
        <v>0</v>
      </c>
      <c r="F554" s="291" t="str">
        <v>Consumer Discretionary</v>
      </c>
      <c r="G554" s="293">
        <f t="shared" si="17"/>
        <v>0</v>
      </c>
      <c r="H554" s="291"/>
      <c r="J554" s="36"/>
      <c r="X554" s="291"/>
      <c r="Z554" s="290" t="s">
        <v>1019</v>
      </c>
    </row>
    <row r="555" spans="1:26">
      <c r="A555" s="294" t="s">
        <v>1405</v>
      </c>
      <c r="B555" t="s">
        <v>53</v>
      </c>
      <c r="C555" s="291" t="str">
        <v>Sanofi Consumer Healthcare Ind</v>
      </c>
      <c r="D555" s="295">
        <v>0.00162993467127167</v>
      </c>
      <c r="E555" s="293">
        <f t="shared" si="16"/>
        <v>0</v>
      </c>
      <c r="F555" s="291" t="str">
        <v>Health Care</v>
      </c>
      <c r="G555" s="293">
        <f t="shared" si="17"/>
        <v>0</v>
      </c>
      <c r="H555" s="291"/>
      <c r="J555" s="36"/>
      <c r="X555" s="291"/>
      <c r="Z555" s="294" t="s">
        <v>1405</v>
      </c>
    </row>
    <row r="556" spans="1:26">
      <c r="A556" s="290" t="s">
        <v>1407</v>
      </c>
      <c r="B556" t="s">
        <v>53</v>
      </c>
      <c r="C556" s="291" t="str">
        <v>Sanofi India Ltd</v>
      </c>
      <c r="D556" s="292">
        <v>0.00193446760025053</v>
      </c>
      <c r="E556" s="293">
        <f t="shared" si="16"/>
        <v>0</v>
      </c>
      <c r="F556" s="291" t="str">
        <v>Health Care</v>
      </c>
      <c r="G556" s="293">
        <f t="shared" si="17"/>
        <v>0</v>
      </c>
      <c r="H556" s="291"/>
      <c r="J556" s="36"/>
      <c r="X556" s="291"/>
      <c r="Z556" s="290" t="s">
        <v>1407</v>
      </c>
    </row>
    <row r="557" spans="1:26">
      <c r="A557" s="294" t="s">
        <v>1409</v>
      </c>
      <c r="B557" t="s">
        <v>53</v>
      </c>
      <c r="C557" s="291" t="str">
        <v>Sansera Engineering Ltd</v>
      </c>
      <c r="D557" s="295">
        <v>0.00149812747365353</v>
      </c>
      <c r="E557" s="293">
        <f t="shared" si="16"/>
        <v>0</v>
      </c>
      <c r="F557" s="291" t="str">
        <v>Consumer Discretionary</v>
      </c>
      <c r="G557" s="293">
        <f t="shared" si="17"/>
        <v>0</v>
      </c>
      <c r="H557" s="291"/>
      <c r="J557" s="36"/>
      <c r="X557" s="291"/>
      <c r="Z557" s="294" t="s">
        <v>1409</v>
      </c>
    </row>
    <row r="558" spans="1:26">
      <c r="A558" s="290" t="s">
        <v>1411</v>
      </c>
      <c r="B558" t="s">
        <v>53</v>
      </c>
      <c r="C558" s="291" t="str">
        <v>Sapphire Foods India Ltd</v>
      </c>
      <c r="D558" s="292">
        <v>0.00376467074874981</v>
      </c>
      <c r="E558" s="293">
        <f t="shared" si="16"/>
        <v>0</v>
      </c>
      <c r="F558" s="291" t="str">
        <v>Consumer Discretionary</v>
      </c>
      <c r="G558" s="293">
        <f t="shared" si="17"/>
        <v>0</v>
      </c>
      <c r="H558" s="291"/>
      <c r="J558" s="36"/>
      <c r="X558" s="291"/>
      <c r="Z558" s="290" t="s">
        <v>1411</v>
      </c>
    </row>
    <row r="559" spans="1:26">
      <c r="A559" s="294" t="s">
        <v>1222</v>
      </c>
      <c r="B559" t="s">
        <v>53</v>
      </c>
      <c r="C559" s="291" t="str">
        <v>SBI Cards &amp; Payment Services L</v>
      </c>
      <c r="D559" s="295">
        <v>0.0118828847402397</v>
      </c>
      <c r="E559" s="293">
        <f t="shared" si="16"/>
        <v>0</v>
      </c>
      <c r="F559" s="291" t="str">
        <v>Financials</v>
      </c>
      <c r="G559" s="293">
        <f t="shared" si="17"/>
        <v>0</v>
      </c>
      <c r="H559" s="291"/>
      <c r="J559" s="36"/>
      <c r="X559" s="291"/>
      <c r="Z559" s="294" t="s">
        <v>1222</v>
      </c>
    </row>
    <row r="560" spans="1:26">
      <c r="A560" s="290" t="s">
        <v>1138</v>
      </c>
      <c r="B560" t="s">
        <v>53</v>
      </c>
      <c r="C560" s="291" t="str">
        <v>SBI Life Insurance Co Ltd</v>
      </c>
      <c r="D560" s="292">
        <v>0.00419917135033995</v>
      </c>
      <c r="E560" s="293">
        <f t="shared" si="16"/>
        <v>0</v>
      </c>
      <c r="F560" s="291" t="str">
        <v>Financials</v>
      </c>
      <c r="G560" s="293">
        <f t="shared" si="17"/>
        <v>0</v>
      </c>
      <c r="H560" s="291"/>
      <c r="J560" s="36"/>
      <c r="X560" s="291"/>
      <c r="Z560" s="290" t="s">
        <v>1138</v>
      </c>
    </row>
    <row r="561" spans="1:26">
      <c r="A561" s="294" t="s">
        <v>1413</v>
      </c>
      <c r="B561" t="s">
        <v>53</v>
      </c>
      <c r="C561" s="291" t="str">
        <v>Schneider Electric Infrastruct</v>
      </c>
      <c r="D561" s="295">
        <v>0.00631708362032054</v>
      </c>
      <c r="E561" s="293">
        <f t="shared" si="16"/>
        <v>0</v>
      </c>
      <c r="F561" s="291" t="str">
        <v>Industrials</v>
      </c>
      <c r="G561" s="293">
        <f t="shared" si="17"/>
        <v>0</v>
      </c>
      <c r="H561" s="291"/>
      <c r="J561" s="36"/>
      <c r="X561" s="291"/>
      <c r="Z561" s="294" t="s">
        <v>1413</v>
      </c>
    </row>
    <row r="562" spans="1:26">
      <c r="A562" s="290" t="s">
        <v>1415</v>
      </c>
      <c r="B562" t="s">
        <v>53</v>
      </c>
      <c r="C562" s="291" t="str">
        <v>Sheela Foam Ltd</v>
      </c>
      <c r="D562" s="292">
        <v>0.00339646933102649</v>
      </c>
      <c r="E562" s="293">
        <f t="shared" si="16"/>
        <v>0</v>
      </c>
      <c r="F562" s="291" t="str">
        <v>Consumer Discretionary</v>
      </c>
      <c r="G562" s="293">
        <f t="shared" si="17"/>
        <v>0</v>
      </c>
      <c r="H562" s="291"/>
      <c r="J562" s="36"/>
      <c r="X562" s="291"/>
      <c r="Z562" s="290" t="s">
        <v>1415</v>
      </c>
    </row>
    <row r="563" spans="1:26">
      <c r="A563" s="294" t="s">
        <v>1417</v>
      </c>
      <c r="B563" t="s">
        <v>53</v>
      </c>
      <c r="C563" s="291" t="str">
        <v>Shoppers Stop Ltd</v>
      </c>
      <c r="D563" s="295">
        <v>0.00465417262990935</v>
      </c>
      <c r="E563" s="293">
        <f t="shared" si="16"/>
        <v>0</v>
      </c>
      <c r="F563" s="291" t="str">
        <v>Consumer Discretionary</v>
      </c>
      <c r="G563" s="293">
        <f t="shared" si="17"/>
        <v>0</v>
      </c>
      <c r="H563" s="291"/>
      <c r="J563" s="36"/>
      <c r="X563" s="291"/>
      <c r="Z563" s="294" t="s">
        <v>1417</v>
      </c>
    </row>
    <row r="564" spans="1:26">
      <c r="A564" s="290" t="s">
        <v>1027</v>
      </c>
      <c r="B564" t="s">
        <v>53</v>
      </c>
      <c r="C564" s="291" t="str">
        <v>Siemens Energy India Ltd</v>
      </c>
      <c r="D564" s="292">
        <v>0.00998978683685547</v>
      </c>
      <c r="E564" s="293">
        <f t="shared" si="16"/>
        <v>0</v>
      </c>
      <c r="F564" s="291" t="str">
        <v>Industrials</v>
      </c>
      <c r="G564" s="293">
        <f t="shared" si="17"/>
        <v>0</v>
      </c>
      <c r="H564" s="291"/>
      <c r="J564" s="36"/>
      <c r="X564" s="291"/>
      <c r="Z564" s="290" t="s">
        <v>1027</v>
      </c>
    </row>
    <row r="565" spans="1:26">
      <c r="A565" s="294" t="s">
        <v>1030</v>
      </c>
      <c r="B565" t="s">
        <v>53</v>
      </c>
      <c r="C565" s="291" t="str">
        <v>Siemens Ltd</v>
      </c>
      <c r="D565" s="295">
        <v>0.00355502592486402</v>
      </c>
      <c r="E565" s="293">
        <f t="shared" si="16"/>
        <v>0</v>
      </c>
      <c r="F565" s="291" t="str">
        <v>Industrials</v>
      </c>
      <c r="G565" s="293">
        <f t="shared" si="17"/>
        <v>0</v>
      </c>
      <c r="H565" s="291"/>
      <c r="J565" s="36"/>
      <c r="X565" s="291"/>
      <c r="Z565" s="294" t="s">
        <v>1030</v>
      </c>
    </row>
    <row r="566" spans="1:26">
      <c r="A566" s="290" t="s">
        <v>1036</v>
      </c>
      <c r="B566" t="s">
        <v>53</v>
      </c>
      <c r="C566" s="291" t="str">
        <v>Sona Blw Precision Forgings Lt</v>
      </c>
      <c r="D566" s="292">
        <v>0.00291921502975091</v>
      </c>
      <c r="E566" s="293">
        <f t="shared" si="16"/>
        <v>0</v>
      </c>
      <c r="F566" s="291" t="str">
        <v>Consumer Discretionary</v>
      </c>
      <c r="G566" s="293">
        <f t="shared" si="17"/>
        <v>0</v>
      </c>
      <c r="H566" s="291"/>
      <c r="J566" s="36"/>
      <c r="X566" s="291"/>
      <c r="Z566" s="290" t="s">
        <v>1036</v>
      </c>
    </row>
    <row r="567" spans="1:26">
      <c r="A567" s="294" t="s">
        <v>1039</v>
      </c>
      <c r="B567" t="s">
        <v>53</v>
      </c>
      <c r="C567" s="291" t="str">
        <v>SRF Ltd</v>
      </c>
      <c r="D567" s="295">
        <v>0.00333097875353117</v>
      </c>
      <c r="E567" s="293">
        <f t="shared" si="16"/>
        <v>0</v>
      </c>
      <c r="F567" s="291" t="str">
        <v>Materials</v>
      </c>
      <c r="G567" s="293">
        <f t="shared" si="17"/>
        <v>0</v>
      </c>
      <c r="H567" s="291"/>
      <c r="J567" s="36"/>
      <c r="X567" s="291"/>
      <c r="Z567" s="294" t="s">
        <v>1039</v>
      </c>
    </row>
    <row r="568" spans="1:26">
      <c r="A568" s="290" t="s">
        <v>1041</v>
      </c>
      <c r="B568" t="s">
        <v>53</v>
      </c>
      <c r="C568" s="291" t="str">
        <v>State Bank of India</v>
      </c>
      <c r="D568" s="292">
        <v>0.0214873695513105</v>
      </c>
      <c r="E568" s="293">
        <f t="shared" si="16"/>
        <v>0</v>
      </c>
      <c r="F568" s="291" t="str">
        <v>Financials</v>
      </c>
      <c r="G568" s="293">
        <f t="shared" si="17"/>
        <v>0</v>
      </c>
      <c r="H568" s="291"/>
      <c r="J568" s="36"/>
      <c r="X568" s="291"/>
      <c r="Z568" s="290" t="s">
        <v>1041</v>
      </c>
    </row>
    <row r="569" spans="1:26">
      <c r="A569" s="294" t="s">
        <v>1048</v>
      </c>
      <c r="B569" t="s">
        <v>53</v>
      </c>
      <c r="C569" s="291" t="str">
        <v>Swiggy Ltd</v>
      </c>
      <c r="D569" s="295">
        <v>0.0088449723978425</v>
      </c>
      <c r="E569" s="293">
        <f t="shared" si="16"/>
        <v>0</v>
      </c>
      <c r="F569" s="291" t="str">
        <v>Consumer Discretionary</v>
      </c>
      <c r="G569" s="293">
        <f t="shared" si="17"/>
        <v>0</v>
      </c>
      <c r="H569" s="291"/>
      <c r="J569" s="36"/>
      <c r="X569" s="291"/>
      <c r="Z569" s="294" t="s">
        <v>1048</v>
      </c>
    </row>
    <row r="570" spans="1:26">
      <c r="A570" s="290" t="s">
        <v>1050</v>
      </c>
      <c r="B570" t="s">
        <v>53</v>
      </c>
      <c r="C570" s="291" t="str">
        <v>Syngene International Ltd</v>
      </c>
      <c r="D570" s="292">
        <v>0.00315390703536515</v>
      </c>
      <c r="E570" s="293">
        <f t="shared" si="16"/>
        <v>0</v>
      </c>
      <c r="F570" s="291" t="str">
        <v>Health Care</v>
      </c>
      <c r="G570" s="293">
        <f t="shared" si="17"/>
        <v>0</v>
      </c>
      <c r="H570" s="291"/>
      <c r="J570" s="36"/>
      <c r="X570" s="291"/>
      <c r="Z570" s="290" t="s">
        <v>1050</v>
      </c>
    </row>
    <row r="571" spans="1:26">
      <c r="A571" s="294" t="s">
        <v>1058</v>
      </c>
      <c r="B571" t="s">
        <v>53</v>
      </c>
      <c r="C571" s="291" t="str">
        <v>Tata Consumer Products Ltd</v>
      </c>
      <c r="D571" s="295">
        <v>0.00498852373616169</v>
      </c>
      <c r="E571" s="293">
        <f t="shared" si="16"/>
        <v>0</v>
      </c>
      <c r="F571" s="291" t="str">
        <v>Consumer Staples</v>
      </c>
      <c r="G571" s="293">
        <f t="shared" si="17"/>
        <v>0</v>
      </c>
      <c r="H571" s="291"/>
      <c r="J571" s="36"/>
      <c r="X571" s="291"/>
      <c r="Z571" s="294" t="s">
        <v>1058</v>
      </c>
    </row>
    <row r="572" spans="1:26">
      <c r="A572" s="290" t="s">
        <v>1054</v>
      </c>
      <c r="B572" t="s">
        <v>53</v>
      </c>
      <c r="C572" s="291" t="str">
        <v>Tata Motors Ltd</v>
      </c>
      <c r="D572" s="292">
        <v>0.00412726423064061</v>
      </c>
      <c r="E572" s="293">
        <f t="shared" si="16"/>
        <v>0</v>
      </c>
      <c r="F572" s="291" t="str">
        <v>Consumer Discretionary</v>
      </c>
      <c r="G572" s="293">
        <f t="shared" si="17"/>
        <v>0</v>
      </c>
      <c r="H572" s="291"/>
      <c r="J572" s="36"/>
      <c r="X572" s="291"/>
      <c r="Z572" s="290" t="s">
        <v>1054</v>
      </c>
    </row>
    <row r="573" spans="1:26">
      <c r="A573" s="294" t="s">
        <v>1063</v>
      </c>
      <c r="B573" t="s">
        <v>53</v>
      </c>
      <c r="C573" s="291" t="str">
        <v>Tata Power Co Ltd/The</v>
      </c>
      <c r="D573" s="295">
        <v>0.0170487025068313</v>
      </c>
      <c r="E573" s="293">
        <f t="shared" si="16"/>
        <v>0</v>
      </c>
      <c r="F573" s="291" t="str">
        <v>Utilities</v>
      </c>
      <c r="G573" s="293">
        <f t="shared" si="17"/>
        <v>0</v>
      </c>
      <c r="H573" s="291"/>
      <c r="J573" s="36"/>
      <c r="X573" s="291"/>
      <c r="Z573" s="294" t="s">
        <v>1063</v>
      </c>
    </row>
    <row r="574" spans="1:26">
      <c r="A574" s="290" t="s">
        <v>1056</v>
      </c>
      <c r="B574" t="s">
        <v>53</v>
      </c>
      <c r="C574" s="291" t="str">
        <v>Tata Steel Ltd</v>
      </c>
      <c r="D574" s="292">
        <v>0.00537076351948829</v>
      </c>
      <c r="E574" s="293">
        <f t="shared" si="16"/>
        <v>0</v>
      </c>
      <c r="F574" s="291" t="str">
        <v>Materials</v>
      </c>
      <c r="G574" s="293">
        <f t="shared" si="17"/>
        <v>0</v>
      </c>
      <c r="H574" s="291"/>
      <c r="J574" s="36"/>
      <c r="X574" s="291"/>
      <c r="Z574" s="290" t="s">
        <v>1056</v>
      </c>
    </row>
    <row r="575" spans="1:26">
      <c r="A575" s="294" t="s">
        <v>1066</v>
      </c>
      <c r="B575" t="s">
        <v>53</v>
      </c>
      <c r="C575" s="291" t="str">
        <v>TCI Express Ltd</v>
      </c>
      <c r="D575" s="295">
        <v>0.00150851294362708</v>
      </c>
      <c r="E575" s="293">
        <f t="shared" si="16"/>
        <v>0</v>
      </c>
      <c r="F575" s="291" t="str">
        <v>Industrials</v>
      </c>
      <c r="G575" s="293">
        <f t="shared" si="17"/>
        <v>0</v>
      </c>
      <c r="H575" s="291"/>
      <c r="J575" s="36"/>
      <c r="X575" s="291"/>
      <c r="Z575" s="294" t="s">
        <v>1066</v>
      </c>
    </row>
    <row r="576" spans="1:26">
      <c r="A576" s="290" t="s">
        <v>1419</v>
      </c>
      <c r="B576" t="s">
        <v>53</v>
      </c>
      <c r="C576" s="291" t="str">
        <v>TeamLease Services Ltd</v>
      </c>
      <c r="D576" s="292">
        <v>0.00391862853007019</v>
      </c>
      <c r="E576" s="293">
        <f t="shared" ref="E576:E639" si="18">_xlfn.IFNA(D576*VLOOKUP($B576,$AK$1:$AM$34,3,FALSE),0)</f>
        <v>0</v>
      </c>
      <c r="F576" s="291" t="str">
        <v>Industrials</v>
      </c>
      <c r="G576" s="293">
        <f t="shared" ref="G576:G639" si="19">_xlfn.IFNA(D576*VLOOKUP($B576,$AK$1:$AM$34,3,FALSE),0)</f>
        <v>0</v>
      </c>
      <c r="H576" s="291"/>
      <c r="J576" s="36"/>
      <c r="X576" s="291"/>
      <c r="Z576" s="290" t="s">
        <v>1419</v>
      </c>
    </row>
    <row r="577" spans="1:26">
      <c r="A577" s="294" t="s">
        <v>1064</v>
      </c>
      <c r="B577" t="s">
        <v>53</v>
      </c>
      <c r="C577" s="291" t="str">
        <v>Indian Hotels Co Ltd/The</v>
      </c>
      <c r="D577" s="295">
        <v>0.0145303949519753</v>
      </c>
      <c r="E577" s="293">
        <f t="shared" si="18"/>
        <v>0</v>
      </c>
      <c r="F577" s="291" t="str">
        <v>Consumer Discretionary</v>
      </c>
      <c r="G577" s="293">
        <f t="shared" si="19"/>
        <v>0</v>
      </c>
      <c r="H577" s="291"/>
      <c r="J577" s="36"/>
      <c r="X577" s="291"/>
      <c r="Z577" s="294" t="s">
        <v>1064</v>
      </c>
    </row>
    <row r="578" spans="1:26">
      <c r="A578" s="290" t="s">
        <v>1421</v>
      </c>
      <c r="B578" t="s">
        <v>53</v>
      </c>
      <c r="C578" s="291" t="str">
        <v>Timken India Ltd</v>
      </c>
      <c r="D578" s="292">
        <v>0.00553581075961778</v>
      </c>
      <c r="E578" s="293">
        <f t="shared" si="18"/>
        <v>0</v>
      </c>
      <c r="F578" s="291" t="str">
        <v>Industrials</v>
      </c>
      <c r="G578" s="293">
        <f t="shared" si="19"/>
        <v>0</v>
      </c>
      <c r="H578" s="291"/>
      <c r="J578" s="36"/>
      <c r="X578" s="291"/>
      <c r="Z578" s="290" t="s">
        <v>1421</v>
      </c>
    </row>
    <row r="579" spans="1:26">
      <c r="A579" s="294" t="s">
        <v>1424</v>
      </c>
      <c r="B579" t="s">
        <v>53</v>
      </c>
      <c r="C579" s="291" t="str">
        <v>Triveni Turbine Ltd</v>
      </c>
      <c r="D579" s="295">
        <v>0.00206198111983133</v>
      </c>
      <c r="E579" s="293">
        <f t="shared" si="18"/>
        <v>0</v>
      </c>
      <c r="F579" s="291" t="str">
        <v>Industrials</v>
      </c>
      <c r="G579" s="293">
        <f t="shared" si="19"/>
        <v>0</v>
      </c>
      <c r="H579" s="291"/>
      <c r="J579" s="36"/>
      <c r="X579" s="291"/>
      <c r="Z579" s="294" t="s">
        <v>1424</v>
      </c>
    </row>
    <row r="580" spans="1:26">
      <c r="A580" s="290" t="s">
        <v>1071</v>
      </c>
      <c r="B580" t="s">
        <v>53</v>
      </c>
      <c r="C580" s="291" t="str">
        <v>UltraTech Cement Ltd</v>
      </c>
      <c r="D580" s="292">
        <v>0.0049488933058303</v>
      </c>
      <c r="E580" s="293">
        <f t="shared" si="18"/>
        <v>0</v>
      </c>
      <c r="F580" s="291" t="str">
        <v>Materials</v>
      </c>
      <c r="G580" s="293">
        <f t="shared" si="19"/>
        <v>0</v>
      </c>
      <c r="H580" s="291"/>
      <c r="J580" s="36"/>
      <c r="X580" s="291"/>
      <c r="Z580" s="290" t="s">
        <v>1071</v>
      </c>
    </row>
    <row r="581" spans="1:26">
      <c r="A581" s="294" t="s">
        <v>1090</v>
      </c>
      <c r="B581" t="s">
        <v>53</v>
      </c>
      <c r="C581" s="291" t="str">
        <v>United Breweries Ltd</v>
      </c>
      <c r="D581" s="295">
        <v>0.0040953951137564</v>
      </c>
      <c r="E581" s="293">
        <f t="shared" si="18"/>
        <v>0</v>
      </c>
      <c r="F581" s="291" t="str">
        <v>Consumer Staples</v>
      </c>
      <c r="G581" s="293">
        <f t="shared" si="19"/>
        <v>0</v>
      </c>
      <c r="H581" s="291"/>
      <c r="J581" s="36"/>
      <c r="X581" s="291"/>
      <c r="Z581" s="294" t="s">
        <v>1090</v>
      </c>
    </row>
    <row r="582" spans="1:26">
      <c r="A582" s="290" t="s">
        <v>1426</v>
      </c>
      <c r="B582" t="s">
        <v>53</v>
      </c>
      <c r="C582" s="291" t="str">
        <v>UTI Asset Management Co Ltd</v>
      </c>
      <c r="D582" s="292">
        <v>0.00545852455494578</v>
      </c>
      <c r="E582" s="293">
        <f t="shared" si="18"/>
        <v>0</v>
      </c>
      <c r="F582" s="291" t="str">
        <v>Financials</v>
      </c>
      <c r="G582" s="293">
        <f t="shared" si="19"/>
        <v>0</v>
      </c>
      <c r="H582" s="291"/>
      <c r="J582" s="36"/>
      <c r="X582" s="291"/>
      <c r="Z582" s="290" t="s">
        <v>1426</v>
      </c>
    </row>
    <row r="583" spans="1:26">
      <c r="A583" s="294" t="s">
        <v>1428</v>
      </c>
      <c r="B583" t="s">
        <v>53</v>
      </c>
      <c r="C583" s="291" t="str">
        <v>VST Tillers Tractors Ltd</v>
      </c>
      <c r="D583" s="295">
        <v>0.00175686843534083</v>
      </c>
      <c r="E583" s="293">
        <f t="shared" si="18"/>
        <v>0</v>
      </c>
      <c r="F583" s="291" t="str">
        <v>Industrials</v>
      </c>
      <c r="G583" s="293">
        <f t="shared" si="19"/>
        <v>0</v>
      </c>
      <c r="H583" s="291"/>
      <c r="J583" s="36"/>
      <c r="X583" s="291"/>
      <c r="Z583" s="294" t="s">
        <v>1428</v>
      </c>
    </row>
    <row r="584" spans="1:26">
      <c r="A584" s="290" t="s">
        <v>1082</v>
      </c>
      <c r="B584" t="s">
        <v>53</v>
      </c>
      <c r="C584" s="291" t="str">
        <v>Varun Beverages Ltd</v>
      </c>
      <c r="D584" s="292">
        <v>0.0052561027001035</v>
      </c>
      <c r="E584" s="293">
        <f t="shared" si="18"/>
        <v>0</v>
      </c>
      <c r="F584" s="291" t="str">
        <v>Consumer Staples</v>
      </c>
      <c r="G584" s="293">
        <f t="shared" si="19"/>
        <v>0</v>
      </c>
      <c r="H584" s="291"/>
      <c r="J584" s="36"/>
      <c r="X584" s="291"/>
      <c r="Z584" s="290" t="s">
        <v>1082</v>
      </c>
    </row>
    <row r="585" spans="1:26">
      <c r="A585" s="294" t="s">
        <v>1246</v>
      </c>
      <c r="B585" t="s">
        <v>53</v>
      </c>
      <c r="C585" s="291" t="str">
        <v>Vedant Fashions Ltd</v>
      </c>
      <c r="D585" s="295">
        <v>0.00146464986215432</v>
      </c>
      <c r="E585" s="293">
        <f t="shared" si="18"/>
        <v>0</v>
      </c>
      <c r="F585" s="291" t="str">
        <v>Consumer Discretionary</v>
      </c>
      <c r="G585" s="293">
        <f t="shared" si="19"/>
        <v>0</v>
      </c>
      <c r="H585" s="291"/>
      <c r="J585" s="36"/>
      <c r="X585" s="291"/>
      <c r="Z585" s="294" t="s">
        <v>1246</v>
      </c>
    </row>
    <row r="586" spans="1:26">
      <c r="A586" s="290" t="s">
        <v>1430</v>
      </c>
      <c r="B586" t="s">
        <v>53</v>
      </c>
      <c r="C586" s="291" t="str">
        <v>Vesuvius India Ltd</v>
      </c>
      <c r="D586" s="292">
        <v>0.0176017587514878</v>
      </c>
      <c r="E586" s="293">
        <f t="shared" si="18"/>
        <v>0</v>
      </c>
      <c r="F586" s="291" t="str">
        <v>Industrials</v>
      </c>
      <c r="G586" s="293">
        <f t="shared" si="19"/>
        <v>0</v>
      </c>
      <c r="H586" s="291"/>
      <c r="J586" s="36"/>
      <c r="X586" s="291"/>
      <c r="Z586" s="290" t="s">
        <v>1430</v>
      </c>
    </row>
    <row r="587" spans="1:26">
      <c r="A587" s="294" t="s">
        <v>1432</v>
      </c>
      <c r="B587" t="s">
        <v>53</v>
      </c>
      <c r="C587" s="291" t="str">
        <v>Vijaya Diagnostic Centre Ltd</v>
      </c>
      <c r="D587" s="295">
        <v>0.00707458650504606</v>
      </c>
      <c r="E587" s="293">
        <f t="shared" si="18"/>
        <v>0</v>
      </c>
      <c r="F587" s="291" t="str">
        <v>Health Care</v>
      </c>
      <c r="G587" s="293">
        <f t="shared" si="19"/>
        <v>0</v>
      </c>
      <c r="H587" s="291"/>
      <c r="J587" s="36"/>
      <c r="X587" s="291"/>
      <c r="Z587" s="294" t="s">
        <v>1432</v>
      </c>
    </row>
    <row r="588" spans="1:26">
      <c r="A588" s="290" t="s">
        <v>1085</v>
      </c>
      <c r="B588" t="s">
        <v>53</v>
      </c>
      <c r="C588" s="291" t="str">
        <v>Vishal Mega Mart Ltd</v>
      </c>
      <c r="D588" s="292">
        <v>0.0120391114143707</v>
      </c>
      <c r="E588" s="293">
        <f t="shared" si="18"/>
        <v>0</v>
      </c>
      <c r="F588" s="291" t="str">
        <v>Consumer Discretionary</v>
      </c>
      <c r="G588" s="293">
        <f t="shared" si="19"/>
        <v>0</v>
      </c>
      <c r="H588" s="291"/>
      <c r="J588" s="36"/>
      <c r="X588" s="291"/>
      <c r="Z588" s="290" t="s">
        <v>1085</v>
      </c>
    </row>
    <row r="589" spans="1:26">
      <c r="A589" s="294" t="s">
        <v>1248</v>
      </c>
      <c r="B589" t="s">
        <v>53</v>
      </c>
      <c r="C589" s="291" t="str">
        <v>Voltas Ltd</v>
      </c>
      <c r="D589" s="295">
        <v>0.0100058805011335</v>
      </c>
      <c r="E589" s="293">
        <f t="shared" si="18"/>
        <v>0</v>
      </c>
      <c r="F589" s="291" t="str">
        <v>Industrials</v>
      </c>
      <c r="G589" s="293">
        <f t="shared" si="19"/>
        <v>0</v>
      </c>
      <c r="H589" s="291"/>
      <c r="J589" s="36"/>
      <c r="X589" s="291"/>
      <c r="Z589" s="294" t="s">
        <v>1248</v>
      </c>
    </row>
    <row r="590" spans="1:26">
      <c r="A590" s="290" t="s">
        <v>1435</v>
      </c>
      <c r="B590" t="s">
        <v>53</v>
      </c>
      <c r="C590" s="291" t="str">
        <v>VRL Logistics Ltd</v>
      </c>
      <c r="D590" s="292">
        <v>0.00365417065595044</v>
      </c>
      <c r="E590" s="293">
        <f t="shared" si="18"/>
        <v>0</v>
      </c>
      <c r="F590" s="291" t="str">
        <v>Industrials</v>
      </c>
      <c r="G590" s="293">
        <f t="shared" si="19"/>
        <v>0</v>
      </c>
      <c r="H590" s="291"/>
      <c r="J590" s="36"/>
      <c r="X590" s="291"/>
      <c r="Z590" s="290" t="s">
        <v>1435</v>
      </c>
    </row>
    <row r="591" spans="1:26">
      <c r="A591" s="294" t="s">
        <v>1438</v>
      </c>
      <c r="B591" t="s">
        <v>53</v>
      </c>
      <c r="C591" s="291" t="str">
        <v>Whirlpool of India Ltd</v>
      </c>
      <c r="D591" s="295">
        <v>0.0042486685220292</v>
      </c>
      <c r="E591" s="293">
        <f t="shared" si="18"/>
        <v>0</v>
      </c>
      <c r="F591" s="291" t="str">
        <v>Consumer Discretionary</v>
      </c>
      <c r="G591" s="293">
        <f t="shared" si="19"/>
        <v>0</v>
      </c>
      <c r="H591" s="291"/>
      <c r="J591" s="36"/>
      <c r="X591" s="291"/>
      <c r="Z591" s="294" t="s">
        <v>1438</v>
      </c>
    </row>
    <row r="592" spans="1:26">
      <c r="A592" s="290" t="s">
        <v>1106</v>
      </c>
      <c r="B592" t="s">
        <v>53</v>
      </c>
      <c r="C592" s="291" t="str">
        <v>ZF Commercial Vehicle Control</v>
      </c>
      <c r="D592" s="292">
        <v>0.00622122780302007</v>
      </c>
      <c r="E592" s="293">
        <f t="shared" si="18"/>
        <v>0</v>
      </c>
      <c r="F592" s="291" t="str">
        <v>Consumer Discretionary</v>
      </c>
      <c r="G592" s="293">
        <f t="shared" si="19"/>
        <v>0</v>
      </c>
      <c r="H592" s="291"/>
      <c r="J592" s="36"/>
      <c r="X592" s="291"/>
      <c r="Z592" s="290" t="s">
        <v>1106</v>
      </c>
    </row>
    <row r="593" spans="1:26">
      <c r="A593" s="294" t="s">
        <v>1101</v>
      </c>
      <c r="B593" t="s">
        <v>57</v>
      </c>
      <c r="C593" s="291" t="str">
        <v>Asian Paints Ltd</v>
      </c>
      <c r="D593" s="295">
        <v>3.7544732342565e-5</v>
      </c>
      <c r="E593" s="293">
        <f t="shared" si="18"/>
        <v>0</v>
      </c>
      <c r="F593" s="291" t="str">
        <v>Materials</v>
      </c>
      <c r="G593" s="293">
        <f t="shared" si="19"/>
        <v>0</v>
      </c>
      <c r="H593" s="291"/>
      <c r="J593" s="36"/>
      <c r="X593" s="291"/>
      <c r="Z593" s="294" t="s">
        <v>1101</v>
      </c>
    </row>
    <row r="594" spans="1:26">
      <c r="A594" s="290" t="s">
        <v>1255</v>
      </c>
      <c r="B594" t="s">
        <v>57</v>
      </c>
      <c r="C594" s="291" t="str">
        <v>Aurobindo Pharma Ltd</v>
      </c>
      <c r="D594" s="292">
        <v>0</v>
      </c>
      <c r="E594" s="293">
        <f t="shared" si="18"/>
        <v>0</v>
      </c>
      <c r="F594" s="291" t="str">
        <v>Health Care</v>
      </c>
      <c r="G594" s="293">
        <f t="shared" si="19"/>
        <v>0</v>
      </c>
      <c r="H594" s="291"/>
      <c r="J594" s="36"/>
      <c r="X594" s="291"/>
      <c r="Z594" s="290" t="s">
        <v>1255</v>
      </c>
    </row>
    <row r="595" spans="1:26">
      <c r="A595" s="294" t="s">
        <v>843</v>
      </c>
      <c r="B595" t="s">
        <v>57</v>
      </c>
      <c r="C595" s="291" t="str">
        <v>Axis Bank Ltd</v>
      </c>
      <c r="D595" s="295">
        <v>0.0283954445036204</v>
      </c>
      <c r="E595" s="293">
        <f t="shared" si="18"/>
        <v>0</v>
      </c>
      <c r="F595" s="291" t="str">
        <v>Financials</v>
      </c>
      <c r="G595" s="293">
        <f t="shared" si="19"/>
        <v>0</v>
      </c>
      <c r="H595" s="291"/>
      <c r="J595" s="36"/>
      <c r="X595" s="291"/>
      <c r="Z595" s="294" t="s">
        <v>843</v>
      </c>
    </row>
    <row r="596" spans="1:26">
      <c r="A596" s="290" t="s">
        <v>842</v>
      </c>
      <c r="B596" t="s">
        <v>57</v>
      </c>
      <c r="C596" s="291" t="str">
        <v>Bajaj Finance Ltd</v>
      </c>
      <c r="D596" s="292">
        <v>0.00198595223554579</v>
      </c>
      <c r="E596" s="293">
        <f t="shared" si="18"/>
        <v>0</v>
      </c>
      <c r="F596" s="291" t="str">
        <v>Financials</v>
      </c>
      <c r="G596" s="293">
        <f t="shared" si="19"/>
        <v>0</v>
      </c>
      <c r="H596" s="291"/>
      <c r="J596" s="36"/>
      <c r="X596" s="291"/>
      <c r="Z596" s="290" t="s">
        <v>842</v>
      </c>
    </row>
    <row r="597" spans="1:26">
      <c r="A597" s="294" t="s">
        <v>848</v>
      </c>
      <c r="B597" t="s">
        <v>57</v>
      </c>
      <c r="C597" s="291" t="str">
        <v>Bajaj Finserv Ltd</v>
      </c>
      <c r="D597" s="295">
        <v>0.000104896791864812</v>
      </c>
      <c r="E597" s="293">
        <f t="shared" si="18"/>
        <v>0</v>
      </c>
      <c r="F597" s="291" t="str">
        <v>Financials</v>
      </c>
      <c r="G597" s="293">
        <f t="shared" si="19"/>
        <v>0</v>
      </c>
      <c r="H597" s="291"/>
      <c r="J597" s="36"/>
      <c r="X597" s="291"/>
      <c r="Z597" s="294" t="s">
        <v>848</v>
      </c>
    </row>
    <row r="598" spans="1:26">
      <c r="A598" s="290" t="s">
        <v>1440</v>
      </c>
      <c r="B598" t="s">
        <v>57</v>
      </c>
      <c r="C598" s="291" t="str">
        <v>Bajaj Holdings &amp; Investment Lt</v>
      </c>
      <c r="D598" s="292">
        <v>0.0655609821998942</v>
      </c>
      <c r="E598" s="293">
        <f t="shared" si="18"/>
        <v>0</v>
      </c>
      <c r="F598" s="291" t="str">
        <v>Financials</v>
      </c>
      <c r="G598" s="293">
        <f t="shared" si="19"/>
        <v>0</v>
      </c>
      <c r="H598" s="291"/>
      <c r="J598" s="36"/>
      <c r="X598" s="291"/>
      <c r="Z598" s="290" t="s">
        <v>1440</v>
      </c>
    </row>
    <row r="599" spans="1:26">
      <c r="A599" s="294" t="s">
        <v>1157</v>
      </c>
      <c r="B599" t="s">
        <v>57</v>
      </c>
      <c r="C599" s="291" t="str">
        <v>Balkrishna Industries Ltd</v>
      </c>
      <c r="D599" s="295">
        <v>0.00989646341130064</v>
      </c>
      <c r="E599" s="293">
        <f t="shared" si="18"/>
        <v>0</v>
      </c>
      <c r="F599" s="291" t="str">
        <v>Consumer Discretionary</v>
      </c>
      <c r="G599" s="293">
        <f t="shared" si="19"/>
        <v>0</v>
      </c>
      <c r="H599" s="291"/>
      <c r="J599" s="36"/>
      <c r="X599" s="291"/>
      <c r="Z599" s="294" t="s">
        <v>1157</v>
      </c>
    </row>
    <row r="600" spans="1:26">
      <c r="A600" s="290" t="s">
        <v>1442</v>
      </c>
      <c r="B600" t="s">
        <v>57</v>
      </c>
      <c r="C600" s="291" t="str">
        <v>Bandhan Bank Ltd</v>
      </c>
      <c r="D600" s="292">
        <v>0.000154368515782473</v>
      </c>
      <c r="E600" s="293">
        <f t="shared" si="18"/>
        <v>0</v>
      </c>
      <c r="F600" s="291" t="str">
        <v>Financials</v>
      </c>
      <c r="G600" s="293">
        <f t="shared" si="19"/>
        <v>0</v>
      </c>
      <c r="H600" s="291"/>
      <c r="J600" s="36"/>
      <c r="X600" s="291"/>
      <c r="Z600" s="290" t="s">
        <v>1442</v>
      </c>
    </row>
    <row r="601" spans="1:26">
      <c r="A601" s="294" t="s">
        <v>850</v>
      </c>
      <c r="B601" t="s">
        <v>57</v>
      </c>
      <c r="C601" s="291" t="str">
        <v>Bharat Electronics Ltd</v>
      </c>
      <c r="D601" s="295">
        <v>0.000276619517356026</v>
      </c>
      <c r="E601" s="293">
        <f t="shared" si="18"/>
        <v>0</v>
      </c>
      <c r="F601" s="291" t="str">
        <v>Industrials</v>
      </c>
      <c r="G601" s="293">
        <f t="shared" si="19"/>
        <v>0</v>
      </c>
      <c r="H601" s="291"/>
      <c r="J601" s="36"/>
      <c r="X601" s="291"/>
      <c r="Z601" s="294" t="s">
        <v>850</v>
      </c>
    </row>
    <row r="602" spans="1:26">
      <c r="A602" s="290" t="s">
        <v>1444</v>
      </c>
      <c r="B602" t="s">
        <v>57</v>
      </c>
      <c r="C602" s="291" t="str">
        <v>Bharat Heavy Electricals Ltd</v>
      </c>
      <c r="D602" s="292">
        <v>2.81795148442162e-5</v>
      </c>
      <c r="E602" s="293">
        <f t="shared" si="18"/>
        <v>0</v>
      </c>
      <c r="F602" s="291" t="str">
        <v>Industrials</v>
      </c>
      <c r="G602" s="293">
        <f t="shared" si="19"/>
        <v>0</v>
      </c>
      <c r="H602" s="291"/>
      <c r="J602" s="36"/>
      <c r="X602" s="291"/>
      <c r="Z602" s="290" t="s">
        <v>1444</v>
      </c>
    </row>
    <row r="603" spans="1:26">
      <c r="A603" s="294" t="s">
        <v>855</v>
      </c>
      <c r="B603" t="s">
        <v>57</v>
      </c>
      <c r="C603" s="291" t="str">
        <v>Bharti Airtel Ltd</v>
      </c>
      <c r="D603" s="295">
        <v>0.0357695456112376</v>
      </c>
      <c r="E603" s="293">
        <f t="shared" si="18"/>
        <v>0</v>
      </c>
      <c r="F603" s="291" t="str">
        <v>Communication Services</v>
      </c>
      <c r="G603" s="293">
        <f t="shared" si="19"/>
        <v>0</v>
      </c>
      <c r="H603" s="291"/>
      <c r="J603" s="36"/>
      <c r="X603" s="291"/>
      <c r="Z603" s="294" t="s">
        <v>855</v>
      </c>
    </row>
    <row r="604" spans="1:26">
      <c r="A604" s="290" t="s">
        <v>875</v>
      </c>
      <c r="B604" t="s">
        <v>57</v>
      </c>
      <c r="C604" s="291" t="str">
        <v>Central Depository Services In</v>
      </c>
      <c r="D604" s="292">
        <v>0.00296027383581702</v>
      </c>
      <c r="E604" s="293">
        <f t="shared" si="18"/>
        <v>0</v>
      </c>
      <c r="F604" s="291" t="str">
        <v>Financials</v>
      </c>
      <c r="G604" s="293">
        <f t="shared" si="19"/>
        <v>0</v>
      </c>
      <c r="H604" s="291"/>
      <c r="J604" s="36"/>
      <c r="X604" s="291"/>
      <c r="Z604" s="290" t="s">
        <v>875</v>
      </c>
    </row>
    <row r="605" spans="1:26">
      <c r="A605" s="294" t="s">
        <v>878</v>
      </c>
      <c r="B605" t="s">
        <v>57</v>
      </c>
      <c r="C605" s="291" t="str">
        <v>Cipla Ltd/India</v>
      </c>
      <c r="D605" s="295">
        <v>0.0129695939000611</v>
      </c>
      <c r="E605" s="293">
        <f t="shared" si="18"/>
        <v>0</v>
      </c>
      <c r="F605" s="291" t="str">
        <v>Health Care</v>
      </c>
      <c r="G605" s="293">
        <f t="shared" si="19"/>
        <v>0</v>
      </c>
      <c r="H605" s="291"/>
      <c r="J605" s="36"/>
      <c r="X605" s="291"/>
      <c r="Z605" s="294" t="s">
        <v>878</v>
      </c>
    </row>
    <row r="606" spans="1:26">
      <c r="A606" s="290" t="s">
        <v>880</v>
      </c>
      <c r="B606" t="s">
        <v>57</v>
      </c>
      <c r="C606" s="291" t="str">
        <v>Coal India Ltd</v>
      </c>
      <c r="D606" s="292">
        <v>0.0538339678998674</v>
      </c>
      <c r="E606" s="293">
        <f t="shared" si="18"/>
        <v>0</v>
      </c>
      <c r="F606" s="291" t="str">
        <v>Energy</v>
      </c>
      <c r="G606" s="293">
        <f t="shared" si="19"/>
        <v>0</v>
      </c>
      <c r="H606" s="291"/>
      <c r="J606" s="36"/>
      <c r="X606" s="291"/>
      <c r="Z606" s="290" t="s">
        <v>880</v>
      </c>
    </row>
    <row r="607" spans="1:26">
      <c r="A607" s="294" t="s">
        <v>1112</v>
      </c>
      <c r="B607" t="s">
        <v>57</v>
      </c>
      <c r="C607" s="291" t="str">
        <v>Divi's Laboratories Ltd</v>
      </c>
      <c r="D607" s="295">
        <v>0.000222992634727391</v>
      </c>
      <c r="E607" s="293">
        <f t="shared" si="18"/>
        <v>0</v>
      </c>
      <c r="F607" s="291" t="str">
        <v>Health Care</v>
      </c>
      <c r="G607" s="293">
        <f t="shared" si="19"/>
        <v>0</v>
      </c>
      <c r="H607" s="291"/>
      <c r="J607" s="36"/>
      <c r="X607" s="291"/>
      <c r="Z607" s="294" t="s">
        <v>1112</v>
      </c>
    </row>
    <row r="608" spans="1:26">
      <c r="A608" s="290" t="s">
        <v>1265</v>
      </c>
      <c r="B608" t="s">
        <v>57</v>
      </c>
      <c r="C608" s="291" t="str">
        <v>DLF Ltd</v>
      </c>
      <c r="D608" s="292">
        <v>0.000374104643077362</v>
      </c>
      <c r="E608" s="293">
        <f t="shared" si="18"/>
        <v>0</v>
      </c>
      <c r="F608" s="291" t="str">
        <v>Real Estate</v>
      </c>
      <c r="G608" s="293">
        <f t="shared" si="19"/>
        <v>0</v>
      </c>
      <c r="H608" s="291"/>
      <c r="J608" s="36"/>
      <c r="X608" s="291"/>
      <c r="Z608" s="290" t="s">
        <v>1265</v>
      </c>
    </row>
    <row r="609" spans="1:26">
      <c r="A609" s="294" t="s">
        <v>895</v>
      </c>
      <c r="B609" t="s">
        <v>57</v>
      </c>
      <c r="C609" s="291" t="str">
        <v>Dr Reddy's Laboratories Ltd</v>
      </c>
      <c r="D609" s="295">
        <v>0.0125791272712799</v>
      </c>
      <c r="E609" s="293">
        <f t="shared" si="18"/>
        <v>0</v>
      </c>
      <c r="F609" s="291" t="str">
        <v>Health Care</v>
      </c>
      <c r="G609" s="293">
        <f t="shared" si="19"/>
        <v>0</v>
      </c>
      <c r="H609" s="291"/>
      <c r="J609" s="36"/>
      <c r="X609" s="291"/>
      <c r="Z609" s="294" t="s">
        <v>895</v>
      </c>
    </row>
    <row r="610" spans="1:26">
      <c r="A610" s="290" t="s">
        <v>1446</v>
      </c>
      <c r="B610" t="s">
        <v>57</v>
      </c>
      <c r="C610" s="291" t="str">
        <v>EID Parry India Ltd</v>
      </c>
      <c r="D610" s="292">
        <v>0.00435245857020088</v>
      </c>
      <c r="E610" s="293">
        <f t="shared" si="18"/>
        <v>0</v>
      </c>
      <c r="F610" s="291" t="str">
        <v>Materials</v>
      </c>
      <c r="G610" s="293">
        <f t="shared" si="19"/>
        <v>0</v>
      </c>
      <c r="H610" s="291"/>
      <c r="J610" s="36"/>
      <c r="X610" s="291"/>
      <c r="Z610" s="290" t="s">
        <v>1446</v>
      </c>
    </row>
    <row r="611" spans="1:26">
      <c r="A611" s="294" t="s">
        <v>1128</v>
      </c>
      <c r="B611" t="s">
        <v>57</v>
      </c>
      <c r="C611" s="291" t="str">
        <v>Eicher Motors Ltd</v>
      </c>
      <c r="D611" s="295">
        <v>0.000103064178845058</v>
      </c>
      <c r="E611" s="293">
        <f t="shared" si="18"/>
        <v>0</v>
      </c>
      <c r="F611" s="291" t="str">
        <v>Consumer Discretionary</v>
      </c>
      <c r="G611" s="293">
        <f t="shared" si="19"/>
        <v>0</v>
      </c>
      <c r="H611" s="291"/>
      <c r="J611" s="36"/>
      <c r="X611" s="291"/>
      <c r="Z611" s="294" t="s">
        <v>1128</v>
      </c>
    </row>
    <row r="612" spans="1:26">
      <c r="A612" s="290" t="s">
        <v>906</v>
      </c>
      <c r="B612" t="s">
        <v>57</v>
      </c>
      <c r="C612" s="291" t="str">
        <v>GAIL India Ltd</v>
      </c>
      <c r="D612" s="292">
        <v>6.76883916804966e-5</v>
      </c>
      <c r="E612" s="293">
        <f t="shared" si="18"/>
        <v>0</v>
      </c>
      <c r="F612" s="291" t="str">
        <v>Utilities</v>
      </c>
      <c r="G612" s="293">
        <f t="shared" si="19"/>
        <v>0</v>
      </c>
      <c r="H612" s="291"/>
      <c r="J612" s="36"/>
      <c r="X612" s="291"/>
      <c r="Z612" s="290" t="s">
        <v>906</v>
      </c>
    </row>
    <row r="613" spans="1:26">
      <c r="A613" s="294" t="s">
        <v>1449</v>
      </c>
      <c r="B613" t="s">
        <v>57</v>
      </c>
      <c r="C613" s="291" t="str">
        <v>GMR Airports Ltd</v>
      </c>
      <c r="D613" s="295">
        <v>0.000134749139884574</v>
      </c>
      <c r="E613" s="293">
        <f t="shared" si="18"/>
        <v>0</v>
      </c>
      <c r="F613" s="291" t="str">
        <v>Industrials</v>
      </c>
      <c r="G613" s="293">
        <f t="shared" si="19"/>
        <v>0</v>
      </c>
      <c r="H613" s="291"/>
      <c r="J613" s="36"/>
      <c r="X613" s="291"/>
      <c r="Z613" s="294" t="s">
        <v>1449</v>
      </c>
    </row>
    <row r="614" spans="1:26">
      <c r="A614" s="290" t="s">
        <v>1315</v>
      </c>
      <c r="B614" t="s">
        <v>57</v>
      </c>
      <c r="C614" s="291" t="str">
        <v>Godrej Properties Ltd</v>
      </c>
      <c r="D614" s="292">
        <v>1.68466218058713e-5</v>
      </c>
      <c r="E614" s="293">
        <f t="shared" si="18"/>
        <v>0</v>
      </c>
      <c r="F614" s="291" t="str">
        <v>Real Estate</v>
      </c>
      <c r="G614" s="293">
        <f t="shared" si="19"/>
        <v>0</v>
      </c>
      <c r="H614" s="291"/>
      <c r="J614" s="36"/>
      <c r="X614" s="291"/>
      <c r="Z614" s="290" t="s">
        <v>1315</v>
      </c>
    </row>
    <row r="615" spans="1:26">
      <c r="A615" s="294" t="s">
        <v>1134</v>
      </c>
      <c r="B615" t="s">
        <v>57</v>
      </c>
      <c r="C615" s="291" t="str">
        <v>Grasim Industries Ltd</v>
      </c>
      <c r="D615" s="295">
        <v>0.000232138044594758</v>
      </c>
      <c r="E615" s="293">
        <f t="shared" si="18"/>
        <v>0</v>
      </c>
      <c r="F615" s="291" t="str">
        <v>Materials</v>
      </c>
      <c r="G615" s="293">
        <f t="shared" si="19"/>
        <v>0</v>
      </c>
      <c r="H615" s="291"/>
      <c r="J615" s="36"/>
      <c r="X615" s="291"/>
      <c r="Z615" s="294" t="s">
        <v>1134</v>
      </c>
    </row>
    <row r="616" spans="1:26">
      <c r="A616" s="290" t="s">
        <v>919</v>
      </c>
      <c r="B616" t="s">
        <v>57</v>
      </c>
      <c r="C616" s="291" t="str">
        <v>HCL Technologies Ltd</v>
      </c>
      <c r="D616" s="292">
        <v>0.0242406309524199</v>
      </c>
      <c r="E616" s="293">
        <f t="shared" si="18"/>
        <v>0</v>
      </c>
      <c r="F616" s="291" t="str">
        <v>Information Technology</v>
      </c>
      <c r="G616" s="293">
        <f t="shared" si="19"/>
        <v>0</v>
      </c>
      <c r="H616" s="291"/>
      <c r="J616" s="36"/>
      <c r="X616" s="291"/>
      <c r="Z616" s="290" t="s">
        <v>919</v>
      </c>
    </row>
    <row r="617" spans="1:26">
      <c r="A617" s="294" t="s">
        <v>924</v>
      </c>
      <c r="B617" t="s">
        <v>57</v>
      </c>
      <c r="C617" s="291" t="str">
        <v>HDFC Bank Ltd</v>
      </c>
      <c r="D617" s="295">
        <v>0.0799407373909548</v>
      </c>
      <c r="E617" s="293">
        <f t="shared" si="18"/>
        <v>0</v>
      </c>
      <c r="F617" s="291" t="str">
        <v>Financials</v>
      </c>
      <c r="G617" s="293">
        <f t="shared" si="19"/>
        <v>0</v>
      </c>
      <c r="H617" s="291"/>
      <c r="J617" s="36"/>
      <c r="X617" s="291"/>
      <c r="Z617" s="294" t="s">
        <v>924</v>
      </c>
    </row>
    <row r="618" spans="1:26">
      <c r="A618" s="290" t="s">
        <v>931</v>
      </c>
      <c r="B618" t="s">
        <v>57</v>
      </c>
      <c r="C618" s="291" t="str">
        <v>Hindalco Industries Ltd</v>
      </c>
      <c r="D618" s="292">
        <v>0.000697274826315227</v>
      </c>
      <c r="E618" s="293">
        <f t="shared" si="18"/>
        <v>0</v>
      </c>
      <c r="F618" s="291" t="str">
        <v>Materials</v>
      </c>
      <c r="G618" s="293">
        <f t="shared" si="19"/>
        <v>0</v>
      </c>
      <c r="H618" s="291"/>
      <c r="J618" s="36"/>
      <c r="X618" s="291"/>
      <c r="Z618" s="290" t="s">
        <v>931</v>
      </c>
    </row>
    <row r="619" spans="1:26">
      <c r="A619" s="294" t="s">
        <v>1328</v>
      </c>
      <c r="B619" t="s">
        <v>57</v>
      </c>
      <c r="C619" s="291" t="str">
        <v>Hindustan Copper Ltd</v>
      </c>
      <c r="D619" s="295">
        <v>0</v>
      </c>
      <c r="E619" s="293">
        <f t="shared" si="18"/>
        <v>0</v>
      </c>
      <c r="F619" s="291" t="str">
        <v>Materials</v>
      </c>
      <c r="G619" s="293">
        <f t="shared" si="19"/>
        <v>0</v>
      </c>
      <c r="H619" s="291"/>
      <c r="J619" s="36"/>
      <c r="X619" s="291"/>
      <c r="Z619" s="294" t="s">
        <v>1328</v>
      </c>
    </row>
    <row r="620" spans="1:26">
      <c r="A620" s="290" t="s">
        <v>1145</v>
      </c>
      <c r="B620" t="s">
        <v>57</v>
      </c>
      <c r="C620" s="291" t="str">
        <v>Hindustan Petroleum Corp Ltd</v>
      </c>
      <c r="D620" s="292">
        <v>8.60224667321702e-5</v>
      </c>
      <c r="E620" s="293">
        <f t="shared" si="18"/>
        <v>0</v>
      </c>
      <c r="F620" s="291" t="str">
        <v>Energy</v>
      </c>
      <c r="G620" s="293">
        <f t="shared" si="19"/>
        <v>0</v>
      </c>
      <c r="H620" s="291"/>
      <c r="J620" s="36"/>
      <c r="X620" s="291"/>
      <c r="Z620" s="290" t="s">
        <v>1145</v>
      </c>
    </row>
    <row r="621" spans="1:26">
      <c r="A621" s="294" t="s">
        <v>934</v>
      </c>
      <c r="B621" t="s">
        <v>57</v>
      </c>
      <c r="C621" s="291" t="str">
        <v>Hindustan Unilever Ltd</v>
      </c>
      <c r="D621" s="295">
        <v>0.000356543867161191</v>
      </c>
      <c r="E621" s="293">
        <f t="shared" si="18"/>
        <v>0</v>
      </c>
      <c r="F621" s="291" t="str">
        <v>Consumer Staples</v>
      </c>
      <c r="G621" s="293">
        <f t="shared" si="19"/>
        <v>0</v>
      </c>
      <c r="H621" s="291"/>
      <c r="J621" s="36"/>
      <c r="X621" s="291"/>
      <c r="Z621" s="294" t="s">
        <v>934</v>
      </c>
    </row>
    <row r="622" spans="1:26">
      <c r="A622" s="290" t="s">
        <v>936</v>
      </c>
      <c r="B622" t="s">
        <v>57</v>
      </c>
      <c r="C622" s="291" t="str">
        <v>ICICI Bank Ltd</v>
      </c>
      <c r="D622" s="292">
        <v>0.0517930787635227</v>
      </c>
      <c r="E622" s="293">
        <f t="shared" si="18"/>
        <v>0</v>
      </c>
      <c r="F622" s="291" t="str">
        <v>Financials</v>
      </c>
      <c r="G622" s="293">
        <f t="shared" si="19"/>
        <v>0</v>
      </c>
      <c r="H622" s="291"/>
      <c r="J622" s="36"/>
      <c r="X622" s="291"/>
      <c r="Z622" s="290" t="s">
        <v>936</v>
      </c>
    </row>
    <row r="623" spans="1:26">
      <c r="A623" s="294" t="s">
        <v>1454</v>
      </c>
      <c r="B623" t="s">
        <v>57</v>
      </c>
      <c r="C623" s="291" t="str">
        <v>ICRA Ltd</v>
      </c>
      <c r="D623" s="295">
        <v>0.00168152043215875</v>
      </c>
      <c r="E623" s="293">
        <f t="shared" si="18"/>
        <v>0</v>
      </c>
      <c r="F623" s="291" t="str">
        <v>Financials</v>
      </c>
      <c r="G623" s="293">
        <f t="shared" si="19"/>
        <v>0</v>
      </c>
      <c r="H623" s="291"/>
      <c r="J623" s="36"/>
      <c r="X623" s="291"/>
      <c r="Z623" s="294" t="s">
        <v>1454</v>
      </c>
    </row>
    <row r="624" spans="1:26">
      <c r="A624" s="290" t="s">
        <v>1457</v>
      </c>
      <c r="B624" t="s">
        <v>57</v>
      </c>
      <c r="C624" s="291" t="str">
        <v>IIFL Finance Ltd</v>
      </c>
      <c r="D624" s="292">
        <v>5.36048135893799e-5</v>
      </c>
      <c r="E624" s="293">
        <f t="shared" si="18"/>
        <v>0</v>
      </c>
      <c r="F624" s="291" t="str">
        <v>Financials</v>
      </c>
      <c r="G624" s="293">
        <f t="shared" si="19"/>
        <v>0</v>
      </c>
      <c r="H624" s="291"/>
      <c r="J624" s="36"/>
      <c r="X624" s="291"/>
      <c r="Z624" s="290" t="s">
        <v>1457</v>
      </c>
    </row>
    <row r="625" spans="1:26">
      <c r="A625" s="294" t="s">
        <v>946</v>
      </c>
      <c r="B625" t="s">
        <v>57</v>
      </c>
      <c r="C625" s="291" t="str">
        <v>Indian Energy Exchange Ltd</v>
      </c>
      <c r="D625" s="295">
        <v>0.00527993024841798</v>
      </c>
      <c r="E625" s="293">
        <f t="shared" si="18"/>
        <v>0</v>
      </c>
      <c r="F625" s="291" t="str">
        <v>Financials</v>
      </c>
      <c r="G625" s="293">
        <f t="shared" si="19"/>
        <v>0</v>
      </c>
      <c r="H625" s="291"/>
      <c r="J625" s="36"/>
      <c r="X625" s="291"/>
      <c r="Z625" s="294" t="s">
        <v>946</v>
      </c>
    </row>
    <row r="626" spans="1:26">
      <c r="A626" s="290" t="s">
        <v>1186</v>
      </c>
      <c r="B626" t="s">
        <v>57</v>
      </c>
      <c r="C626" s="291" t="str">
        <v>Indian Railway Catering &amp; Tour</v>
      </c>
      <c r="D626" s="292">
        <v>6.50542311549925e-5</v>
      </c>
      <c r="E626" s="293">
        <f t="shared" si="18"/>
        <v>0</v>
      </c>
      <c r="F626" s="291" t="str">
        <v>Industrials</v>
      </c>
      <c r="G626" s="293">
        <f t="shared" si="19"/>
        <v>0</v>
      </c>
      <c r="H626" s="291"/>
      <c r="J626" s="36"/>
      <c r="X626" s="291"/>
      <c r="Z626" s="290" t="s">
        <v>1186</v>
      </c>
    </row>
    <row r="627" spans="1:26">
      <c r="A627" s="294" t="s">
        <v>952</v>
      </c>
      <c r="B627" t="s">
        <v>57</v>
      </c>
      <c r="C627" s="291" t="str">
        <v>Indus Towers Ltd</v>
      </c>
      <c r="D627" s="295">
        <v>8.17172385542602e-6</v>
      </c>
      <c r="E627" s="293">
        <f t="shared" si="18"/>
        <v>0</v>
      </c>
      <c r="F627" s="291" t="str">
        <v>Communication Services</v>
      </c>
      <c r="G627" s="293">
        <f t="shared" si="19"/>
        <v>0</v>
      </c>
      <c r="H627" s="291"/>
      <c r="J627" s="36"/>
      <c r="X627" s="291"/>
      <c r="Z627" s="294" t="s">
        <v>952</v>
      </c>
    </row>
    <row r="628" spans="1:26">
      <c r="A628" s="290" t="s">
        <v>1155</v>
      </c>
      <c r="B628" t="s">
        <v>57</v>
      </c>
      <c r="C628" s="291" t="str">
        <v>IndusInd Bank Ltd</v>
      </c>
      <c r="D628" s="292">
        <v>0.000140201075342186</v>
      </c>
      <c r="E628" s="293">
        <f t="shared" si="18"/>
        <v>0</v>
      </c>
      <c r="F628" s="291" t="str">
        <v>Financials</v>
      </c>
      <c r="G628" s="293">
        <f t="shared" si="19"/>
        <v>0</v>
      </c>
      <c r="H628" s="291"/>
      <c r="J628" s="36"/>
      <c r="X628" s="291"/>
      <c r="Z628" s="290" t="s">
        <v>1155</v>
      </c>
    </row>
    <row r="629" spans="1:26">
      <c r="A629" s="294" t="s">
        <v>955</v>
      </c>
      <c r="B629" t="s">
        <v>57</v>
      </c>
      <c r="C629" s="291" t="str">
        <v>Infosys Ltd</v>
      </c>
      <c r="D629" s="295">
        <v>0.0123970338628618</v>
      </c>
      <c r="E629" s="293">
        <f t="shared" si="18"/>
        <v>0</v>
      </c>
      <c r="F629" s="291" t="str">
        <v>Information Technology</v>
      </c>
      <c r="G629" s="293">
        <f t="shared" si="19"/>
        <v>0</v>
      </c>
      <c r="H629" s="291"/>
      <c r="J629" s="36"/>
      <c r="X629" s="291"/>
      <c r="Z629" s="294" t="s">
        <v>955</v>
      </c>
    </row>
    <row r="630" spans="1:26">
      <c r="A630" s="290" t="s">
        <v>958</v>
      </c>
      <c r="B630" t="s">
        <v>57</v>
      </c>
      <c r="C630" s="291" t="str">
        <v>InterGlobe Aviation Ltd</v>
      </c>
      <c r="D630" s="292">
        <v>0.000221485760727044</v>
      </c>
      <c r="E630" s="293">
        <f t="shared" si="18"/>
        <v>0</v>
      </c>
      <c r="F630" s="291" t="str">
        <v>Industrials</v>
      </c>
      <c r="G630" s="293">
        <f t="shared" si="19"/>
        <v>0</v>
      </c>
      <c r="H630" s="291"/>
      <c r="J630" s="36"/>
      <c r="X630" s="291"/>
      <c r="Z630" s="290" t="s">
        <v>958</v>
      </c>
    </row>
    <row r="631" spans="1:26">
      <c r="A631" s="294" t="s">
        <v>1461</v>
      </c>
      <c r="B631" t="s">
        <v>57</v>
      </c>
      <c r="C631" s="291" t="str">
        <v>Ipca Laboratories Ltd</v>
      </c>
      <c r="D631" s="295">
        <v>0.000736705137371758</v>
      </c>
      <c r="E631" s="293">
        <f t="shared" si="18"/>
        <v>0</v>
      </c>
      <c r="F631" s="291" t="str">
        <v>Health Care</v>
      </c>
      <c r="G631" s="293">
        <f t="shared" si="19"/>
        <v>0</v>
      </c>
      <c r="H631" s="291"/>
      <c r="J631" s="36"/>
      <c r="X631" s="291"/>
      <c r="Z631" s="294" t="s">
        <v>1461</v>
      </c>
    </row>
    <row r="632" spans="1:26">
      <c r="A632" s="290" t="s">
        <v>961</v>
      </c>
      <c r="B632" t="s">
        <v>57</v>
      </c>
      <c r="C632" s="291" t="str">
        <v>ITC Ltd</v>
      </c>
      <c r="D632" s="292">
        <v>0.0444284214391836</v>
      </c>
      <c r="E632" s="293">
        <f t="shared" si="18"/>
        <v>0</v>
      </c>
      <c r="F632" s="291" t="str">
        <v>Consumer Staples</v>
      </c>
      <c r="G632" s="293">
        <f t="shared" si="19"/>
        <v>0</v>
      </c>
      <c r="H632" s="291"/>
      <c r="J632" s="36"/>
      <c r="X632" s="291"/>
      <c r="Z632" s="290" t="s">
        <v>961</v>
      </c>
    </row>
    <row r="633" spans="1:26">
      <c r="A633" s="294" t="s">
        <v>1347</v>
      </c>
      <c r="B633" t="s">
        <v>57</v>
      </c>
      <c r="C633" s="291" t="str">
        <v>Jindal Steel &amp; Power Ltd</v>
      </c>
      <c r="D633" s="295">
        <v>7.45403869884599e-6</v>
      </c>
      <c r="E633" s="293">
        <f t="shared" si="18"/>
        <v>0</v>
      </c>
      <c r="F633" s="291" t="str">
        <v>Materials</v>
      </c>
      <c r="G633" s="293">
        <f t="shared" si="19"/>
        <v>0</v>
      </c>
      <c r="H633" s="291"/>
      <c r="J633" s="36"/>
      <c r="X633" s="291"/>
      <c r="Z633" s="294" t="s">
        <v>1347</v>
      </c>
    </row>
    <row r="634" spans="1:26">
      <c r="A634" s="290" t="s">
        <v>1464</v>
      </c>
      <c r="B634" t="s">
        <v>57</v>
      </c>
      <c r="C634" s="291" t="str">
        <v>Jio Financial Services Ltd</v>
      </c>
      <c r="D634" s="292">
        <v>0.00146577350439964</v>
      </c>
      <c r="E634" s="293">
        <f t="shared" si="18"/>
        <v>0</v>
      </c>
      <c r="F634" s="291" t="str">
        <v>Financials</v>
      </c>
      <c r="G634" s="293">
        <f t="shared" si="19"/>
        <v>0</v>
      </c>
      <c r="H634" s="291"/>
      <c r="J634" s="36"/>
      <c r="X634" s="291"/>
      <c r="Z634" s="290" t="s">
        <v>1464</v>
      </c>
    </row>
    <row r="635" spans="1:26">
      <c r="A635" s="294" t="s">
        <v>1467</v>
      </c>
      <c r="B635" t="s">
        <v>57</v>
      </c>
      <c r="C635" s="291" t="str">
        <v>JSW Steel Ltd</v>
      </c>
      <c r="D635" s="295">
        <v>2.49856834831995e-5</v>
      </c>
      <c r="E635" s="293">
        <f t="shared" si="18"/>
        <v>0</v>
      </c>
      <c r="F635" s="291" t="str">
        <v>Materials</v>
      </c>
      <c r="G635" s="293">
        <f t="shared" si="19"/>
        <v>0</v>
      </c>
      <c r="H635" s="291"/>
      <c r="J635" s="36"/>
      <c r="X635" s="291"/>
      <c r="Z635" s="294" t="s">
        <v>1467</v>
      </c>
    </row>
    <row r="636" spans="1:26">
      <c r="A636" s="290" t="s">
        <v>972</v>
      </c>
      <c r="B636" t="s">
        <v>57</v>
      </c>
      <c r="C636" s="291" t="str">
        <v>Kotak Mahindra Bank Ltd</v>
      </c>
      <c r="D636" s="292">
        <v>0.0384155404383519</v>
      </c>
      <c r="E636" s="293">
        <f t="shared" si="18"/>
        <v>0</v>
      </c>
      <c r="F636" s="291" t="str">
        <v>Financials</v>
      </c>
      <c r="G636" s="293">
        <f t="shared" si="19"/>
        <v>0</v>
      </c>
      <c r="H636" s="291"/>
      <c r="J636" s="36"/>
      <c r="X636" s="291"/>
      <c r="Z636" s="290" t="s">
        <v>972</v>
      </c>
    </row>
    <row r="637" spans="1:26">
      <c r="A637" s="294" t="s">
        <v>975</v>
      </c>
      <c r="B637" t="s">
        <v>57</v>
      </c>
      <c r="C637" s="291" t="str">
        <v>Larsen &amp; Toubro Ltd</v>
      </c>
      <c r="D637" s="295">
        <v>0.000955023549584892</v>
      </c>
      <c r="E637" s="293">
        <f t="shared" si="18"/>
        <v>0</v>
      </c>
      <c r="F637" s="291" t="str">
        <v>Industrials</v>
      </c>
      <c r="G637" s="293">
        <f t="shared" si="19"/>
        <v>0</v>
      </c>
      <c r="H637" s="291"/>
      <c r="J637" s="36"/>
      <c r="X637" s="291"/>
      <c r="Z637" s="294" t="s">
        <v>975</v>
      </c>
    </row>
    <row r="638" spans="1:26">
      <c r="A638" s="290" t="s">
        <v>1172</v>
      </c>
      <c r="B638" t="s">
        <v>57</v>
      </c>
      <c r="C638" s="291" t="str">
        <v>LIC Housing Finance Ltd</v>
      </c>
      <c r="D638" s="292">
        <v>3.20751416535492e-5</v>
      </c>
      <c r="E638" s="293">
        <f t="shared" si="18"/>
        <v>0</v>
      </c>
      <c r="F638" s="291" t="str">
        <v>Financials</v>
      </c>
      <c r="G638" s="293">
        <f t="shared" si="19"/>
        <v>0</v>
      </c>
      <c r="H638" s="291"/>
      <c r="J638" s="36"/>
      <c r="X638" s="291"/>
      <c r="Z638" s="290" t="s">
        <v>1172</v>
      </c>
    </row>
    <row r="639" spans="1:26">
      <c r="A639" s="294" t="s">
        <v>978</v>
      </c>
      <c r="B639" t="s">
        <v>57</v>
      </c>
      <c r="C639" s="291" t="str">
        <v>Lupin Ltd</v>
      </c>
      <c r="D639" s="295">
        <v>0.000204820987804636</v>
      </c>
      <c r="E639" s="293">
        <f t="shared" si="18"/>
        <v>0</v>
      </c>
      <c r="F639" s="291" t="str">
        <v>Health Care</v>
      </c>
      <c r="G639" s="293">
        <f t="shared" si="19"/>
        <v>0</v>
      </c>
      <c r="H639" s="291"/>
      <c r="J639" s="36"/>
      <c r="X639" s="291"/>
      <c r="Z639" s="294" t="s">
        <v>978</v>
      </c>
    </row>
    <row r="640" spans="1:26">
      <c r="A640" s="290" t="s">
        <v>1469</v>
      </c>
      <c r="B640" t="s">
        <v>57</v>
      </c>
      <c r="C640" s="291" t="str">
        <v>Mahanagar Gas Ltd</v>
      </c>
      <c r="D640" s="292">
        <v>0</v>
      </c>
      <c r="E640" s="293">
        <f t="shared" ref="E640:E700" si="20">_xlfn.IFNA(D640*VLOOKUP($B640,$AK$1:$AM$34,3,FALSE),0)</f>
        <v>0</v>
      </c>
      <c r="F640" s="291" t="str">
        <v>Utilities</v>
      </c>
      <c r="G640" s="293">
        <f t="shared" ref="G640:G700" si="21">_xlfn.IFNA(D640*VLOOKUP($B640,$AK$1:$AM$34,3,FALSE),0)</f>
        <v>0</v>
      </c>
      <c r="H640" s="291"/>
      <c r="J640" s="36"/>
      <c r="X640" s="291"/>
      <c r="Z640" s="290" t="s">
        <v>1469</v>
      </c>
    </row>
    <row r="641" spans="1:26">
      <c r="A641" s="294" t="s">
        <v>1471</v>
      </c>
      <c r="B641" t="s">
        <v>57</v>
      </c>
      <c r="C641" s="291" t="str">
        <v>Maharashtra Scooters Ltd</v>
      </c>
      <c r="D641" s="295">
        <v>0.00113600203013975</v>
      </c>
      <c r="E641" s="293">
        <f t="shared" si="20"/>
        <v>0</v>
      </c>
      <c r="F641" s="291" t="str">
        <v>Financials</v>
      </c>
      <c r="G641" s="293">
        <f t="shared" si="21"/>
        <v>0</v>
      </c>
      <c r="H641" s="291"/>
      <c r="J641" s="36"/>
      <c r="X641" s="291"/>
      <c r="Z641" s="294" t="s">
        <v>1471</v>
      </c>
    </row>
    <row r="642" spans="1:26">
      <c r="A642" s="290" t="s">
        <v>966</v>
      </c>
      <c r="B642" t="s">
        <v>57</v>
      </c>
      <c r="C642" s="291" t="str">
        <v>Mahindra &amp; Mahindra Ltd</v>
      </c>
      <c r="D642" s="292">
        <v>0.0348800176735928</v>
      </c>
      <c r="E642" s="293">
        <f t="shared" si="20"/>
        <v>0</v>
      </c>
      <c r="F642" s="291" t="str">
        <v>Consumer Discretionary</v>
      </c>
      <c r="G642" s="293">
        <f t="shared" si="21"/>
        <v>0</v>
      </c>
      <c r="H642" s="291"/>
      <c r="J642" s="36"/>
      <c r="X642" s="291"/>
      <c r="Z642" s="290" t="s">
        <v>966</v>
      </c>
    </row>
    <row r="643" spans="1:26">
      <c r="A643" s="294" t="s">
        <v>990</v>
      </c>
      <c r="B643" t="s">
        <v>57</v>
      </c>
      <c r="C643" s="291" t="str">
        <v>Maruti Suzuki India Ltd</v>
      </c>
      <c r="D643" s="295">
        <v>0.0336307573339953</v>
      </c>
      <c r="E643" s="293">
        <f t="shared" si="20"/>
        <v>0</v>
      </c>
      <c r="F643" s="291" t="str">
        <v>Consumer Discretionary</v>
      </c>
      <c r="G643" s="293">
        <f t="shared" si="21"/>
        <v>0</v>
      </c>
      <c r="H643" s="291"/>
      <c r="J643" s="36"/>
      <c r="X643" s="291"/>
      <c r="Z643" s="294" t="s">
        <v>990</v>
      </c>
    </row>
    <row r="644" spans="1:26">
      <c r="A644" s="290" t="s">
        <v>1473</v>
      </c>
      <c r="B644" t="s">
        <v>57</v>
      </c>
      <c r="C644" s="291" t="str">
        <v>Motilal Oswal Financial Servic</v>
      </c>
      <c r="D644" s="292">
        <v>0</v>
      </c>
      <c r="E644" s="293">
        <f t="shared" si="20"/>
        <v>0</v>
      </c>
      <c r="F644" s="291" t="str">
        <v>Financials</v>
      </c>
      <c r="G644" s="293">
        <f t="shared" si="21"/>
        <v>0</v>
      </c>
      <c r="H644" s="291"/>
      <c r="J644" s="36"/>
      <c r="X644" s="291"/>
      <c r="Z644" s="290" t="s">
        <v>1473</v>
      </c>
    </row>
    <row r="645" spans="1:26">
      <c r="A645" s="294" t="s">
        <v>981</v>
      </c>
      <c r="B645" t="s">
        <v>57</v>
      </c>
      <c r="C645" s="291" t="str">
        <v>Multi Commodity Exchange of In</v>
      </c>
      <c r="D645" s="295">
        <v>0.00541737710766111</v>
      </c>
      <c r="E645" s="293">
        <f t="shared" si="20"/>
        <v>0</v>
      </c>
      <c r="F645" s="291" t="str">
        <v>Financials</v>
      </c>
      <c r="G645" s="293">
        <f t="shared" si="21"/>
        <v>0</v>
      </c>
      <c r="H645" s="291"/>
      <c r="J645" s="36"/>
      <c r="X645" s="291"/>
      <c r="Z645" s="294" t="s">
        <v>981</v>
      </c>
    </row>
    <row r="646" spans="1:26">
      <c r="A646" s="290" t="s">
        <v>1389</v>
      </c>
      <c r="B646" t="s">
        <v>57</v>
      </c>
      <c r="C646" s="291" t="str">
        <v>Narayana Hrudayalaya Ltd</v>
      </c>
      <c r="D646" s="292">
        <v>0.00337442142648064</v>
      </c>
      <c r="E646" s="293">
        <f t="shared" si="20"/>
        <v>0</v>
      </c>
      <c r="F646" s="291" t="str">
        <v>Health Care</v>
      </c>
      <c r="G646" s="293">
        <f t="shared" si="21"/>
        <v>0</v>
      </c>
      <c r="H646" s="291"/>
      <c r="J646" s="36"/>
      <c r="X646" s="291"/>
      <c r="Z646" s="290" t="s">
        <v>1389</v>
      </c>
    </row>
    <row r="647" spans="1:26">
      <c r="A647" s="294" t="s">
        <v>1475</v>
      </c>
      <c r="B647" t="s">
        <v>57</v>
      </c>
      <c r="C647" s="291" t="str">
        <v>NESCO Ltd</v>
      </c>
      <c r="D647" s="295">
        <v>0.000184599568515855</v>
      </c>
      <c r="E647" s="293">
        <f t="shared" si="20"/>
        <v>0</v>
      </c>
      <c r="F647" s="291" t="str">
        <v>Real Estate</v>
      </c>
      <c r="G647" s="293">
        <f t="shared" si="21"/>
        <v>0</v>
      </c>
      <c r="H647" s="291"/>
      <c r="J647" s="36"/>
      <c r="X647" s="291"/>
      <c r="Z647" s="294" t="s">
        <v>1475</v>
      </c>
    </row>
    <row r="648" spans="1:26">
      <c r="A648" s="290" t="s">
        <v>1203</v>
      </c>
      <c r="B648" t="s">
        <v>57</v>
      </c>
      <c r="C648" s="291" t="str">
        <v>NMDC Ltd</v>
      </c>
      <c r="D648" s="292">
        <v>8.77367897015164e-5</v>
      </c>
      <c r="E648" s="293">
        <f t="shared" si="20"/>
        <v>0</v>
      </c>
      <c r="F648" s="291" t="str">
        <v>Materials</v>
      </c>
      <c r="G648" s="293">
        <f t="shared" si="21"/>
        <v>0</v>
      </c>
      <c r="H648" s="291"/>
      <c r="J648" s="36"/>
      <c r="X648" s="291"/>
      <c r="Z648" s="290" t="s">
        <v>1203</v>
      </c>
    </row>
    <row r="649" spans="1:26">
      <c r="A649" s="294" t="s">
        <v>992</v>
      </c>
      <c r="B649" t="s">
        <v>57</v>
      </c>
      <c r="C649" s="291" t="str">
        <v>NTPC Ltd</v>
      </c>
      <c r="D649" s="295">
        <v>0.000511639778477516</v>
      </c>
      <c r="E649" s="293">
        <f t="shared" si="20"/>
        <v>0</v>
      </c>
      <c r="F649" s="291" t="str">
        <v>Utilities</v>
      </c>
      <c r="G649" s="293">
        <f t="shared" si="21"/>
        <v>0</v>
      </c>
      <c r="H649" s="291"/>
      <c r="J649" s="36"/>
      <c r="X649" s="291"/>
      <c r="Z649" s="294" t="s">
        <v>992</v>
      </c>
    </row>
    <row r="650" spans="1:26">
      <c r="A650" s="290" t="s">
        <v>1191</v>
      </c>
      <c r="B650" t="s">
        <v>57</v>
      </c>
      <c r="C650" s="291" t="str">
        <v>Oil &amp; Natural Gas Corp Ltd</v>
      </c>
      <c r="D650" s="292">
        <v>0.000185248398269959</v>
      </c>
      <c r="E650" s="293">
        <f t="shared" si="20"/>
        <v>0</v>
      </c>
      <c r="F650" s="291" t="str">
        <v>Energy</v>
      </c>
      <c r="G650" s="293">
        <f t="shared" si="21"/>
        <v>0</v>
      </c>
      <c r="H650" s="291"/>
      <c r="J650" s="36"/>
      <c r="X650" s="291"/>
      <c r="Z650" s="290" t="s">
        <v>1191</v>
      </c>
    </row>
    <row r="651" spans="1:26">
      <c r="A651" s="294" t="s">
        <v>1007</v>
      </c>
      <c r="B651" t="s">
        <v>57</v>
      </c>
      <c r="C651" s="291" t="str">
        <v>PI Industries Ltd</v>
      </c>
      <c r="D651" s="295">
        <v>1.83870407458862e-5</v>
      </c>
      <c r="E651" s="293">
        <f t="shared" si="20"/>
        <v>0</v>
      </c>
      <c r="F651" s="291" t="str">
        <v>Materials</v>
      </c>
      <c r="G651" s="293">
        <f t="shared" si="21"/>
        <v>0</v>
      </c>
      <c r="H651" s="291"/>
      <c r="J651" s="36"/>
      <c r="X651" s="291"/>
      <c r="Z651" s="294" t="s">
        <v>1007</v>
      </c>
    </row>
    <row r="652" spans="1:26">
      <c r="A652" s="290" t="s">
        <v>1196</v>
      </c>
      <c r="B652" t="s">
        <v>57</v>
      </c>
      <c r="C652" s="291" t="str">
        <v>Polycab India Ltd</v>
      </c>
      <c r="D652" s="292">
        <v>2.48382623009746e-5</v>
      </c>
      <c r="E652" s="293">
        <f t="shared" si="20"/>
        <v>0</v>
      </c>
      <c r="F652" s="291" t="str">
        <v>Industrials</v>
      </c>
      <c r="G652" s="293">
        <f t="shared" si="21"/>
        <v>0</v>
      </c>
      <c r="H652" s="291"/>
      <c r="J652" s="36"/>
      <c r="X652" s="291"/>
      <c r="Z652" s="290" t="s">
        <v>1196</v>
      </c>
    </row>
    <row r="653" spans="1:26">
      <c r="A653" s="294" t="s">
        <v>1023</v>
      </c>
      <c r="B653" t="s">
        <v>57</v>
      </c>
      <c r="C653" s="291" t="str">
        <v>Power Grid Corp of India Ltd</v>
      </c>
      <c r="D653" s="295">
        <v>0.0592855299493348</v>
      </c>
      <c r="E653" s="293">
        <f t="shared" si="20"/>
        <v>0</v>
      </c>
      <c r="F653" s="291" t="str">
        <v>Utilities</v>
      </c>
      <c r="G653" s="293">
        <f t="shared" si="21"/>
        <v>0</v>
      </c>
      <c r="H653" s="291"/>
      <c r="J653" s="36"/>
      <c r="X653" s="291"/>
      <c r="Z653" s="294" t="s">
        <v>1023</v>
      </c>
    </row>
    <row r="654" spans="1:26">
      <c r="A654" s="290" t="s">
        <v>1028</v>
      </c>
      <c r="B654" t="s">
        <v>57</v>
      </c>
      <c r="C654" s="291" t="str">
        <v>Punjab National Bank</v>
      </c>
      <c r="D654" s="292">
        <v>0.000252285311911641</v>
      </c>
      <c r="E654" s="293">
        <f t="shared" si="20"/>
        <v>0</v>
      </c>
      <c r="F654" s="291" t="str">
        <v>Financials</v>
      </c>
      <c r="G654" s="293">
        <f t="shared" si="21"/>
        <v>0</v>
      </c>
      <c r="H654" s="291"/>
      <c r="J654" s="36"/>
      <c r="X654" s="291"/>
      <c r="Z654" s="290" t="s">
        <v>1028</v>
      </c>
    </row>
    <row r="655" spans="1:26">
      <c r="A655" s="294" t="s">
        <v>1479</v>
      </c>
      <c r="B655" t="s">
        <v>57</v>
      </c>
      <c r="C655" s="291" t="str">
        <v>RBL Bank Ltd</v>
      </c>
      <c r="D655" s="295">
        <v>0.000484614915767134</v>
      </c>
      <c r="E655" s="293">
        <f t="shared" si="20"/>
        <v>0</v>
      </c>
      <c r="F655" s="291" t="str">
        <v>Financials</v>
      </c>
      <c r="G655" s="293">
        <f t="shared" si="21"/>
        <v>0</v>
      </c>
      <c r="H655" s="291"/>
      <c r="J655" s="36"/>
      <c r="X655" s="291"/>
      <c r="Z655" s="294" t="s">
        <v>1479</v>
      </c>
    </row>
    <row r="656" spans="1:26">
      <c r="A656" s="290" t="s">
        <v>1034</v>
      </c>
      <c r="B656" t="s">
        <v>57</v>
      </c>
      <c r="C656" s="291" t="str">
        <v>Reliance Industries Ltd</v>
      </c>
      <c r="D656" s="292">
        <v>0.00769341185727018</v>
      </c>
      <c r="E656" s="293">
        <f t="shared" si="20"/>
        <v>0</v>
      </c>
      <c r="F656" s="291" t="str">
        <v>Energy</v>
      </c>
      <c r="G656" s="293">
        <f t="shared" si="21"/>
        <v>0</v>
      </c>
      <c r="H656" s="291"/>
      <c r="J656" s="36"/>
      <c r="X656" s="291"/>
      <c r="Z656" s="290" t="s">
        <v>1034</v>
      </c>
    </row>
    <row r="657" spans="1:26">
      <c r="A657" s="294" t="s">
        <v>1041</v>
      </c>
      <c r="B657" t="s">
        <v>57</v>
      </c>
      <c r="C657" s="291" t="str">
        <v>State Bank of India</v>
      </c>
      <c r="D657" s="295">
        <v>3.32244972179615e-5</v>
      </c>
      <c r="E657" s="293">
        <f t="shared" si="20"/>
        <v>0</v>
      </c>
      <c r="F657" s="291" t="str">
        <v>Financials</v>
      </c>
      <c r="G657" s="293">
        <f t="shared" si="21"/>
        <v>0</v>
      </c>
      <c r="H657" s="291"/>
      <c r="J657" s="36"/>
      <c r="X657" s="291"/>
      <c r="Z657" s="294" t="s">
        <v>1041</v>
      </c>
    </row>
    <row r="658" spans="1:26">
      <c r="A658" s="290" t="s">
        <v>1423</v>
      </c>
      <c r="B658" t="s">
        <v>57</v>
      </c>
      <c r="C658" s="291" t="str">
        <v>Steel Authority of India Ltd</v>
      </c>
      <c r="D658" s="292">
        <v>0.000366380479338032</v>
      </c>
      <c r="E658" s="293">
        <f t="shared" si="20"/>
        <v>0</v>
      </c>
      <c r="F658" s="291" t="str">
        <v>Materials</v>
      </c>
      <c r="G658" s="293">
        <f t="shared" si="21"/>
        <v>0</v>
      </c>
      <c r="H658" s="291"/>
      <c r="J658" s="36"/>
      <c r="X658" s="291"/>
      <c r="Z658" s="290" t="s">
        <v>1423</v>
      </c>
    </row>
    <row r="659" spans="1:26">
      <c r="A659" s="294" t="s">
        <v>1044</v>
      </c>
      <c r="B659" t="s">
        <v>57</v>
      </c>
      <c r="C659" s="291" t="str">
        <v>Sun Pharmaceutical Industries</v>
      </c>
      <c r="D659" s="295">
        <v>0.000706072428123931</v>
      </c>
      <c r="E659" s="293">
        <f t="shared" si="20"/>
        <v>0</v>
      </c>
      <c r="F659" s="291" t="str">
        <v>Health Care</v>
      </c>
      <c r="G659" s="293">
        <f t="shared" si="21"/>
        <v>0</v>
      </c>
      <c r="H659" s="291"/>
      <c r="J659" s="36"/>
      <c r="X659" s="291"/>
      <c r="Z659" s="294" t="s">
        <v>1044</v>
      </c>
    </row>
    <row r="660" spans="1:26">
      <c r="A660" s="290" t="s">
        <v>1482</v>
      </c>
      <c r="B660" t="s">
        <v>57</v>
      </c>
      <c r="C660" s="291" t="str">
        <v>Swaraj Engines Ltd</v>
      </c>
      <c r="D660" s="292">
        <v>0.000175109881636107</v>
      </c>
      <c r="E660" s="293">
        <f t="shared" si="20"/>
        <v>0</v>
      </c>
      <c r="F660" s="291" t="str">
        <v>Industrials</v>
      </c>
      <c r="G660" s="293">
        <f t="shared" si="21"/>
        <v>0</v>
      </c>
      <c r="H660" s="291"/>
      <c r="J660" s="36"/>
      <c r="X660" s="291"/>
      <c r="Z660" s="290" t="s">
        <v>1482</v>
      </c>
    </row>
    <row r="661" spans="1:26">
      <c r="A661" s="294" t="s">
        <v>1053</v>
      </c>
      <c r="B661" t="s">
        <v>57</v>
      </c>
      <c r="C661" s="291" t="str">
        <v>Tata Chemicals Ltd</v>
      </c>
      <c r="D661" s="295">
        <v>6.65266774541013e-5</v>
      </c>
      <c r="E661" s="293">
        <f t="shared" si="20"/>
        <v>0</v>
      </c>
      <c r="F661" s="291" t="str">
        <v>Materials</v>
      </c>
      <c r="G661" s="293">
        <f t="shared" si="21"/>
        <v>0</v>
      </c>
      <c r="H661" s="291"/>
      <c r="J661" s="36"/>
      <c r="X661" s="291"/>
      <c r="Z661" s="294" t="s">
        <v>1053</v>
      </c>
    </row>
    <row r="662" spans="1:26">
      <c r="A662" s="290" t="s">
        <v>1235</v>
      </c>
      <c r="B662" t="s">
        <v>57</v>
      </c>
      <c r="C662" s="291" t="str">
        <v>Tata Communications Ltd</v>
      </c>
      <c r="D662" s="292">
        <v>0</v>
      </c>
      <c r="E662" s="293">
        <f t="shared" si="20"/>
        <v>0</v>
      </c>
      <c r="F662" s="291" t="str">
        <v>Communication Services</v>
      </c>
      <c r="G662" s="293">
        <f t="shared" si="21"/>
        <v>0</v>
      </c>
      <c r="H662" s="291"/>
      <c r="J662" s="36"/>
      <c r="X662" s="291"/>
      <c r="Z662" s="290" t="s">
        <v>1235</v>
      </c>
    </row>
    <row r="663" spans="1:26">
      <c r="A663" s="294" t="s">
        <v>1051</v>
      </c>
      <c r="B663" t="s">
        <v>57</v>
      </c>
      <c r="C663" s="291" t="str">
        <v>Tata Consultancy Services Ltd</v>
      </c>
      <c r="D663" s="295">
        <v>0.00153735487460476</v>
      </c>
      <c r="E663" s="293">
        <f t="shared" si="20"/>
        <v>0</v>
      </c>
      <c r="F663" s="291" t="str">
        <v>Information Technology</v>
      </c>
      <c r="G663" s="293">
        <f t="shared" si="21"/>
        <v>0</v>
      </c>
      <c r="H663" s="291"/>
      <c r="J663" s="36"/>
      <c r="X663" s="291"/>
      <c r="Z663" s="294" t="s">
        <v>1051</v>
      </c>
    </row>
    <row r="664" spans="1:26">
      <c r="A664" s="290" t="s">
        <v>1058</v>
      </c>
      <c r="B664" t="s">
        <v>57</v>
      </c>
      <c r="C664" s="291" t="str">
        <v>Tata Consumer Products Ltd</v>
      </c>
      <c r="D664" s="292">
        <v>0.000146938311646022</v>
      </c>
      <c r="E664" s="293">
        <f t="shared" si="20"/>
        <v>0</v>
      </c>
      <c r="F664" s="291" t="str">
        <v>Consumer Staples</v>
      </c>
      <c r="G664" s="293">
        <f t="shared" si="21"/>
        <v>0</v>
      </c>
      <c r="H664" s="291"/>
      <c r="J664" s="36"/>
      <c r="X664" s="291"/>
      <c r="Z664" s="290" t="s">
        <v>1058</v>
      </c>
    </row>
    <row r="665" spans="1:26">
      <c r="A665" s="294" t="s">
        <v>1054</v>
      </c>
      <c r="B665" t="s">
        <v>57</v>
      </c>
      <c r="C665" s="291" t="str">
        <v>Tata Motors Ltd</v>
      </c>
      <c r="D665" s="295">
        <v>0.00073413806672559</v>
      </c>
      <c r="E665" s="293">
        <f t="shared" si="20"/>
        <v>0</v>
      </c>
      <c r="F665" s="291" t="str">
        <v>Consumer Discretionary</v>
      </c>
      <c r="G665" s="293">
        <f t="shared" si="21"/>
        <v>0</v>
      </c>
      <c r="H665" s="291"/>
      <c r="J665" s="36"/>
      <c r="X665" s="291"/>
      <c r="Z665" s="294" t="s">
        <v>1054</v>
      </c>
    </row>
    <row r="666" spans="1:26">
      <c r="A666" s="290" t="s">
        <v>1063</v>
      </c>
      <c r="B666" t="s">
        <v>57</v>
      </c>
      <c r="C666" s="291" t="str">
        <v>Tata Power Co Ltd/The</v>
      </c>
      <c r="D666" s="292">
        <v>3.15657882275385e-5</v>
      </c>
      <c r="E666" s="293">
        <f t="shared" si="20"/>
        <v>0</v>
      </c>
      <c r="F666" s="291" t="str">
        <v>Utilities</v>
      </c>
      <c r="G666" s="293">
        <f t="shared" si="21"/>
        <v>0</v>
      </c>
      <c r="H666" s="291"/>
      <c r="J666" s="36"/>
      <c r="X666" s="291"/>
      <c r="Z666" s="290" t="s">
        <v>1063</v>
      </c>
    </row>
    <row r="667" spans="1:26">
      <c r="A667" s="294" t="s">
        <v>1056</v>
      </c>
      <c r="B667" t="s">
        <v>57</v>
      </c>
      <c r="C667" s="291" t="str">
        <v>Tata Steel Ltd</v>
      </c>
      <c r="D667" s="295">
        <v>5.82790361036373e-5</v>
      </c>
      <c r="E667" s="293">
        <f t="shared" si="20"/>
        <v>0</v>
      </c>
      <c r="F667" s="291" t="str">
        <v>Materials</v>
      </c>
      <c r="G667" s="293">
        <f t="shared" si="21"/>
        <v>0</v>
      </c>
      <c r="H667" s="291"/>
      <c r="J667" s="36"/>
      <c r="X667" s="291"/>
      <c r="Z667" s="294" t="s">
        <v>1056</v>
      </c>
    </row>
    <row r="668" spans="1:26">
      <c r="A668" s="290" t="s">
        <v>1059</v>
      </c>
      <c r="B668" t="s">
        <v>57</v>
      </c>
      <c r="C668" s="291" t="str">
        <v>Tech Mahindra Ltd</v>
      </c>
      <c r="D668" s="292">
        <v>4.57402907603867e-5</v>
      </c>
      <c r="E668" s="293">
        <f t="shared" si="20"/>
        <v>0</v>
      </c>
      <c r="F668" s="291" t="str">
        <v>Information Technology</v>
      </c>
      <c r="G668" s="293">
        <f t="shared" si="21"/>
        <v>0</v>
      </c>
      <c r="H668" s="291"/>
      <c r="J668" s="36"/>
      <c r="X668" s="291"/>
      <c r="Z668" s="290" t="s">
        <v>1059</v>
      </c>
    </row>
    <row r="669" spans="1:26">
      <c r="A669" s="294" t="s">
        <v>1064</v>
      </c>
      <c r="B669" t="s">
        <v>57</v>
      </c>
      <c r="C669" s="291" t="str">
        <v>Indian Hotels Co Ltd/The</v>
      </c>
      <c r="D669" s="295">
        <v>5.23124506505937e-6</v>
      </c>
      <c r="E669" s="293">
        <f t="shared" si="20"/>
        <v>0</v>
      </c>
      <c r="F669" s="291" t="str">
        <v>Consumer Discretionary</v>
      </c>
      <c r="G669" s="293">
        <f t="shared" si="21"/>
        <v>0</v>
      </c>
      <c r="H669" s="291"/>
      <c r="J669" s="36"/>
      <c r="X669" s="291"/>
      <c r="Z669" s="294" t="s">
        <v>1064</v>
      </c>
    </row>
    <row r="670" spans="1:26">
      <c r="A670" s="290" t="s">
        <v>1081</v>
      </c>
      <c r="B670" t="s">
        <v>57</v>
      </c>
      <c r="C670" s="291" t="str">
        <v>Titan Co Ltd</v>
      </c>
      <c r="D670" s="292">
        <v>6.05009469758537e-5</v>
      </c>
      <c r="E670" s="293">
        <f t="shared" si="20"/>
        <v>0</v>
      </c>
      <c r="F670" s="291" t="str">
        <v>Consumer Discretionary</v>
      </c>
      <c r="G670" s="293">
        <f t="shared" si="21"/>
        <v>0</v>
      </c>
      <c r="H670" s="291"/>
      <c r="J670" s="36"/>
      <c r="X670" s="291"/>
      <c r="Z670" s="290" t="s">
        <v>1081</v>
      </c>
    </row>
    <row r="671" spans="1:26">
      <c r="A671" s="294" t="s">
        <v>1076</v>
      </c>
      <c r="B671" t="s">
        <v>57</v>
      </c>
      <c r="C671" s="291" t="str">
        <v>United Spirits Ltd</v>
      </c>
      <c r="D671" s="295">
        <v>1.8926408065284e-6</v>
      </c>
      <c r="E671" s="293">
        <f t="shared" si="20"/>
        <v>0</v>
      </c>
      <c r="F671" s="291" t="str">
        <v>Consumer Staples</v>
      </c>
      <c r="G671" s="293">
        <f t="shared" si="21"/>
        <v>0</v>
      </c>
      <c r="H671" s="291"/>
      <c r="J671" s="36"/>
      <c r="X671" s="291"/>
      <c r="Z671" s="294" t="s">
        <v>1076</v>
      </c>
    </row>
    <row r="672" spans="1:26">
      <c r="A672" s="290" t="s">
        <v>1082</v>
      </c>
      <c r="B672" t="s">
        <v>57</v>
      </c>
      <c r="C672" s="291" t="str">
        <v>Varun Beverages Ltd</v>
      </c>
      <c r="D672" s="292">
        <v>0.000123890289809432</v>
      </c>
      <c r="E672" s="293">
        <f t="shared" si="20"/>
        <v>0</v>
      </c>
      <c r="F672" s="291" t="str">
        <v>Consumer Staples</v>
      </c>
      <c r="G672" s="293">
        <f t="shared" si="21"/>
        <v>0</v>
      </c>
      <c r="H672" s="291"/>
      <c r="J672" s="36"/>
      <c r="X672" s="291"/>
      <c r="Z672" s="290" t="s">
        <v>1082</v>
      </c>
    </row>
    <row r="673" spans="1:26">
      <c r="A673" s="294" t="s">
        <v>1245</v>
      </c>
      <c r="B673" t="s">
        <v>57</v>
      </c>
      <c r="C673" s="291" t="str">
        <v>Vedanta Ltd</v>
      </c>
      <c r="D673" s="295">
        <v>0.000112348182278947</v>
      </c>
      <c r="E673" s="293">
        <f t="shared" si="20"/>
        <v>0</v>
      </c>
      <c r="F673" s="291" t="str">
        <v>Materials</v>
      </c>
      <c r="G673" s="293">
        <f t="shared" si="21"/>
        <v>0</v>
      </c>
      <c r="H673" s="291"/>
      <c r="J673" s="36"/>
      <c r="X673" s="291"/>
      <c r="Z673" s="294" t="s">
        <v>1245</v>
      </c>
    </row>
    <row r="674" spans="1:26">
      <c r="A674" s="290" t="s">
        <v>1087</v>
      </c>
      <c r="B674" t="s">
        <v>57</v>
      </c>
      <c r="C674" s="291" t="str">
        <v>Zydus Lifesciences Ltd</v>
      </c>
      <c r="D674" s="292">
        <v>0.01238812768138</v>
      </c>
      <c r="E674" s="293">
        <f t="shared" si="20"/>
        <v>0</v>
      </c>
      <c r="F674" s="291" t="str">
        <v>Health Care</v>
      </c>
      <c r="G674" s="293">
        <f t="shared" si="21"/>
        <v>0</v>
      </c>
      <c r="H674" s="291"/>
      <c r="J674" s="36"/>
      <c r="X674" s="291"/>
      <c r="Z674" s="290" t="s">
        <v>1087</v>
      </c>
    </row>
    <row r="675" spans="1:26">
      <c r="A675" s="294" t="s">
        <v>1484</v>
      </c>
      <c r="B675" t="s">
        <v>57</v>
      </c>
      <c r="C675" s="291" t="str">
        <v>Zydus Wellness Ltd</v>
      </c>
      <c r="D675" s="295">
        <v>0.00788133060929002</v>
      </c>
      <c r="E675" s="293">
        <f t="shared" si="20"/>
        <v>0</v>
      </c>
      <c r="F675" s="291" t="str">
        <v>Consumer Staples</v>
      </c>
      <c r="G675" s="293">
        <f t="shared" si="21"/>
        <v>0</v>
      </c>
      <c r="H675" s="291"/>
      <c r="J675" s="36"/>
      <c r="X675" s="291"/>
      <c r="Z675" s="294" t="s">
        <v>1484</v>
      </c>
    </row>
    <row r="676" spans="1:26">
      <c r="A676" s="294" t="s">
        <v>1092</v>
      </c>
      <c r="B676" s="117" t="s">
        <v>54</v>
      </c>
      <c r="C676" s="291" t="str">
        <v>ACC Ltd</v>
      </c>
      <c r="D676" s="295">
        <v>0.00549761690489949</v>
      </c>
      <c r="E676" s="293">
        <f t="shared" si="20"/>
        <v>0</v>
      </c>
      <c r="F676" s="291" t="str">
        <v>Materials</v>
      </c>
      <c r="G676" s="293">
        <f t="shared" si="21"/>
        <v>0</v>
      </c>
      <c r="H676" s="291"/>
      <c r="J676" s="36"/>
      <c r="X676" s="291"/>
      <c r="Z676" s="294" t="s">
        <v>1092</v>
      </c>
    </row>
    <row r="677" spans="1:26">
      <c r="A677" s="290" t="s">
        <v>1149</v>
      </c>
      <c r="B677" s="117" t="s">
        <v>54</v>
      </c>
      <c r="C677" s="291" t="str">
        <v>Alkem Laboratories Ltd</v>
      </c>
      <c r="D677" s="292">
        <v>0.0107594914491517</v>
      </c>
      <c r="E677" s="293">
        <f t="shared" si="20"/>
        <v>0</v>
      </c>
      <c r="F677" s="291" t="str">
        <v>Health Care</v>
      </c>
      <c r="G677" s="293">
        <f t="shared" si="21"/>
        <v>0</v>
      </c>
      <c r="H677" s="291"/>
      <c r="J677" s="36"/>
      <c r="X677" s="291"/>
      <c r="Z677" s="290" t="s">
        <v>1149</v>
      </c>
    </row>
    <row r="678" spans="1:26">
      <c r="A678" s="294" t="s">
        <v>1486</v>
      </c>
      <c r="B678" s="117" t="s">
        <v>54</v>
      </c>
      <c r="C678" s="291" t="str">
        <v>Ashiana Housing Ltd</v>
      </c>
      <c r="D678" s="295">
        <v>0.00484513451828792</v>
      </c>
      <c r="E678" s="293">
        <f t="shared" si="20"/>
        <v>0</v>
      </c>
      <c r="F678" s="291" t="str">
        <v>Real Estate</v>
      </c>
      <c r="G678" s="293">
        <f t="shared" si="21"/>
        <v>0</v>
      </c>
      <c r="H678" s="291"/>
      <c r="J678" s="36"/>
      <c r="X678" s="291"/>
      <c r="Z678" s="294" t="s">
        <v>1486</v>
      </c>
    </row>
    <row r="679" spans="1:26">
      <c r="A679" s="290" t="s">
        <v>1101</v>
      </c>
      <c r="B679" s="117" t="s">
        <v>54</v>
      </c>
      <c r="C679" s="291" t="str">
        <v>Asian Paints Ltd</v>
      </c>
      <c r="D679" s="292">
        <v>0.0158219007000368</v>
      </c>
      <c r="E679" s="293">
        <f t="shared" si="20"/>
        <v>0</v>
      </c>
      <c r="F679" s="291" t="str">
        <v>Materials</v>
      </c>
      <c r="G679" s="293">
        <f t="shared" si="21"/>
        <v>0</v>
      </c>
      <c r="H679" s="291"/>
      <c r="J679" s="36"/>
      <c r="X679" s="291"/>
      <c r="Z679" s="290" t="s">
        <v>1101</v>
      </c>
    </row>
    <row r="680" spans="1:26">
      <c r="A680" s="294" t="s">
        <v>1488</v>
      </c>
      <c r="B680" s="117" t="s">
        <v>54</v>
      </c>
      <c r="C680" s="291" t="str">
        <v>Aster DM Healthcare Ltd</v>
      </c>
      <c r="D680" s="295">
        <v>0.0105649764173289</v>
      </c>
      <c r="E680" s="293">
        <f t="shared" si="20"/>
        <v>0</v>
      </c>
      <c r="F680" s="291" t="str">
        <v>Health Care</v>
      </c>
      <c r="G680" s="293">
        <f t="shared" si="21"/>
        <v>0</v>
      </c>
      <c r="H680" s="291"/>
      <c r="J680" s="36"/>
      <c r="X680" s="291"/>
      <c r="Z680" s="294" t="s">
        <v>1488</v>
      </c>
    </row>
    <row r="681" spans="1:26">
      <c r="A681" s="290" t="s">
        <v>1255</v>
      </c>
      <c r="B681" s="117" t="s">
        <v>54</v>
      </c>
      <c r="C681" s="291" t="str">
        <v>Aurobindo Pharma Ltd</v>
      </c>
      <c r="D681" s="292">
        <v>0.00125033936130345</v>
      </c>
      <c r="E681" s="293">
        <f t="shared" si="20"/>
        <v>0</v>
      </c>
      <c r="F681" s="291" t="str">
        <v>Health Care</v>
      </c>
      <c r="G681" s="293">
        <f t="shared" si="21"/>
        <v>0</v>
      </c>
      <c r="H681" s="291"/>
      <c r="J681" s="36"/>
      <c r="X681" s="291"/>
      <c r="Z681" s="290" t="s">
        <v>1255</v>
      </c>
    </row>
    <row r="682" spans="1:26">
      <c r="A682" s="294" t="s">
        <v>1490</v>
      </c>
      <c r="B682" s="117" t="s">
        <v>54</v>
      </c>
      <c r="C682" s="291" t="str">
        <v>Automotive Axles Ltd</v>
      </c>
      <c r="D682" s="295">
        <v>0.000800349084605474</v>
      </c>
      <c r="E682" s="293">
        <f t="shared" si="20"/>
        <v>0</v>
      </c>
      <c r="F682" s="291" t="str">
        <v>Consumer Discretionary</v>
      </c>
      <c r="G682" s="293">
        <f t="shared" si="21"/>
        <v>0</v>
      </c>
      <c r="H682" s="291"/>
      <c r="J682" s="36"/>
      <c r="X682" s="291"/>
      <c r="Z682" s="294" t="s">
        <v>1490</v>
      </c>
    </row>
    <row r="683" spans="1:26">
      <c r="A683" s="290" t="s">
        <v>843</v>
      </c>
      <c r="B683" s="117" t="s">
        <v>54</v>
      </c>
      <c r="C683" s="291" t="str">
        <v>Axis Bank Ltd</v>
      </c>
      <c r="D683" s="292">
        <v>0.0111608929065359</v>
      </c>
      <c r="E683" s="293">
        <f t="shared" si="20"/>
        <v>0</v>
      </c>
      <c r="F683" s="291" t="str">
        <v>Financials</v>
      </c>
      <c r="G683" s="293">
        <f t="shared" si="21"/>
        <v>0</v>
      </c>
      <c r="H683" s="291"/>
      <c r="J683" s="36"/>
      <c r="X683" s="291"/>
      <c r="Z683" s="290" t="s">
        <v>843</v>
      </c>
    </row>
    <row r="684" spans="1:26">
      <c r="A684" s="294" t="s">
        <v>839</v>
      </c>
      <c r="B684" s="117" t="s">
        <v>54</v>
      </c>
      <c r="C684" s="291" t="str">
        <v>Bajaj Auto Ltd</v>
      </c>
      <c r="D684" s="295">
        <v>0.00831554476869992</v>
      </c>
      <c r="E684" s="293">
        <f t="shared" si="20"/>
        <v>0</v>
      </c>
      <c r="F684" s="291" t="str">
        <v>Consumer Discretionary</v>
      </c>
      <c r="G684" s="293">
        <f t="shared" si="21"/>
        <v>0</v>
      </c>
      <c r="H684" s="291"/>
      <c r="J684" s="36"/>
      <c r="X684" s="291"/>
      <c r="Z684" s="294" t="s">
        <v>839</v>
      </c>
    </row>
    <row r="685" spans="1:26">
      <c r="A685" s="290" t="s">
        <v>1442</v>
      </c>
      <c r="B685" s="117" t="s">
        <v>54</v>
      </c>
      <c r="C685" s="291" t="str">
        <v>Bandhan Bank Ltd</v>
      </c>
      <c r="D685" s="292">
        <v>0.00545723521025439</v>
      </c>
      <c r="E685" s="293">
        <f t="shared" si="20"/>
        <v>0</v>
      </c>
      <c r="F685" s="291" t="str">
        <v>Financials</v>
      </c>
      <c r="G685" s="293">
        <f t="shared" si="21"/>
        <v>0</v>
      </c>
      <c r="H685" s="291"/>
      <c r="J685" s="36"/>
      <c r="X685" s="291"/>
      <c r="Z685" s="290" t="s">
        <v>1442</v>
      </c>
    </row>
    <row r="686" spans="1:26">
      <c r="A686" s="294" t="s">
        <v>1492</v>
      </c>
      <c r="B686" s="117" t="s">
        <v>54</v>
      </c>
      <c r="C686" s="291" t="str">
        <v>Bank of India</v>
      </c>
      <c r="D686" s="295">
        <v>0.00519342077693443</v>
      </c>
      <c r="E686" s="293">
        <f t="shared" si="20"/>
        <v>0</v>
      </c>
      <c r="F686" s="291" t="str">
        <v>Financials</v>
      </c>
      <c r="G686" s="293">
        <f t="shared" si="21"/>
        <v>0</v>
      </c>
      <c r="H686" s="291"/>
      <c r="J686" s="36"/>
      <c r="X686" s="291"/>
      <c r="Z686" s="294" t="s">
        <v>1492</v>
      </c>
    </row>
    <row r="687" spans="1:26">
      <c r="A687" s="290" t="s">
        <v>855</v>
      </c>
      <c r="B687" s="117" t="s">
        <v>54</v>
      </c>
      <c r="C687" s="291" t="str">
        <v>Bharti Airtel Ltd</v>
      </c>
      <c r="D687" s="292">
        <v>0.0128527257315856</v>
      </c>
      <c r="E687" s="293">
        <f t="shared" si="20"/>
        <v>0</v>
      </c>
      <c r="F687" s="291" t="str">
        <v>Communication Services</v>
      </c>
      <c r="G687" s="293">
        <f t="shared" si="21"/>
        <v>0</v>
      </c>
      <c r="H687" s="291"/>
      <c r="J687" s="36"/>
      <c r="X687" s="291"/>
      <c r="Z687" s="290" t="s">
        <v>855</v>
      </c>
    </row>
    <row r="688" spans="1:26">
      <c r="A688" s="294" t="s">
        <v>859</v>
      </c>
      <c r="B688" s="117" t="s">
        <v>54</v>
      </c>
      <c r="C688" s="291" t="str">
        <v>Biocon Ltd</v>
      </c>
      <c r="D688" s="295">
        <v>0.0239168968325279</v>
      </c>
      <c r="E688" s="293">
        <f t="shared" si="20"/>
        <v>0</v>
      </c>
      <c r="F688" s="291" t="str">
        <v>Health Care</v>
      </c>
      <c r="G688" s="293">
        <f t="shared" si="21"/>
        <v>0</v>
      </c>
      <c r="H688" s="291"/>
      <c r="J688" s="36"/>
      <c r="X688" s="291"/>
      <c r="Z688" s="294" t="s">
        <v>859</v>
      </c>
    </row>
    <row r="689" spans="1:26">
      <c r="A689" s="290" t="s">
        <v>869</v>
      </c>
      <c r="B689" s="117" t="s">
        <v>54</v>
      </c>
      <c r="C689" s="291" t="str">
        <v>Carborundum Universal Ltd</v>
      </c>
      <c r="D689" s="292">
        <v>0.00178193653141018</v>
      </c>
      <c r="E689" s="293">
        <f t="shared" si="20"/>
        <v>0</v>
      </c>
      <c r="F689" s="291" t="str">
        <v>Materials</v>
      </c>
      <c r="G689" s="293">
        <f t="shared" si="21"/>
        <v>0</v>
      </c>
      <c r="H689" s="291"/>
      <c r="J689" s="36"/>
      <c r="X689" s="291"/>
      <c r="Z689" s="290" t="s">
        <v>869</v>
      </c>
    </row>
    <row r="690" spans="1:26">
      <c r="A690" s="294" t="s">
        <v>1348</v>
      </c>
      <c r="B690" s="117" t="s">
        <v>54</v>
      </c>
      <c r="C690" s="291" t="str">
        <v>CESC Ltd</v>
      </c>
      <c r="D690" s="295">
        <v>0.00789054436654442</v>
      </c>
      <c r="E690" s="293">
        <f t="shared" si="20"/>
        <v>0</v>
      </c>
      <c r="F690" s="291" t="str">
        <v>Utilities</v>
      </c>
      <c r="G690" s="293">
        <f t="shared" si="21"/>
        <v>0</v>
      </c>
      <c r="H690" s="291"/>
      <c r="J690" s="36"/>
      <c r="X690" s="291"/>
      <c r="Z690" s="294" t="s">
        <v>1348</v>
      </c>
    </row>
    <row r="691" spans="1:26">
      <c r="A691" s="290" t="s">
        <v>878</v>
      </c>
      <c r="B691" s="117" t="s">
        <v>54</v>
      </c>
      <c r="C691" s="291" t="str">
        <v>Cipla Ltd/India</v>
      </c>
      <c r="D691" s="292">
        <v>0.0127057643094765</v>
      </c>
      <c r="E691" s="293">
        <f t="shared" si="20"/>
        <v>0</v>
      </c>
      <c r="F691" s="291" t="str">
        <v>Health Care</v>
      </c>
      <c r="G691" s="293">
        <f t="shared" si="21"/>
        <v>0</v>
      </c>
      <c r="H691" s="291"/>
      <c r="J691" s="36"/>
      <c r="X691" s="291"/>
      <c r="Z691" s="290" t="s">
        <v>878</v>
      </c>
    </row>
    <row r="692" spans="1:26">
      <c r="A692" s="294" t="s">
        <v>1161</v>
      </c>
      <c r="B692" s="117" t="s">
        <v>54</v>
      </c>
      <c r="C692" s="291" t="str">
        <v>Dabur India Ltd</v>
      </c>
      <c r="D692" s="295">
        <v>0.0192082182759635</v>
      </c>
      <c r="E692" s="293">
        <f t="shared" si="20"/>
        <v>0</v>
      </c>
      <c r="F692" s="291" t="str">
        <v>Consumer Staples</v>
      </c>
      <c r="G692" s="293">
        <f t="shared" si="21"/>
        <v>0</v>
      </c>
      <c r="H692" s="291"/>
      <c r="J692" s="36"/>
      <c r="X692" s="291"/>
      <c r="Z692" s="294" t="s">
        <v>1161</v>
      </c>
    </row>
    <row r="693" spans="1:26">
      <c r="A693" s="290" t="s">
        <v>1356</v>
      </c>
      <c r="B693" s="117" t="s">
        <v>54</v>
      </c>
      <c r="C693" s="291" t="str">
        <v>Delhivery Ltd</v>
      </c>
      <c r="D693" s="292">
        <v>0.00648197769100307</v>
      </c>
      <c r="E693" s="293">
        <f t="shared" si="20"/>
        <v>0</v>
      </c>
      <c r="F693" s="291" t="str">
        <v>Industrials</v>
      </c>
      <c r="G693" s="293">
        <f t="shared" si="21"/>
        <v>0</v>
      </c>
      <c r="H693" s="291"/>
      <c r="J693" s="36"/>
      <c r="X693" s="291"/>
      <c r="Z693" s="290" t="s">
        <v>1356</v>
      </c>
    </row>
    <row r="694" spans="1:26">
      <c r="A694" s="294" t="s">
        <v>1494</v>
      </c>
      <c r="B694" s="117" t="s">
        <v>54</v>
      </c>
      <c r="C694" s="291" t="str">
        <v>DISA India Ltd</v>
      </c>
      <c r="D694" s="295">
        <v>0.00349041791249669</v>
      </c>
      <c r="E694" s="293">
        <f t="shared" si="20"/>
        <v>0</v>
      </c>
      <c r="F694" s="291" t="str">
        <v>Industrials</v>
      </c>
      <c r="G694" s="293">
        <f t="shared" si="21"/>
        <v>0</v>
      </c>
      <c r="H694" s="291"/>
      <c r="J694" s="36"/>
      <c r="X694" s="291"/>
      <c r="Z694" s="294" t="s">
        <v>1494</v>
      </c>
    </row>
    <row r="695" spans="1:26">
      <c r="A695" s="290" t="s">
        <v>1446</v>
      </c>
      <c r="B695" s="117" t="s">
        <v>54</v>
      </c>
      <c r="C695" s="291" t="str">
        <v>EID Parry India Ltd</v>
      </c>
      <c r="D695" s="292">
        <v>0.00136209726682854</v>
      </c>
      <c r="E695" s="293">
        <f t="shared" si="20"/>
        <v>0</v>
      </c>
      <c r="F695" s="291" t="str">
        <v>Materials</v>
      </c>
      <c r="G695" s="293">
        <f t="shared" si="21"/>
        <v>0</v>
      </c>
      <c r="H695" s="291"/>
      <c r="J695" s="36"/>
      <c r="X695" s="291"/>
      <c r="Z695" s="290" t="s">
        <v>1446</v>
      </c>
    </row>
    <row r="696" spans="1:26">
      <c r="A696" s="294" t="s">
        <v>1496</v>
      </c>
      <c r="B696" s="117" t="s">
        <v>54</v>
      </c>
      <c r="C696" s="291" t="str">
        <v>Equitas Small Finance Bank Ltd</v>
      </c>
      <c r="D696" s="295">
        <v>0.00417840415427994</v>
      </c>
      <c r="E696" s="293">
        <f t="shared" si="20"/>
        <v>0</v>
      </c>
      <c r="F696" s="291" t="str">
        <v>Financials</v>
      </c>
      <c r="G696" s="293">
        <f t="shared" si="21"/>
        <v>0</v>
      </c>
      <c r="H696" s="291"/>
      <c r="J696" s="36"/>
      <c r="X696" s="291"/>
      <c r="Z696" s="294" t="s">
        <v>1496</v>
      </c>
    </row>
    <row r="697" spans="1:26">
      <c r="A697" s="290" t="s">
        <v>1132</v>
      </c>
      <c r="B697" s="117" t="s">
        <v>54</v>
      </c>
      <c r="C697" s="291" t="str">
        <v>FSN E-Commerce Ventures Ltd</v>
      </c>
      <c r="D697" s="292">
        <v>0.0099074266158233</v>
      </c>
      <c r="E697" s="293">
        <f t="shared" si="20"/>
        <v>0</v>
      </c>
      <c r="F697" s="291" t="str">
        <v>Consumer Discretionary</v>
      </c>
      <c r="G697" s="293">
        <f t="shared" si="21"/>
        <v>0</v>
      </c>
      <c r="H697" s="291"/>
      <c r="J697" s="36"/>
      <c r="X697" s="291"/>
      <c r="Z697" s="290" t="s">
        <v>1132</v>
      </c>
    </row>
    <row r="698" spans="1:26">
      <c r="A698" s="294" t="s">
        <v>906</v>
      </c>
      <c r="B698" s="117" t="s">
        <v>54</v>
      </c>
      <c r="C698" s="291" t="str">
        <v>GAIL India Ltd</v>
      </c>
      <c r="D698" s="295">
        <v>0.0196780479399346</v>
      </c>
      <c r="E698" s="293">
        <f t="shared" si="20"/>
        <v>0</v>
      </c>
      <c r="F698" s="291" t="str">
        <v>Utilities</v>
      </c>
      <c r="G698" s="293">
        <f t="shared" si="21"/>
        <v>0</v>
      </c>
      <c r="H698" s="291"/>
      <c r="J698" s="36"/>
      <c r="X698" s="291"/>
      <c r="Z698" s="294" t="s">
        <v>906</v>
      </c>
    </row>
    <row r="699" spans="1:26">
      <c r="A699" s="290" t="s">
        <v>1498</v>
      </c>
      <c r="B699" s="117" t="s">
        <v>54</v>
      </c>
      <c r="C699" s="291" t="str">
        <v>Gateway Distriparks Ltd</v>
      </c>
      <c r="D699" s="292">
        <v>0.00149906657323027</v>
      </c>
      <c r="E699" s="293">
        <f t="shared" si="20"/>
        <v>0</v>
      </c>
      <c r="F699" s="291" t="str">
        <v>Industrials</v>
      </c>
      <c r="G699" s="293">
        <f t="shared" si="21"/>
        <v>0</v>
      </c>
      <c r="H699" s="291"/>
      <c r="J699" s="36"/>
      <c r="X699" s="291"/>
      <c r="Z699" s="290" t="s">
        <v>1498</v>
      </c>
    </row>
    <row r="700" spans="1:26">
      <c r="A700" s="294" t="s">
        <v>1170</v>
      </c>
      <c r="B700" s="117" t="s">
        <v>54</v>
      </c>
      <c r="C700" s="291" t="str">
        <v>Gland Pharma Ltd</v>
      </c>
      <c r="D700" s="295">
        <v>0.00357580992413439</v>
      </c>
      <c r="E700" s="293">
        <f t="shared" si="20"/>
        <v>0</v>
      </c>
      <c r="F700" s="291" t="str">
        <v>Health Care</v>
      </c>
      <c r="G700" s="293">
        <f t="shared" si="21"/>
        <v>0</v>
      </c>
      <c r="H700" s="291"/>
      <c r="J700" s="36"/>
      <c r="X700" s="291"/>
      <c r="Z700" s="294" t="s">
        <v>1170</v>
      </c>
    </row>
    <row r="701" spans="1:26">
      <c r="A701" s="290" t="s">
        <v>1500</v>
      </c>
      <c r="B701" s="117" t="s">
        <v>54</v>
      </c>
      <c r="C701" s="291" t="str">
        <v>G R Infraprojects Ltd</v>
      </c>
      <c r="D701" s="292">
        <v>0.0046856440779331</v>
      </c>
      <c r="E701" s="293">
        <f t="shared" ref="E701:E764" si="22">_xlfn.IFNA(D701*VLOOKUP($B701,$AK$1:$AM$34,3,FALSE),0)</f>
        <v>0</v>
      </c>
      <c r="F701" s="291" t="str">
        <v>Industrials</v>
      </c>
      <c r="G701" s="293">
        <f t="shared" ref="G701:G764" si="23">_xlfn.IFNA(D701*VLOOKUP($B701,$AK$1:$AM$34,3,FALSE),0)</f>
        <v>0</v>
      </c>
      <c r="H701" s="291"/>
      <c r="J701" s="36"/>
      <c r="X701" s="291"/>
      <c r="Z701" s="290" t="s">
        <v>1500</v>
      </c>
    </row>
    <row r="702" spans="1:26">
      <c r="A702" s="294" t="s">
        <v>1134</v>
      </c>
      <c r="B702" s="117" t="s">
        <v>54</v>
      </c>
      <c r="C702" s="291" t="str">
        <v>Grasim Industries Ltd</v>
      </c>
      <c r="D702" s="295">
        <v>0.00652617219466889</v>
      </c>
      <c r="E702" s="293">
        <f t="shared" si="22"/>
        <v>0</v>
      </c>
      <c r="F702" s="291" t="str">
        <v>Materials</v>
      </c>
      <c r="G702" s="293">
        <f t="shared" si="23"/>
        <v>0</v>
      </c>
      <c r="H702" s="291"/>
      <c r="J702" s="36"/>
      <c r="X702" s="291"/>
      <c r="Z702" s="294" t="s">
        <v>1134</v>
      </c>
    </row>
    <row r="703" spans="1:26">
      <c r="A703" s="290" t="s">
        <v>1502</v>
      </c>
      <c r="B703" s="117" t="s">
        <v>54</v>
      </c>
      <c r="C703" s="291" t="str">
        <v>Greenply Industries Ltd</v>
      </c>
      <c r="D703" s="292">
        <v>0.000927211252010948</v>
      </c>
      <c r="E703" s="293">
        <f t="shared" si="22"/>
        <v>0</v>
      </c>
      <c r="F703" s="291" t="str">
        <v>Materials</v>
      </c>
      <c r="G703" s="293">
        <f t="shared" si="23"/>
        <v>0</v>
      </c>
      <c r="H703" s="291"/>
      <c r="J703" s="36"/>
      <c r="X703" s="291"/>
      <c r="Z703" s="290" t="s">
        <v>1502</v>
      </c>
    </row>
    <row r="704" spans="1:26">
      <c r="A704" s="294" t="s">
        <v>1504</v>
      </c>
      <c r="B704" s="117" t="s">
        <v>54</v>
      </c>
      <c r="C704" s="291" t="str">
        <v>Grindwell Norton Ltd</v>
      </c>
      <c r="D704" s="295">
        <v>0.00261391489040036</v>
      </c>
      <c r="E704" s="293">
        <f t="shared" si="22"/>
        <v>0</v>
      </c>
      <c r="F704" s="291" t="str">
        <v>Industrials</v>
      </c>
      <c r="G704" s="293">
        <f t="shared" si="23"/>
        <v>0</v>
      </c>
      <c r="H704" s="291"/>
      <c r="J704" s="36"/>
      <c r="X704" s="291"/>
      <c r="Z704" s="294" t="s">
        <v>1504</v>
      </c>
    </row>
    <row r="705" spans="1:26">
      <c r="A705" s="290" t="s">
        <v>919</v>
      </c>
      <c r="B705" s="117" t="s">
        <v>54</v>
      </c>
      <c r="C705" s="291" t="str">
        <v>HCL Technologies Ltd</v>
      </c>
      <c r="D705" s="292">
        <v>0.0110251143041803</v>
      </c>
      <c r="E705" s="293">
        <f t="shared" si="22"/>
        <v>0</v>
      </c>
      <c r="F705" s="291" t="str">
        <v>Information Technology</v>
      </c>
      <c r="G705" s="293">
        <f t="shared" si="23"/>
        <v>0</v>
      </c>
      <c r="H705" s="291"/>
      <c r="J705" s="36"/>
      <c r="X705" s="291"/>
      <c r="Z705" s="290" t="s">
        <v>919</v>
      </c>
    </row>
    <row r="706" spans="1:26">
      <c r="A706" s="294" t="s">
        <v>922</v>
      </c>
      <c r="B706" s="117" t="s">
        <v>54</v>
      </c>
      <c r="C706" s="291" t="str">
        <v>HDB Financial Services Ltd</v>
      </c>
      <c r="D706" s="295">
        <v>0.000600704866122434</v>
      </c>
      <c r="E706" s="293">
        <f t="shared" si="22"/>
        <v>0</v>
      </c>
      <c r="F706" s="291" t="str">
        <v>Financials</v>
      </c>
      <c r="G706" s="293">
        <f t="shared" si="23"/>
        <v>0</v>
      </c>
      <c r="H706" s="291"/>
      <c r="J706" s="36"/>
      <c r="X706" s="291"/>
      <c r="Z706" s="294" t="s">
        <v>922</v>
      </c>
    </row>
    <row r="707" spans="1:26">
      <c r="A707" s="290" t="s">
        <v>926</v>
      </c>
      <c r="B707" s="117" t="s">
        <v>54</v>
      </c>
      <c r="C707" s="291" t="str">
        <v>HDFC Asset Management Co Ltd</v>
      </c>
      <c r="D707" s="292">
        <v>0.00755809937085158</v>
      </c>
      <c r="E707" s="293">
        <f t="shared" si="22"/>
        <v>0</v>
      </c>
      <c r="F707" s="291" t="str">
        <v>Financials</v>
      </c>
      <c r="G707" s="293">
        <f t="shared" si="23"/>
        <v>0</v>
      </c>
      <c r="H707" s="291"/>
      <c r="J707" s="36"/>
      <c r="X707" s="291"/>
      <c r="Z707" s="290" t="s">
        <v>926</v>
      </c>
    </row>
    <row r="708" spans="1:26">
      <c r="A708" s="294" t="s">
        <v>924</v>
      </c>
      <c r="B708" s="117" t="s">
        <v>54</v>
      </c>
      <c r="C708" s="291" t="str">
        <v>HDFC Bank Ltd</v>
      </c>
      <c r="D708" s="295">
        <v>0.0869434329779233</v>
      </c>
      <c r="E708" s="293">
        <f t="shared" si="22"/>
        <v>0</v>
      </c>
      <c r="F708" s="291" t="str">
        <v>Financials</v>
      </c>
      <c r="G708" s="293">
        <f t="shared" si="23"/>
        <v>0</v>
      </c>
      <c r="H708" s="291"/>
      <c r="J708" s="36"/>
      <c r="X708" s="291"/>
      <c r="Z708" s="294" t="s">
        <v>924</v>
      </c>
    </row>
    <row r="709" spans="1:26">
      <c r="A709" s="290" t="s">
        <v>929</v>
      </c>
      <c r="B709" s="117" t="s">
        <v>54</v>
      </c>
      <c r="C709" s="291" t="str">
        <v>Hero MotoCorp Ltd</v>
      </c>
      <c r="D709" s="292">
        <v>0.00407283407568512</v>
      </c>
      <c r="E709" s="293">
        <f t="shared" si="22"/>
        <v>0</v>
      </c>
      <c r="F709" s="291" t="str">
        <v>Consumer Discretionary</v>
      </c>
      <c r="G709" s="293">
        <f t="shared" si="23"/>
        <v>0</v>
      </c>
      <c r="H709" s="291"/>
      <c r="J709" s="36"/>
      <c r="X709" s="291"/>
      <c r="Z709" s="290" t="s">
        <v>929</v>
      </c>
    </row>
    <row r="710" spans="1:26">
      <c r="A710" s="294" t="s">
        <v>931</v>
      </c>
      <c r="B710" s="117" t="s">
        <v>54</v>
      </c>
      <c r="C710" s="291" t="str">
        <v>Hindalco Industries Ltd</v>
      </c>
      <c r="D710" s="295">
        <v>0.0116686035736492</v>
      </c>
      <c r="E710" s="293">
        <f t="shared" si="22"/>
        <v>0</v>
      </c>
      <c r="F710" s="291" t="str">
        <v>Materials</v>
      </c>
      <c r="G710" s="293">
        <f t="shared" si="23"/>
        <v>0</v>
      </c>
      <c r="H710" s="291"/>
      <c r="J710" s="36"/>
      <c r="X710" s="291"/>
      <c r="Z710" s="294" t="s">
        <v>931</v>
      </c>
    </row>
    <row r="711" spans="1:26">
      <c r="A711" s="290" t="s">
        <v>936</v>
      </c>
      <c r="B711" s="117" t="s">
        <v>54</v>
      </c>
      <c r="C711" s="291" t="str">
        <v>ICICI Bank Ltd</v>
      </c>
      <c r="D711" s="292">
        <v>0.0166657839694275</v>
      </c>
      <c r="E711" s="293">
        <f t="shared" si="22"/>
        <v>0</v>
      </c>
      <c r="F711" s="291" t="str">
        <v>Financials</v>
      </c>
      <c r="G711" s="293">
        <f t="shared" si="23"/>
        <v>0</v>
      </c>
      <c r="H711" s="291"/>
      <c r="J711" s="36"/>
      <c r="X711" s="291"/>
      <c r="Z711" s="290" t="s">
        <v>936</v>
      </c>
    </row>
    <row r="712" spans="1:26">
      <c r="A712" s="294" t="s">
        <v>1152</v>
      </c>
      <c r="B712" s="117" t="s">
        <v>54</v>
      </c>
      <c r="C712" s="291" t="str">
        <v>ICICI Prudential Life Insuranc</v>
      </c>
      <c r="D712" s="295">
        <v>0.0115784956071669</v>
      </c>
      <c r="E712" s="293">
        <f t="shared" si="22"/>
        <v>0</v>
      </c>
      <c r="F712" s="291" t="str">
        <v>Financials</v>
      </c>
      <c r="G712" s="293">
        <f t="shared" si="23"/>
        <v>0</v>
      </c>
      <c r="H712" s="291"/>
      <c r="J712" s="36"/>
      <c r="X712" s="291"/>
      <c r="Z712" s="294" t="s">
        <v>1152</v>
      </c>
    </row>
    <row r="713" spans="1:26">
      <c r="A713" s="290" t="s">
        <v>946</v>
      </c>
      <c r="B713" s="117" t="s">
        <v>54</v>
      </c>
      <c r="C713" s="291" t="str">
        <v>Indian Energy Exchange Ltd</v>
      </c>
      <c r="D713" s="292">
        <v>0.00322002159097896</v>
      </c>
      <c r="E713" s="293">
        <f t="shared" si="22"/>
        <v>0</v>
      </c>
      <c r="F713" s="291" t="str">
        <v>Financials</v>
      </c>
      <c r="G713" s="293">
        <f t="shared" si="23"/>
        <v>0</v>
      </c>
      <c r="H713" s="291"/>
      <c r="J713" s="36"/>
      <c r="X713" s="291"/>
      <c r="Z713" s="290" t="s">
        <v>946</v>
      </c>
    </row>
    <row r="714" spans="1:26">
      <c r="A714" s="294" t="s">
        <v>1275</v>
      </c>
      <c r="B714" s="117" t="s">
        <v>54</v>
      </c>
      <c r="C714" s="291" t="str">
        <v>Indian Oil Corp Ltd</v>
      </c>
      <c r="D714" s="295">
        <v>0.0111818399254799</v>
      </c>
      <c r="E714" s="293">
        <f t="shared" si="22"/>
        <v>0</v>
      </c>
      <c r="F714" s="291" t="str">
        <v>Energy</v>
      </c>
      <c r="G714" s="293">
        <f t="shared" si="23"/>
        <v>0</v>
      </c>
      <c r="H714" s="291"/>
      <c r="J714" s="36"/>
      <c r="X714" s="291"/>
      <c r="Z714" s="294" t="s">
        <v>1275</v>
      </c>
    </row>
    <row r="715" spans="1:26">
      <c r="A715" s="290" t="s">
        <v>952</v>
      </c>
      <c r="B715" s="117" t="s">
        <v>54</v>
      </c>
      <c r="C715" s="291" t="str">
        <v>Indus Towers Ltd</v>
      </c>
      <c r="D715" s="292">
        <v>0.0153766306383053</v>
      </c>
      <c r="E715" s="293">
        <f t="shared" si="22"/>
        <v>0</v>
      </c>
      <c r="F715" s="291" t="str">
        <v>Communication Services</v>
      </c>
      <c r="G715" s="293">
        <f t="shared" si="23"/>
        <v>0</v>
      </c>
      <c r="H715" s="291"/>
      <c r="J715" s="36"/>
      <c r="X715" s="291"/>
      <c r="Z715" s="290" t="s">
        <v>952</v>
      </c>
    </row>
    <row r="716" spans="1:26">
      <c r="A716" s="294" t="s">
        <v>955</v>
      </c>
      <c r="B716" s="117" t="s">
        <v>54</v>
      </c>
      <c r="C716" s="291" t="str">
        <v>Infosys Ltd</v>
      </c>
      <c r="D716" s="295">
        <v>0.00967847701940339</v>
      </c>
      <c r="E716" s="293">
        <f t="shared" si="22"/>
        <v>0</v>
      </c>
      <c r="F716" s="291" t="str">
        <v>Information Technology</v>
      </c>
      <c r="G716" s="293">
        <f t="shared" si="23"/>
        <v>0</v>
      </c>
      <c r="H716" s="291"/>
      <c r="J716" s="36"/>
      <c r="X716" s="291"/>
      <c r="Z716" s="294" t="s">
        <v>955</v>
      </c>
    </row>
    <row r="717" spans="1:26">
      <c r="A717" s="290" t="s">
        <v>1506</v>
      </c>
      <c r="B717" s="117" t="s">
        <v>54</v>
      </c>
      <c r="C717" s="291" t="str">
        <v>Ingersoll Rand India Ltd</v>
      </c>
      <c r="D717" s="292">
        <v>0.00188926817037379</v>
      </c>
      <c r="E717" s="293">
        <f t="shared" si="22"/>
        <v>0</v>
      </c>
      <c r="F717" s="291" t="str">
        <v>Industrials</v>
      </c>
      <c r="G717" s="293">
        <f t="shared" si="23"/>
        <v>0</v>
      </c>
      <c r="H717" s="291"/>
      <c r="J717" s="36"/>
      <c r="X717" s="291"/>
      <c r="Z717" s="290" t="s">
        <v>1506</v>
      </c>
    </row>
    <row r="718" spans="1:26">
      <c r="A718" s="294" t="s">
        <v>961</v>
      </c>
      <c r="B718" s="117" t="s">
        <v>54</v>
      </c>
      <c r="C718" s="291" t="str">
        <v>ITC Ltd</v>
      </c>
      <c r="D718" s="295">
        <v>0.0340169853271862</v>
      </c>
      <c r="E718" s="293">
        <f t="shared" si="22"/>
        <v>0</v>
      </c>
      <c r="F718" s="291" t="str">
        <v>Consumer Staples</v>
      </c>
      <c r="G718" s="293">
        <f t="shared" si="23"/>
        <v>0</v>
      </c>
      <c r="H718" s="291"/>
      <c r="J718" s="36"/>
      <c r="X718" s="291"/>
      <c r="Z718" s="294" t="s">
        <v>961</v>
      </c>
    </row>
    <row r="719" spans="1:26">
      <c r="A719" s="290" t="s">
        <v>945</v>
      </c>
      <c r="B719" s="117" t="s">
        <v>54</v>
      </c>
      <c r="C719" s="291" t="str">
        <v>KPR Mill Ltd</v>
      </c>
      <c r="D719" s="292">
        <v>0.00458003565824199</v>
      </c>
      <c r="E719" s="293">
        <f t="shared" si="22"/>
        <v>0</v>
      </c>
      <c r="F719" s="291" t="str">
        <v>Consumer Discretionary</v>
      </c>
      <c r="G719" s="293">
        <f t="shared" si="23"/>
        <v>0</v>
      </c>
      <c r="H719" s="291"/>
      <c r="J719" s="36"/>
      <c r="X719" s="291"/>
      <c r="Z719" s="290" t="s">
        <v>945</v>
      </c>
    </row>
    <row r="720" spans="1:26">
      <c r="A720" s="294" t="s">
        <v>972</v>
      </c>
      <c r="B720" s="117" t="s">
        <v>54</v>
      </c>
      <c r="C720" s="291" t="str">
        <v>Kotak Mahindra Bank Ltd</v>
      </c>
      <c r="D720" s="295">
        <v>0.0269973568329832</v>
      </c>
      <c r="E720" s="293">
        <f t="shared" si="22"/>
        <v>0</v>
      </c>
      <c r="F720" s="291" t="str">
        <v>Financials</v>
      </c>
      <c r="G720" s="293">
        <f t="shared" si="23"/>
        <v>0</v>
      </c>
      <c r="H720" s="291"/>
      <c r="J720" s="36"/>
      <c r="X720" s="291"/>
      <c r="Z720" s="294" t="s">
        <v>972</v>
      </c>
    </row>
    <row r="721" spans="1:26">
      <c r="A721" s="290" t="s">
        <v>975</v>
      </c>
      <c r="B721" s="117" t="s">
        <v>54</v>
      </c>
      <c r="C721" s="291" t="str">
        <v>Larsen &amp; Toubro Ltd</v>
      </c>
      <c r="D721" s="292">
        <v>0.0077846973800319</v>
      </c>
      <c r="E721" s="293">
        <f t="shared" si="22"/>
        <v>0</v>
      </c>
      <c r="F721" s="291" t="str">
        <v>Industrials</v>
      </c>
      <c r="G721" s="293">
        <f t="shared" si="23"/>
        <v>0</v>
      </c>
      <c r="H721" s="291"/>
      <c r="J721" s="36"/>
      <c r="X721" s="291"/>
      <c r="Z721" s="290" t="s">
        <v>975</v>
      </c>
    </row>
    <row r="722" spans="1:26">
      <c r="A722" s="294" t="s">
        <v>1277</v>
      </c>
      <c r="B722" s="117" t="s">
        <v>54</v>
      </c>
      <c r="C722" s="291" t="str">
        <v>Life Insurance Corp of India</v>
      </c>
      <c r="D722" s="295">
        <v>0.0059121800086184</v>
      </c>
      <c r="E722" s="293">
        <f t="shared" si="22"/>
        <v>0</v>
      </c>
      <c r="F722" s="291" t="str">
        <v>Financials</v>
      </c>
      <c r="G722" s="293">
        <f t="shared" si="23"/>
        <v>0</v>
      </c>
      <c r="H722" s="291"/>
      <c r="J722" s="36"/>
      <c r="X722" s="291"/>
      <c r="Z722" s="294" t="s">
        <v>1277</v>
      </c>
    </row>
    <row r="723" spans="1:26">
      <c r="A723" s="290" t="s">
        <v>978</v>
      </c>
      <c r="B723" s="117" t="s">
        <v>54</v>
      </c>
      <c r="C723" s="291" t="str">
        <v>Lupin Ltd</v>
      </c>
      <c r="D723" s="292">
        <v>0.00408855605522808</v>
      </c>
      <c r="E723" s="293">
        <f t="shared" si="22"/>
        <v>0</v>
      </c>
      <c r="F723" s="291" t="str">
        <v>Health Care</v>
      </c>
      <c r="G723" s="293">
        <f t="shared" si="23"/>
        <v>0</v>
      </c>
      <c r="H723" s="291"/>
      <c r="J723" s="36"/>
      <c r="X723" s="291"/>
      <c r="Z723" s="290" t="s">
        <v>978</v>
      </c>
    </row>
    <row r="724" spans="1:26">
      <c r="A724" s="294" t="s">
        <v>982</v>
      </c>
      <c r="B724" s="117" t="s">
        <v>54</v>
      </c>
      <c r="C724" s="291" t="str">
        <v>Mahindra &amp; Mahindra Financial</v>
      </c>
      <c r="D724" s="295">
        <v>0.0108146855873331</v>
      </c>
      <c r="E724" s="293">
        <f t="shared" si="22"/>
        <v>0</v>
      </c>
      <c r="F724" s="291" t="str">
        <v>Financials</v>
      </c>
      <c r="G724" s="293">
        <f t="shared" si="23"/>
        <v>0</v>
      </c>
      <c r="H724" s="291"/>
      <c r="J724" s="36"/>
      <c r="X724" s="291"/>
      <c r="Z724" s="294" t="s">
        <v>982</v>
      </c>
    </row>
    <row r="725" spans="1:26">
      <c r="A725" s="290" t="s">
        <v>969</v>
      </c>
      <c r="B725" s="117" t="s">
        <v>54</v>
      </c>
      <c r="C725" s="291" t="str">
        <v>Mankind Pharma Ltd</v>
      </c>
      <c r="D725" s="292">
        <v>0.00726210610743332</v>
      </c>
      <c r="E725" s="293">
        <f t="shared" si="22"/>
        <v>0</v>
      </c>
      <c r="F725" s="291" t="str">
        <v>Health Care</v>
      </c>
      <c r="G725" s="293">
        <f t="shared" si="23"/>
        <v>0</v>
      </c>
      <c r="H725" s="291"/>
      <c r="J725" s="36"/>
      <c r="X725" s="291"/>
      <c r="Z725" s="290" t="s">
        <v>969</v>
      </c>
    </row>
    <row r="726" spans="1:26">
      <c r="A726" s="294" t="s">
        <v>990</v>
      </c>
      <c r="B726" s="117" t="s">
        <v>54</v>
      </c>
      <c r="C726" s="291" t="str">
        <v>Maruti Suzuki India Ltd</v>
      </c>
      <c r="D726" s="295">
        <v>0.0105667677985504</v>
      </c>
      <c r="E726" s="293">
        <f t="shared" si="22"/>
        <v>0</v>
      </c>
      <c r="F726" s="291" t="str">
        <v>Consumer Discretionary</v>
      </c>
      <c r="G726" s="293">
        <f t="shared" si="23"/>
        <v>0</v>
      </c>
      <c r="H726" s="291"/>
      <c r="J726" s="36"/>
      <c r="X726" s="291"/>
      <c r="Z726" s="294" t="s">
        <v>990</v>
      </c>
    </row>
    <row r="727" spans="1:26">
      <c r="A727" s="290" t="s">
        <v>1183</v>
      </c>
      <c r="B727" s="117" t="s">
        <v>54</v>
      </c>
      <c r="C727" s="291" t="str">
        <v>Motherson Sumi Wiring India Lt</v>
      </c>
      <c r="D727" s="292">
        <v>0.0008366197617031</v>
      </c>
      <c r="E727" s="293">
        <f t="shared" si="22"/>
        <v>0</v>
      </c>
      <c r="F727" s="291" t="str">
        <v>Consumer Discretionary</v>
      </c>
      <c r="G727" s="293">
        <f t="shared" si="23"/>
        <v>0</v>
      </c>
      <c r="H727" s="291"/>
      <c r="J727" s="36"/>
      <c r="X727" s="291"/>
      <c r="Z727" s="290" t="s">
        <v>1183</v>
      </c>
    </row>
    <row r="728" spans="1:26">
      <c r="A728" s="294" t="s">
        <v>1508</v>
      </c>
      <c r="B728" s="117" t="s">
        <v>54</v>
      </c>
      <c r="C728" s="291" t="str">
        <v>Neogen Chemicals Ltd</v>
      </c>
      <c r="D728" s="295">
        <v>0.00265369377780922</v>
      </c>
      <c r="E728" s="293">
        <f t="shared" si="22"/>
        <v>0</v>
      </c>
      <c r="F728" s="291" t="str">
        <v>Materials</v>
      </c>
      <c r="G728" s="293">
        <f t="shared" si="23"/>
        <v>0</v>
      </c>
      <c r="H728" s="291"/>
      <c r="J728" s="36"/>
      <c r="X728" s="291"/>
      <c r="Z728" s="294" t="s">
        <v>1508</v>
      </c>
    </row>
    <row r="729" spans="1:26">
      <c r="A729" s="290" t="s">
        <v>1203</v>
      </c>
      <c r="B729" s="117" t="s">
        <v>54</v>
      </c>
      <c r="C729" s="291" t="str">
        <v>NMDC Ltd</v>
      </c>
      <c r="D729" s="292">
        <v>0.00430331092577423</v>
      </c>
      <c r="E729" s="293">
        <f t="shared" si="22"/>
        <v>0</v>
      </c>
      <c r="F729" s="291" t="str">
        <v>Materials</v>
      </c>
      <c r="G729" s="293">
        <f t="shared" si="23"/>
        <v>0</v>
      </c>
      <c r="H729" s="291"/>
      <c r="J729" s="36"/>
      <c r="X729" s="291"/>
      <c r="Z729" s="290" t="s">
        <v>1203</v>
      </c>
    </row>
    <row r="730" spans="1:26">
      <c r="A730" s="294" t="s">
        <v>1510</v>
      </c>
      <c r="B730" s="117" t="s">
        <v>54</v>
      </c>
      <c r="C730" s="291" t="str">
        <v>NMDC Steel Ltd</v>
      </c>
      <c r="D730" s="295">
        <v>0.000203028885261764</v>
      </c>
      <c r="E730" s="293">
        <f t="shared" si="22"/>
        <v>0</v>
      </c>
      <c r="F730" s="291" t="str">
        <v>Materials</v>
      </c>
      <c r="G730" s="293">
        <f t="shared" si="23"/>
        <v>0</v>
      </c>
      <c r="H730" s="291"/>
      <c r="J730" s="36"/>
      <c r="X730" s="291"/>
      <c r="Z730" s="294" t="s">
        <v>1510</v>
      </c>
    </row>
    <row r="731" spans="1:26">
      <c r="A731" s="290" t="s">
        <v>1206</v>
      </c>
      <c r="B731" s="117" t="s">
        <v>54</v>
      </c>
      <c r="C731" s="291" t="str">
        <v>Nuvoco Vistas Corp Ltd</v>
      </c>
      <c r="D731" s="292">
        <v>0.00767650732652341</v>
      </c>
      <c r="E731" s="293">
        <f t="shared" si="22"/>
        <v>0</v>
      </c>
      <c r="F731" s="291" t="str">
        <v>Materials</v>
      </c>
      <c r="G731" s="293">
        <f t="shared" si="23"/>
        <v>0</v>
      </c>
      <c r="H731" s="291"/>
      <c r="J731" s="36"/>
      <c r="X731" s="291"/>
      <c r="Z731" s="290" t="s">
        <v>1206</v>
      </c>
    </row>
    <row r="732" spans="1:26">
      <c r="A732" s="294" t="s">
        <v>1191</v>
      </c>
      <c r="B732" s="117" t="s">
        <v>54</v>
      </c>
      <c r="C732" s="291" t="str">
        <v>Oil &amp; Natural Gas Corp Ltd</v>
      </c>
      <c r="D732" s="295">
        <v>0.0122672252402061</v>
      </c>
      <c r="E732" s="293">
        <f t="shared" si="22"/>
        <v>0</v>
      </c>
      <c r="F732" s="291" t="str">
        <v>Energy</v>
      </c>
      <c r="G732" s="293">
        <f t="shared" si="23"/>
        <v>0</v>
      </c>
      <c r="H732" s="291"/>
      <c r="J732" s="36"/>
      <c r="X732" s="291"/>
      <c r="Z732" s="294" t="s">
        <v>1191</v>
      </c>
    </row>
    <row r="733" spans="1:26">
      <c r="A733" s="290" t="s">
        <v>1512</v>
      </c>
      <c r="B733" s="117" t="s">
        <v>54</v>
      </c>
      <c r="C733" s="291" t="str">
        <v>Petronet LNG Ltd</v>
      </c>
      <c r="D733" s="292">
        <v>0.0107271954657036</v>
      </c>
      <c r="E733" s="293">
        <f t="shared" si="22"/>
        <v>0</v>
      </c>
      <c r="F733" s="291" t="str">
        <v>Energy</v>
      </c>
      <c r="G733" s="293">
        <f t="shared" si="23"/>
        <v>0</v>
      </c>
      <c r="H733" s="291"/>
      <c r="J733" s="36"/>
      <c r="X733" s="291"/>
      <c r="Z733" s="290" t="s">
        <v>1512</v>
      </c>
    </row>
    <row r="734" spans="1:26">
      <c r="A734" s="294" t="s">
        <v>1514</v>
      </c>
      <c r="B734" s="117" t="s">
        <v>54</v>
      </c>
      <c r="C734" s="291" t="str">
        <v>Prism Johnson Ltd</v>
      </c>
      <c r="D734" s="295">
        <v>0.00313158785236831</v>
      </c>
      <c r="E734" s="293">
        <f t="shared" si="22"/>
        <v>0</v>
      </c>
      <c r="F734" s="291" t="str">
        <v>Materials</v>
      </c>
      <c r="G734" s="293">
        <f t="shared" si="23"/>
        <v>0</v>
      </c>
      <c r="H734" s="291"/>
      <c r="J734" s="36"/>
      <c r="X734" s="291"/>
      <c r="Z734" s="294" t="s">
        <v>1514</v>
      </c>
    </row>
    <row r="735" spans="1:26">
      <c r="A735" s="290" t="s">
        <v>1028</v>
      </c>
      <c r="B735" s="117" t="s">
        <v>54</v>
      </c>
      <c r="C735" s="291" t="str">
        <v>Punjab National Bank</v>
      </c>
      <c r="D735" s="292">
        <v>0.0225490697018637</v>
      </c>
      <c r="E735" s="293">
        <f t="shared" si="22"/>
        <v>0</v>
      </c>
      <c r="F735" s="291" t="str">
        <v>Financials</v>
      </c>
      <c r="G735" s="293">
        <f t="shared" si="23"/>
        <v>0</v>
      </c>
      <c r="H735" s="291"/>
      <c r="J735" s="36"/>
      <c r="X735" s="291"/>
      <c r="Z735" s="290" t="s">
        <v>1028</v>
      </c>
    </row>
    <row r="736" spans="1:26">
      <c r="A736" s="294" t="s">
        <v>1516</v>
      </c>
      <c r="B736" s="117" t="s">
        <v>54</v>
      </c>
      <c r="C736" s="291" t="str">
        <v>Rallis India Ltd</v>
      </c>
      <c r="D736" s="295">
        <v>0.00736069810650195</v>
      </c>
      <c r="E736" s="293">
        <f t="shared" si="22"/>
        <v>0</v>
      </c>
      <c r="F736" s="291" t="str">
        <v>Materials</v>
      </c>
      <c r="G736" s="293">
        <f t="shared" si="23"/>
        <v>0</v>
      </c>
      <c r="H736" s="291"/>
      <c r="J736" s="36"/>
      <c r="X736" s="291"/>
      <c r="Z736" s="294" t="s">
        <v>1516</v>
      </c>
    </row>
    <row r="737" spans="1:26">
      <c r="A737" s="290" t="s">
        <v>1034</v>
      </c>
      <c r="B737" s="117" t="s">
        <v>54</v>
      </c>
      <c r="C737" s="291" t="str">
        <v>Reliance Industries Ltd</v>
      </c>
      <c r="D737" s="292">
        <v>0.0583878705607315</v>
      </c>
      <c r="E737" s="293">
        <f t="shared" si="22"/>
        <v>0</v>
      </c>
      <c r="F737" s="291" t="str">
        <v>Energy</v>
      </c>
      <c r="G737" s="293">
        <f t="shared" si="23"/>
        <v>0</v>
      </c>
      <c r="H737" s="291"/>
      <c r="J737" s="36"/>
      <c r="X737" s="291"/>
      <c r="Z737" s="290" t="s">
        <v>1034</v>
      </c>
    </row>
    <row r="738" spans="1:26">
      <c r="A738" s="294" t="s">
        <v>1019</v>
      </c>
      <c r="B738" s="117" t="s">
        <v>54</v>
      </c>
      <c r="C738" s="291" t="str">
        <v>Samvardhana Motherson Internat</v>
      </c>
      <c r="D738" s="295">
        <v>0.00620934054541283</v>
      </c>
      <c r="E738" s="293">
        <f t="shared" si="22"/>
        <v>0</v>
      </c>
      <c r="F738" s="291" t="str">
        <v>Consumer Discretionary</v>
      </c>
      <c r="G738" s="293">
        <f t="shared" si="23"/>
        <v>0</v>
      </c>
      <c r="H738" s="291"/>
      <c r="J738" s="36"/>
      <c r="X738" s="291"/>
      <c r="Z738" s="294" t="s">
        <v>1019</v>
      </c>
    </row>
    <row r="739" spans="1:26">
      <c r="A739" s="290" t="s">
        <v>1407</v>
      </c>
      <c r="B739" s="117" t="s">
        <v>54</v>
      </c>
      <c r="C739" s="291" t="str">
        <v>Sanofi India Ltd</v>
      </c>
      <c r="D739" s="292">
        <v>0.00312145515264119</v>
      </c>
      <c r="E739" s="293">
        <f t="shared" si="22"/>
        <v>0</v>
      </c>
      <c r="F739" s="291" t="str">
        <v>Health Care</v>
      </c>
      <c r="G739" s="293">
        <f t="shared" si="23"/>
        <v>0</v>
      </c>
      <c r="H739" s="291"/>
      <c r="J739" s="36"/>
      <c r="X739" s="291"/>
      <c r="Z739" s="290" t="s">
        <v>1407</v>
      </c>
    </row>
    <row r="740" spans="1:26">
      <c r="A740" s="294" t="s">
        <v>1041</v>
      </c>
      <c r="B740" s="117" t="s">
        <v>54</v>
      </c>
      <c r="C740" s="291" t="str">
        <v>State Bank of India</v>
      </c>
      <c r="D740" s="295">
        <v>0.00848437978624685</v>
      </c>
      <c r="E740" s="293">
        <f t="shared" si="22"/>
        <v>0</v>
      </c>
      <c r="F740" s="291" t="str">
        <v>Financials</v>
      </c>
      <c r="G740" s="293">
        <f t="shared" si="23"/>
        <v>0</v>
      </c>
      <c r="H740" s="291"/>
      <c r="J740" s="36"/>
      <c r="X740" s="291"/>
      <c r="Z740" s="294" t="s">
        <v>1041</v>
      </c>
    </row>
    <row r="741" spans="1:26">
      <c r="A741" s="290" t="s">
        <v>1423</v>
      </c>
      <c r="B741" s="117" t="s">
        <v>54</v>
      </c>
      <c r="C741" s="291" t="str">
        <v>Steel Authority of India Ltd</v>
      </c>
      <c r="D741" s="292">
        <v>0.00273384796968047</v>
      </c>
      <c r="E741" s="293">
        <f t="shared" si="22"/>
        <v>0</v>
      </c>
      <c r="F741" s="291" t="str">
        <v>Materials</v>
      </c>
      <c r="G741" s="293">
        <f t="shared" si="23"/>
        <v>0</v>
      </c>
      <c r="H741" s="291"/>
      <c r="J741" s="36"/>
      <c r="X741" s="291"/>
      <c r="Z741" s="290" t="s">
        <v>1423</v>
      </c>
    </row>
    <row r="742" spans="1:26">
      <c r="A742" s="294" t="s">
        <v>1518</v>
      </c>
      <c r="B742" s="117" t="s">
        <v>54</v>
      </c>
      <c r="C742" s="291" t="str">
        <v>Sula Vineyards Ltd</v>
      </c>
      <c r="D742" s="295">
        <v>0.00124426655766208</v>
      </c>
      <c r="E742" s="293">
        <f t="shared" si="22"/>
        <v>0</v>
      </c>
      <c r="F742" s="291" t="str">
        <v>Consumer Staples</v>
      </c>
      <c r="G742" s="293">
        <f t="shared" si="23"/>
        <v>0</v>
      </c>
      <c r="H742" s="291"/>
      <c r="J742" s="36"/>
      <c r="X742" s="291"/>
      <c r="Z742" s="294" t="s">
        <v>1518</v>
      </c>
    </row>
    <row r="743" spans="1:26">
      <c r="A743" s="290" t="s">
        <v>1054</v>
      </c>
      <c r="B743" s="117" t="s">
        <v>54</v>
      </c>
      <c r="C743" s="291" t="str">
        <v>Tata Motors Ltd</v>
      </c>
      <c r="D743" s="292">
        <v>0.00793564840621686</v>
      </c>
      <c r="E743" s="293">
        <f t="shared" si="22"/>
        <v>0</v>
      </c>
      <c r="F743" s="291" t="str">
        <v>Consumer Discretionary</v>
      </c>
      <c r="G743" s="293">
        <f t="shared" si="23"/>
        <v>0</v>
      </c>
      <c r="H743" s="291"/>
      <c r="J743" s="36"/>
      <c r="X743" s="291"/>
      <c r="Z743" s="290" t="s">
        <v>1054</v>
      </c>
    </row>
    <row r="744" spans="1:26">
      <c r="A744" s="294" t="s">
        <v>1056</v>
      </c>
      <c r="B744" s="117" t="s">
        <v>54</v>
      </c>
      <c r="C744" s="291" t="str">
        <v>Tata Steel Ltd</v>
      </c>
      <c r="D744" s="295">
        <v>0.0195109595723301</v>
      </c>
      <c r="E744" s="293">
        <f t="shared" si="22"/>
        <v>0</v>
      </c>
      <c r="F744" s="291" t="str">
        <v>Materials</v>
      </c>
      <c r="G744" s="293">
        <f t="shared" si="23"/>
        <v>0</v>
      </c>
      <c r="H744" s="291"/>
      <c r="J744" s="36"/>
      <c r="X744" s="291"/>
      <c r="Z744" s="294" t="s">
        <v>1056</v>
      </c>
    </row>
    <row r="745" spans="1:26">
      <c r="A745" s="290" t="s">
        <v>1059</v>
      </c>
      <c r="B745" s="117" t="s">
        <v>54</v>
      </c>
      <c r="C745" s="291" t="str">
        <v>Tech Mahindra Ltd</v>
      </c>
      <c r="D745" s="292">
        <v>0.0130522613169625</v>
      </c>
      <c r="E745" s="293">
        <f t="shared" si="22"/>
        <v>0</v>
      </c>
      <c r="F745" s="291" t="str">
        <v>Information Technology</v>
      </c>
      <c r="G745" s="293">
        <f t="shared" si="23"/>
        <v>0</v>
      </c>
      <c r="H745" s="291"/>
      <c r="J745" s="36"/>
      <c r="X745" s="291"/>
      <c r="Z745" s="290" t="s">
        <v>1059</v>
      </c>
    </row>
    <row r="746" spans="1:26">
      <c r="A746" s="294" t="s">
        <v>1520</v>
      </c>
      <c r="B746" s="117" t="s">
        <v>54</v>
      </c>
      <c r="C746" s="291" t="str">
        <v>Ramco Cements Ltd/The</v>
      </c>
      <c r="D746" s="295">
        <v>0.00528300474843401</v>
      </c>
      <c r="E746" s="293">
        <f t="shared" si="22"/>
        <v>0</v>
      </c>
      <c r="F746" s="291" t="str">
        <v>Materials</v>
      </c>
      <c r="G746" s="293">
        <f t="shared" si="23"/>
        <v>0</v>
      </c>
      <c r="H746" s="291"/>
      <c r="J746" s="36"/>
      <c r="X746" s="291"/>
      <c r="Z746" s="294" t="s">
        <v>1520</v>
      </c>
    </row>
    <row r="747" spans="1:26">
      <c r="A747" s="290" t="s">
        <v>1421</v>
      </c>
      <c r="B747" s="117" t="s">
        <v>54</v>
      </c>
      <c r="C747" s="291" t="str">
        <v>Timken India Ltd</v>
      </c>
      <c r="D747" s="292">
        <v>0.00256149835163959</v>
      </c>
      <c r="E747" s="293">
        <f t="shared" si="22"/>
        <v>0</v>
      </c>
      <c r="F747" s="291" t="str">
        <v>Industrials</v>
      </c>
      <c r="G747" s="293">
        <f t="shared" si="23"/>
        <v>0</v>
      </c>
      <c r="H747" s="291"/>
      <c r="J747" s="36"/>
      <c r="X747" s="291"/>
      <c r="Z747" s="290" t="s">
        <v>1421</v>
      </c>
    </row>
    <row r="748" spans="1:26">
      <c r="A748" s="294" t="s">
        <v>1084</v>
      </c>
      <c r="B748" s="117" t="s">
        <v>54</v>
      </c>
      <c r="C748" s="291" t="str">
        <v>Torrent Power Ltd</v>
      </c>
      <c r="D748" s="295">
        <v>0.0180883856162747</v>
      </c>
      <c r="E748" s="293">
        <f t="shared" si="22"/>
        <v>0</v>
      </c>
      <c r="F748" s="291" t="str">
        <v>Utilities</v>
      </c>
      <c r="G748" s="293">
        <f t="shared" si="23"/>
        <v>0</v>
      </c>
      <c r="H748" s="291"/>
      <c r="J748" s="36"/>
      <c r="X748" s="291"/>
      <c r="Z748" s="294" t="s">
        <v>1084</v>
      </c>
    </row>
    <row r="749" spans="1:26">
      <c r="A749" s="290" t="s">
        <v>1076</v>
      </c>
      <c r="B749" s="117" t="s">
        <v>54</v>
      </c>
      <c r="C749" s="291" t="str">
        <v>United Spirits Ltd</v>
      </c>
      <c r="D749" s="292">
        <v>0.00838451827087858</v>
      </c>
      <c r="E749" s="293">
        <f t="shared" si="22"/>
        <v>0</v>
      </c>
      <c r="F749" s="291" t="str">
        <v>Consumer Staples</v>
      </c>
      <c r="G749" s="293">
        <f t="shared" si="23"/>
        <v>0</v>
      </c>
      <c r="H749" s="291"/>
      <c r="J749" s="36"/>
      <c r="X749" s="291"/>
      <c r="Z749" s="290" t="s">
        <v>1076</v>
      </c>
    </row>
    <row r="750" spans="1:26">
      <c r="A750" s="294" t="s">
        <v>1243</v>
      </c>
      <c r="B750" s="117" t="s">
        <v>54</v>
      </c>
      <c r="C750" s="291" t="str">
        <v>V-Guard Industries Ltd</v>
      </c>
      <c r="D750" s="295">
        <v>0.00220249788663877</v>
      </c>
      <c r="E750" s="293">
        <f t="shared" si="22"/>
        <v>0</v>
      </c>
      <c r="F750" s="291" t="str">
        <v>Industrials</v>
      </c>
      <c r="G750" s="293">
        <f t="shared" si="23"/>
        <v>0</v>
      </c>
      <c r="H750" s="291"/>
      <c r="J750" s="36"/>
      <c r="X750" s="291"/>
      <c r="Z750" s="294" t="s">
        <v>1243</v>
      </c>
    </row>
    <row r="751" spans="1:26">
      <c r="A751" s="290" t="s">
        <v>1522</v>
      </c>
      <c r="B751" s="117" t="s">
        <v>54</v>
      </c>
      <c r="C751" s="291" t="str">
        <v>Wendt India Ltd</v>
      </c>
      <c r="D751" s="292">
        <v>0.00246744977248223</v>
      </c>
      <c r="E751" s="293">
        <f t="shared" si="22"/>
        <v>0</v>
      </c>
      <c r="F751" s="291" t="str">
        <v>Industrials</v>
      </c>
      <c r="G751" s="293">
        <f t="shared" si="23"/>
        <v>0</v>
      </c>
      <c r="H751" s="291"/>
      <c r="J751" s="36"/>
      <c r="X751" s="291"/>
      <c r="Z751" s="290" t="s">
        <v>1522</v>
      </c>
    </row>
    <row r="752" spans="1:26">
      <c r="A752" s="294" t="s">
        <v>1438</v>
      </c>
      <c r="B752" s="117" t="s">
        <v>54</v>
      </c>
      <c r="C752" s="291" t="str">
        <v>Whirlpool of India Ltd</v>
      </c>
      <c r="D752" s="295">
        <v>0.0114848283089116</v>
      </c>
      <c r="E752" s="293">
        <f t="shared" si="22"/>
        <v>0</v>
      </c>
      <c r="F752" s="291" t="str">
        <v>Consumer Discretionary</v>
      </c>
      <c r="G752" s="293">
        <f t="shared" si="23"/>
        <v>0</v>
      </c>
      <c r="H752" s="291"/>
      <c r="J752" s="36"/>
      <c r="X752" s="291"/>
      <c r="Z752" s="294" t="s">
        <v>1438</v>
      </c>
    </row>
    <row r="753" spans="1:26">
      <c r="A753" s="290" t="s">
        <v>1287</v>
      </c>
      <c r="B753" s="117" t="s">
        <v>54</v>
      </c>
      <c r="C753" s="291" t="str">
        <v>Wipro Ltd</v>
      </c>
      <c r="D753" s="292">
        <v>0.00793341184226616</v>
      </c>
      <c r="E753" s="293">
        <f t="shared" si="22"/>
        <v>0</v>
      </c>
      <c r="F753" s="291" t="str">
        <v>Information Technology</v>
      </c>
      <c r="G753" s="293">
        <f t="shared" si="23"/>
        <v>0</v>
      </c>
      <c r="H753" s="291"/>
      <c r="J753" s="36"/>
      <c r="X753" s="291"/>
      <c r="Z753" s="290" t="s">
        <v>1287</v>
      </c>
    </row>
    <row r="754" spans="1:26">
      <c r="A754" s="294" t="s">
        <v>817</v>
      </c>
      <c r="B754" s="117" t="s">
        <v>48</v>
      </c>
      <c r="C754" s="291" t="str">
        <v>Abbott India Ltd</v>
      </c>
      <c r="D754" s="295">
        <v>0.0283589111933976</v>
      </c>
      <c r="E754" s="293">
        <f t="shared" si="22"/>
        <v>0.0023632425994498</v>
      </c>
      <c r="F754" s="291" t="str">
        <v>Health Care</v>
      </c>
      <c r="G754" s="293">
        <f t="shared" si="23"/>
        <v>0.0023632425994498</v>
      </c>
      <c r="H754" s="291"/>
      <c r="J754" s="36"/>
      <c r="X754" s="291"/>
      <c r="Z754" s="294" t="s">
        <v>817</v>
      </c>
    </row>
    <row r="755" spans="1:26">
      <c r="A755" s="290" t="s">
        <v>1092</v>
      </c>
      <c r="B755" s="117" t="s">
        <v>48</v>
      </c>
      <c r="C755" s="291" t="str">
        <v>ACC Ltd</v>
      </c>
      <c r="D755" s="292">
        <v>0.00728505935451577</v>
      </c>
      <c r="E755" s="293">
        <f t="shared" si="22"/>
        <v>0.000607088279542981</v>
      </c>
      <c r="F755" s="291" t="str">
        <v>Materials</v>
      </c>
      <c r="G755" s="293">
        <f t="shared" si="23"/>
        <v>0.000607088279542981</v>
      </c>
      <c r="H755" s="291"/>
      <c r="J755" s="36"/>
      <c r="X755" s="291"/>
      <c r="Z755" s="290" t="s">
        <v>1092</v>
      </c>
    </row>
    <row r="756" spans="1:26">
      <c r="A756" s="294" t="s">
        <v>1250</v>
      </c>
      <c r="B756" s="117" t="s">
        <v>48</v>
      </c>
      <c r="C756" s="291" t="str">
        <v>Acutaas Chemicals Ltd</v>
      </c>
      <c r="D756" s="295">
        <v>0.0079608565511014</v>
      </c>
      <c r="E756" s="293">
        <f t="shared" si="22"/>
        <v>0.000663404712591783</v>
      </c>
      <c r="F756" s="291" t="str">
        <v>Health Care</v>
      </c>
      <c r="G756" s="293">
        <f t="shared" si="23"/>
        <v>0.000663404712591783</v>
      </c>
      <c r="H756" s="291"/>
      <c r="J756" s="36"/>
      <c r="X756" s="291"/>
      <c r="Z756" s="294" t="s">
        <v>1250</v>
      </c>
    </row>
    <row r="757" spans="1:26">
      <c r="A757" s="290" t="s">
        <v>821</v>
      </c>
      <c r="B757" s="117" t="s">
        <v>48</v>
      </c>
      <c r="C757" s="291" t="str">
        <v>Aditya Birla Capital Ltd</v>
      </c>
      <c r="D757" s="292">
        <v>0.00354496510412747</v>
      </c>
      <c r="E757" s="293">
        <f t="shared" si="22"/>
        <v>0.000295413758677289</v>
      </c>
      <c r="F757" s="291" t="str">
        <v>Financials</v>
      </c>
      <c r="G757" s="293">
        <f t="shared" si="23"/>
        <v>0.000295413758677289</v>
      </c>
      <c r="H757" s="291"/>
      <c r="J757" s="36"/>
      <c r="X757" s="291"/>
      <c r="Z757" s="290" t="s">
        <v>821</v>
      </c>
    </row>
    <row r="758" spans="1:26">
      <c r="A758" s="294" t="s">
        <v>1149</v>
      </c>
      <c r="B758" s="117" t="s">
        <v>48</v>
      </c>
      <c r="C758" s="291" t="str">
        <v>Alkem Laboratories Ltd</v>
      </c>
      <c r="D758" s="295">
        <v>0.0222785416206178</v>
      </c>
      <c r="E758" s="293">
        <f t="shared" si="22"/>
        <v>0.00185654513505148</v>
      </c>
      <c r="F758" s="291" t="str">
        <v>Health Care</v>
      </c>
      <c r="G758" s="293">
        <f t="shared" si="23"/>
        <v>0.00185654513505148</v>
      </c>
      <c r="H758" s="291"/>
      <c r="J758" s="36"/>
      <c r="X758" s="291"/>
      <c r="Z758" s="294" t="s">
        <v>1149</v>
      </c>
    </row>
    <row r="759" spans="1:26">
      <c r="A759" s="290" t="s">
        <v>1253</v>
      </c>
      <c r="B759" s="117" t="s">
        <v>48</v>
      </c>
      <c r="C759" s="291" t="str">
        <v>Ashok Leyland Ltd</v>
      </c>
      <c r="D759" s="292">
        <v>0.0196013752514632</v>
      </c>
      <c r="E759" s="293">
        <f t="shared" si="22"/>
        <v>0.00163344793762193</v>
      </c>
      <c r="F759" s="291" t="str">
        <v>Industrials</v>
      </c>
      <c r="G759" s="293">
        <f t="shared" si="23"/>
        <v>0.00163344793762193</v>
      </c>
      <c r="H759" s="291"/>
      <c r="J759" s="36"/>
      <c r="X759" s="291"/>
      <c r="Z759" s="290" t="s">
        <v>1253</v>
      </c>
    </row>
    <row r="760" spans="1:26">
      <c r="A760" s="294" t="s">
        <v>1101</v>
      </c>
      <c r="B760" s="117" t="s">
        <v>48</v>
      </c>
      <c r="C760" s="291" t="str">
        <v>Asian Paints Ltd</v>
      </c>
      <c r="D760" s="295">
        <v>0.0276195302984884</v>
      </c>
      <c r="E760" s="293">
        <f t="shared" si="22"/>
        <v>0.00230162752487403</v>
      </c>
      <c r="F760" s="291" t="str">
        <v>Materials</v>
      </c>
      <c r="G760" s="293">
        <f t="shared" si="23"/>
        <v>0.00230162752487403</v>
      </c>
      <c r="H760" s="291"/>
      <c r="J760" s="36"/>
      <c r="X760" s="291"/>
      <c r="Z760" s="294" t="s">
        <v>1101</v>
      </c>
    </row>
    <row r="761" spans="1:26">
      <c r="A761" s="290" t="s">
        <v>1255</v>
      </c>
      <c r="B761" s="117" t="s">
        <v>48</v>
      </c>
      <c r="C761" s="291" t="str">
        <v>Aurobindo Pharma Ltd</v>
      </c>
      <c r="D761" s="292">
        <v>0.0128170450179091</v>
      </c>
      <c r="E761" s="293">
        <f t="shared" si="22"/>
        <v>0.00106808708482576</v>
      </c>
      <c r="F761" s="291" t="str">
        <v>Health Care</v>
      </c>
      <c r="G761" s="293">
        <f t="shared" si="23"/>
        <v>0.00106808708482576</v>
      </c>
      <c r="H761" s="291"/>
      <c r="J761" s="36"/>
      <c r="X761" s="291"/>
      <c r="Z761" s="290" t="s">
        <v>1255</v>
      </c>
    </row>
    <row r="762" spans="1:26">
      <c r="A762" s="294" t="s">
        <v>843</v>
      </c>
      <c r="B762" s="117" t="s">
        <v>48</v>
      </c>
      <c r="C762" s="291" t="str">
        <v>Axis Bank Ltd</v>
      </c>
      <c r="D762" s="295">
        <v>0.0294747205366167</v>
      </c>
      <c r="E762" s="293">
        <f t="shared" si="22"/>
        <v>0.00245622671138473</v>
      </c>
      <c r="F762" s="291" t="str">
        <v>Financials</v>
      </c>
      <c r="G762" s="293">
        <f t="shared" si="23"/>
        <v>0.00245622671138473</v>
      </c>
      <c r="H762" s="291"/>
      <c r="J762" s="36"/>
      <c r="X762" s="291"/>
      <c r="Z762" s="294" t="s">
        <v>843</v>
      </c>
    </row>
    <row r="763" spans="1:26">
      <c r="A763" s="290" t="s">
        <v>1157</v>
      </c>
      <c r="B763" s="117" t="s">
        <v>48</v>
      </c>
      <c r="C763" s="291" t="str">
        <v>Balkrishna Industries Ltd</v>
      </c>
      <c r="D763" s="292">
        <v>0.020279094592485</v>
      </c>
      <c r="E763" s="293">
        <f t="shared" si="22"/>
        <v>0.00168992454937375</v>
      </c>
      <c r="F763" s="291" t="str">
        <v>Consumer Discretionary</v>
      </c>
      <c r="G763" s="293">
        <f t="shared" si="23"/>
        <v>0.00168992454937375</v>
      </c>
      <c r="H763" s="291"/>
      <c r="J763" s="36"/>
      <c r="X763" s="291"/>
      <c r="Z763" s="290" t="s">
        <v>1157</v>
      </c>
    </row>
    <row r="764" spans="1:26">
      <c r="A764" s="294" t="s">
        <v>1257</v>
      </c>
      <c r="B764" s="117" t="s">
        <v>48</v>
      </c>
      <c r="C764" s="291" t="str">
        <v>Bank of Baroda</v>
      </c>
      <c r="D764" s="295">
        <v>0.00677189177002614</v>
      </c>
      <c r="E764" s="293">
        <f t="shared" si="22"/>
        <v>0.000564324314168845</v>
      </c>
      <c r="F764" s="291" t="str">
        <v>Financials</v>
      </c>
      <c r="G764" s="293">
        <f t="shared" si="23"/>
        <v>0.000564324314168845</v>
      </c>
      <c r="H764" s="291"/>
      <c r="J764" s="36"/>
      <c r="X764" s="291"/>
      <c r="Z764" s="294" t="s">
        <v>1257</v>
      </c>
    </row>
    <row r="765" spans="1:26">
      <c r="A765" s="290" t="s">
        <v>1492</v>
      </c>
      <c r="B765" s="117" t="s">
        <v>48</v>
      </c>
      <c r="C765" s="291" t="str">
        <v>Bank of India</v>
      </c>
      <c r="D765" s="292">
        <v>0.00333991337449779</v>
      </c>
      <c r="E765" s="293">
        <f t="shared" ref="E765:E827" si="24">_xlfn.IFNA(D765*VLOOKUP($B765,$AK$1:$AM$34,3,FALSE),0)</f>
        <v>0.000278326114541482</v>
      </c>
      <c r="F765" s="291" t="str">
        <v>Financials</v>
      </c>
      <c r="G765" s="293">
        <f t="shared" ref="G765:G827" si="25">_xlfn.IFNA(D765*VLOOKUP($B765,$AK$1:$AM$34,3,FALSE),0)</f>
        <v>0.000278326114541482</v>
      </c>
      <c r="H765" s="291"/>
      <c r="J765" s="36"/>
      <c r="X765" s="291"/>
      <c r="Z765" s="290" t="s">
        <v>1492</v>
      </c>
    </row>
    <row r="766" spans="1:26">
      <c r="A766" s="294" t="s">
        <v>847</v>
      </c>
      <c r="B766" s="117" t="s">
        <v>48</v>
      </c>
      <c r="C766" s="291" t="str">
        <v>Berger Paints India Ltd</v>
      </c>
      <c r="D766" s="295">
        <v>0.0243348613342064</v>
      </c>
      <c r="E766" s="293">
        <f t="shared" si="24"/>
        <v>0.00202790511118387</v>
      </c>
      <c r="F766" s="291" t="str">
        <v>Materials</v>
      </c>
      <c r="G766" s="293">
        <f t="shared" si="25"/>
        <v>0.00202790511118387</v>
      </c>
      <c r="H766" s="291"/>
      <c r="J766" s="36"/>
      <c r="X766" s="291"/>
      <c r="Z766" s="294" t="s">
        <v>847</v>
      </c>
    </row>
    <row r="767" spans="1:26">
      <c r="A767" s="290" t="s">
        <v>852</v>
      </c>
      <c r="B767" s="117" t="s">
        <v>48</v>
      </c>
      <c r="C767" s="291" t="str">
        <v>Bharat Forge Ltd</v>
      </c>
      <c r="D767" s="292">
        <v>0.016476975949712</v>
      </c>
      <c r="E767" s="293">
        <f t="shared" si="24"/>
        <v>0.00137308132914267</v>
      </c>
      <c r="F767" s="291" t="str">
        <v>Consumer Discretionary</v>
      </c>
      <c r="G767" s="293">
        <f t="shared" si="25"/>
        <v>0.00137308132914267</v>
      </c>
      <c r="H767" s="291"/>
      <c r="J767" s="36"/>
      <c r="X767" s="291"/>
      <c r="Z767" s="290" t="s">
        <v>852</v>
      </c>
    </row>
    <row r="768" spans="1:26">
      <c r="A768" s="294" t="s">
        <v>855</v>
      </c>
      <c r="B768" s="117" t="s">
        <v>48</v>
      </c>
      <c r="C768" s="291" t="str">
        <v>Bharti Airtel Ltd</v>
      </c>
      <c r="D768" s="295">
        <v>0</v>
      </c>
      <c r="E768" s="293">
        <f t="shared" si="24"/>
        <v>0</v>
      </c>
      <c r="F768" s="291" t="str">
        <v>Communication Services</v>
      </c>
      <c r="G768" s="293">
        <f t="shared" si="25"/>
        <v>0</v>
      </c>
      <c r="H768" s="291"/>
      <c r="J768" s="36"/>
      <c r="X768" s="291"/>
      <c r="Z768" s="294" t="s">
        <v>855</v>
      </c>
    </row>
    <row r="769" spans="1:26">
      <c r="A769" s="290" t="s">
        <v>1526</v>
      </c>
      <c r="B769" s="117" t="s">
        <v>48</v>
      </c>
      <c r="C769" s="291" t="str">
        <v>Blue Star Ltd</v>
      </c>
      <c r="D769" s="292">
        <v>0.00548773436004673</v>
      </c>
      <c r="E769" s="293">
        <f t="shared" si="24"/>
        <v>0.000457311196670561</v>
      </c>
      <c r="F769" s="291" t="str">
        <v>Industrials</v>
      </c>
      <c r="G769" s="293">
        <f t="shared" si="25"/>
        <v>0.000457311196670561</v>
      </c>
      <c r="H769" s="291"/>
      <c r="J769" s="36"/>
      <c r="X769" s="291"/>
      <c r="Z769" s="290" t="s">
        <v>1526</v>
      </c>
    </row>
    <row r="770" spans="1:26">
      <c r="A770" s="294" t="s">
        <v>873</v>
      </c>
      <c r="B770" s="117" t="s">
        <v>48</v>
      </c>
      <c r="C770" s="291" t="str">
        <v>Cholamandalam Financial Holdin</v>
      </c>
      <c r="D770" s="295">
        <v>0.00810897862063515</v>
      </c>
      <c r="E770" s="293">
        <f t="shared" si="24"/>
        <v>0.000675748218386263</v>
      </c>
      <c r="F770" s="291" t="str">
        <v>Financials</v>
      </c>
      <c r="G770" s="293">
        <f t="shared" si="25"/>
        <v>0.000675748218386263</v>
      </c>
      <c r="H770" s="291"/>
      <c r="J770" s="36"/>
      <c r="X770" s="291"/>
      <c r="Z770" s="294" t="s">
        <v>873</v>
      </c>
    </row>
    <row r="771" spans="1:26">
      <c r="A771" s="290" t="s">
        <v>882</v>
      </c>
      <c r="B771" s="117" t="s">
        <v>48</v>
      </c>
      <c r="C771" s="291" t="str">
        <v>Coforge Ltd</v>
      </c>
      <c r="D771" s="292">
        <v>0</v>
      </c>
      <c r="E771" s="293">
        <f t="shared" si="24"/>
        <v>0</v>
      </c>
      <c r="F771" s="291" t="str">
        <v>Information Technology</v>
      </c>
      <c r="G771" s="293">
        <f t="shared" si="25"/>
        <v>0</v>
      </c>
      <c r="H771" s="291"/>
      <c r="J771" s="36"/>
      <c r="X771" s="291"/>
      <c r="Z771" s="290" t="s">
        <v>882</v>
      </c>
    </row>
    <row r="772" spans="1:26">
      <c r="A772" s="294" t="s">
        <v>1124</v>
      </c>
      <c r="B772" s="117" t="s">
        <v>48</v>
      </c>
      <c r="C772" s="291" t="str">
        <v>Colgate-Palmolive India Ltd</v>
      </c>
      <c r="D772" s="295">
        <v>0.0047130321869563</v>
      </c>
      <c r="E772" s="293">
        <f t="shared" si="24"/>
        <v>0.000392752682246358</v>
      </c>
      <c r="F772" s="291" t="str">
        <v>Consumer Staples</v>
      </c>
      <c r="G772" s="293">
        <f t="shared" si="25"/>
        <v>0.000392752682246358</v>
      </c>
      <c r="H772" s="291"/>
      <c r="J772" s="36"/>
      <c r="X772" s="291"/>
      <c r="Z772" s="294" t="s">
        <v>1124</v>
      </c>
    </row>
    <row r="773" spans="1:26">
      <c r="A773" s="290" t="s">
        <v>1356</v>
      </c>
      <c r="B773" s="117" t="s">
        <v>48</v>
      </c>
      <c r="C773" s="291" t="str">
        <v>Delhivery Ltd</v>
      </c>
      <c r="D773" s="292">
        <v>0.00952624978048646</v>
      </c>
      <c r="E773" s="293">
        <f t="shared" si="24"/>
        <v>0.000793854148373872</v>
      </c>
      <c r="F773" s="291" t="str">
        <v>Industrials</v>
      </c>
      <c r="G773" s="293">
        <f t="shared" si="25"/>
        <v>0.000793854148373872</v>
      </c>
      <c r="H773" s="291"/>
      <c r="J773" s="36"/>
      <c r="X773" s="291"/>
      <c r="Z773" s="290" t="s">
        <v>1356</v>
      </c>
    </row>
    <row r="774" spans="1:26">
      <c r="A774" s="294" t="s">
        <v>1112</v>
      </c>
      <c r="B774" s="117" t="s">
        <v>48</v>
      </c>
      <c r="C774" s="291" t="str">
        <v>Divi's Laboratories Ltd</v>
      </c>
      <c r="D774" s="295">
        <v>0.0164154883184101</v>
      </c>
      <c r="E774" s="293">
        <f t="shared" si="24"/>
        <v>0.00136795735986751</v>
      </c>
      <c r="F774" s="291" t="str">
        <v>Health Care</v>
      </c>
      <c r="G774" s="293">
        <f t="shared" si="25"/>
        <v>0.00136795735986751</v>
      </c>
      <c r="H774" s="291"/>
      <c r="J774" s="36"/>
      <c r="X774" s="291"/>
      <c r="Z774" s="294" t="s">
        <v>1112</v>
      </c>
    </row>
    <row r="775" spans="1:26">
      <c r="A775" s="290" t="s">
        <v>911</v>
      </c>
      <c r="B775" s="117" t="s">
        <v>48</v>
      </c>
      <c r="C775" s="291" t="str">
        <v>Dr Lal PathLabs Ltd</v>
      </c>
      <c r="D775" s="292">
        <v>0.00614152135357183</v>
      </c>
      <c r="E775" s="293">
        <f t="shared" si="24"/>
        <v>0.000511793446130986</v>
      </c>
      <c r="F775" s="291" t="str">
        <v>Health Care</v>
      </c>
      <c r="G775" s="293">
        <f t="shared" si="25"/>
        <v>0.000511793446130986</v>
      </c>
      <c r="H775" s="291"/>
      <c r="J775" s="36"/>
      <c r="X775" s="291"/>
      <c r="Z775" s="290" t="s">
        <v>911</v>
      </c>
    </row>
    <row r="776" spans="1:26">
      <c r="A776" s="294" t="s">
        <v>1361</v>
      </c>
      <c r="B776" s="117" t="s">
        <v>48</v>
      </c>
      <c r="C776" s="291" t="str">
        <v>Emami Ltd</v>
      </c>
      <c r="D776" s="295">
        <v>0.0117074639024498</v>
      </c>
      <c r="E776" s="293">
        <f t="shared" si="24"/>
        <v>0.000975621991870817</v>
      </c>
      <c r="F776" s="291" t="str">
        <v>Consumer Staples</v>
      </c>
      <c r="G776" s="293">
        <f t="shared" si="25"/>
        <v>0.000975621991870817</v>
      </c>
      <c r="H776" s="291"/>
      <c r="J776" s="36"/>
      <c r="X776" s="291"/>
      <c r="Z776" s="294" t="s">
        <v>1361</v>
      </c>
    </row>
    <row r="777" spans="1:26">
      <c r="A777" s="290" t="s">
        <v>1530</v>
      </c>
      <c r="B777" s="117" t="s">
        <v>48</v>
      </c>
      <c r="C777" s="291" t="str">
        <v>Finolex Industries Ltd</v>
      </c>
      <c r="D777" s="292">
        <v>0.000262922970619471</v>
      </c>
      <c r="E777" s="293">
        <f t="shared" si="24"/>
        <v>2.19102475516226e-5</v>
      </c>
      <c r="F777" s="291" t="str">
        <v>Materials</v>
      </c>
      <c r="G777" s="293">
        <f t="shared" si="25"/>
        <v>2.19102475516226e-5</v>
      </c>
      <c r="H777" s="291"/>
      <c r="J777" s="36"/>
      <c r="X777" s="291"/>
      <c r="Z777" s="290" t="s">
        <v>1530</v>
      </c>
    </row>
    <row r="778" spans="1:26">
      <c r="A778" s="294" t="s">
        <v>1132</v>
      </c>
      <c r="B778" s="117" t="s">
        <v>48</v>
      </c>
      <c r="C778" s="291" t="str">
        <v>FSN E-Commerce Ventures Ltd</v>
      </c>
      <c r="D778" s="295">
        <v>0.0131906397275415</v>
      </c>
      <c r="E778" s="293">
        <f t="shared" si="24"/>
        <v>0.00109921997729512</v>
      </c>
      <c r="F778" s="291" t="str">
        <v>Consumer Discretionary</v>
      </c>
      <c r="G778" s="293">
        <f t="shared" si="25"/>
        <v>0.00109921997729512</v>
      </c>
      <c r="H778" s="291"/>
      <c r="J778" s="36"/>
      <c r="X778" s="291"/>
      <c r="Z778" s="294" t="s">
        <v>1132</v>
      </c>
    </row>
    <row r="779" spans="1:26">
      <c r="A779" s="290" t="s">
        <v>1532</v>
      </c>
      <c r="B779" s="117" t="s">
        <v>48</v>
      </c>
      <c r="C779" s="291" t="str">
        <v>Ganesha Ecosphere Ltd</v>
      </c>
      <c r="D779" s="292">
        <v>0.00414448225364856</v>
      </c>
      <c r="E779" s="293">
        <f t="shared" si="24"/>
        <v>0.00034537352113738</v>
      </c>
      <c r="F779" s="291" t="str">
        <v>Consumer Discretionary</v>
      </c>
      <c r="G779" s="293">
        <f t="shared" si="25"/>
        <v>0.00034537352113738</v>
      </c>
      <c r="H779" s="291"/>
      <c r="J779" s="36"/>
      <c r="X779" s="291"/>
      <c r="Z779" s="290" t="s">
        <v>1532</v>
      </c>
    </row>
    <row r="780" spans="1:26">
      <c r="A780" s="294" t="s">
        <v>1534</v>
      </c>
      <c r="B780" s="117" t="s">
        <v>48</v>
      </c>
      <c r="C780" s="291" t="str">
        <v>Gayatri BiOrganics Ltd</v>
      </c>
      <c r="D780" s="295">
        <v>1.21505916622958e-5</v>
      </c>
      <c r="E780" s="293">
        <f t="shared" si="24"/>
        <v>1.01254930519132e-6</v>
      </c>
      <c r="F780" s="291" t="str">
        <v>Consumer Staples</v>
      </c>
      <c r="G780" s="293">
        <f t="shared" si="25"/>
        <v>1.01254930519132e-6</v>
      </c>
      <c r="H780" s="291"/>
      <c r="J780" s="36"/>
      <c r="X780" s="291"/>
      <c r="Z780" s="294" t="s">
        <v>1534</v>
      </c>
    </row>
    <row r="781" spans="1:26">
      <c r="A781" s="290" t="s">
        <v>1170</v>
      </c>
      <c r="B781" s="117" t="s">
        <v>48</v>
      </c>
      <c r="C781" s="291" t="str">
        <v>Gland Pharma Ltd</v>
      </c>
      <c r="D781" s="292">
        <v>0.0179557677261832</v>
      </c>
      <c r="E781" s="293">
        <f t="shared" si="24"/>
        <v>0.00149631397718193</v>
      </c>
      <c r="F781" s="291" t="str">
        <v>Health Care</v>
      </c>
      <c r="G781" s="293">
        <f t="shared" si="25"/>
        <v>0.00149631397718193</v>
      </c>
      <c r="H781" s="291"/>
      <c r="J781" s="36"/>
      <c r="X781" s="291"/>
      <c r="Z781" s="290" t="s">
        <v>1170</v>
      </c>
    </row>
    <row r="782" spans="1:26">
      <c r="A782" s="294" t="s">
        <v>1303</v>
      </c>
      <c r="B782" s="117" t="s">
        <v>48</v>
      </c>
      <c r="C782" s="291" t="str">
        <v>Godrej Consumer Products Ltd</v>
      </c>
      <c r="D782" s="295">
        <v>0.0109484267567147</v>
      </c>
      <c r="E782" s="293">
        <f t="shared" si="24"/>
        <v>0.000912368896392892</v>
      </c>
      <c r="F782" s="291" t="str">
        <v>Consumer Staples</v>
      </c>
      <c r="G782" s="293">
        <f t="shared" si="25"/>
        <v>0.000912368896392892</v>
      </c>
      <c r="H782" s="291"/>
      <c r="J782" s="36"/>
      <c r="X782" s="291"/>
      <c r="Z782" s="294" t="s">
        <v>1303</v>
      </c>
    </row>
    <row r="783" spans="1:26">
      <c r="A783" s="290" t="s">
        <v>1500</v>
      </c>
      <c r="B783" s="117" t="s">
        <v>48</v>
      </c>
      <c r="C783" s="291" t="str">
        <v>G R Infraprojects Ltd</v>
      </c>
      <c r="D783" s="292">
        <v>0.00822161748406329</v>
      </c>
      <c r="E783" s="293">
        <f t="shared" si="24"/>
        <v>0.000685134790338607</v>
      </c>
      <c r="F783" s="291" t="str">
        <v>Industrials</v>
      </c>
      <c r="G783" s="293">
        <f t="shared" si="25"/>
        <v>0.000685134790338607</v>
      </c>
      <c r="H783" s="291"/>
      <c r="J783" s="36"/>
      <c r="X783" s="291"/>
      <c r="Z783" s="290" t="s">
        <v>1500</v>
      </c>
    </row>
    <row r="784" spans="1:26">
      <c r="A784" s="294" t="s">
        <v>1536</v>
      </c>
      <c r="B784" s="117" t="s">
        <v>48</v>
      </c>
      <c r="C784" s="291" t="str">
        <v>Hatsun Agro Product Ltd</v>
      </c>
      <c r="D784" s="295">
        <v>0.00415222180870295</v>
      </c>
      <c r="E784" s="293">
        <f t="shared" si="24"/>
        <v>0.000346018484058579</v>
      </c>
      <c r="F784" s="291" t="str">
        <v>Consumer Staples</v>
      </c>
      <c r="G784" s="293">
        <f t="shared" si="25"/>
        <v>0.000346018484058579</v>
      </c>
      <c r="H784" s="291"/>
      <c r="J784" s="36"/>
      <c r="X784" s="291"/>
      <c r="Z784" s="294" t="s">
        <v>1536</v>
      </c>
    </row>
    <row r="785" spans="1:26">
      <c r="A785" s="290" t="s">
        <v>922</v>
      </c>
      <c r="B785" s="117" t="s">
        <v>48</v>
      </c>
      <c r="C785" s="291" t="str">
        <v>HDB Financial Services Ltd</v>
      </c>
      <c r="D785" s="292">
        <v>0.000463422726373687</v>
      </c>
      <c r="E785" s="293">
        <f t="shared" si="24"/>
        <v>3.86185605311406e-5</v>
      </c>
      <c r="F785" s="291" t="str">
        <v>Financials</v>
      </c>
      <c r="G785" s="293">
        <f t="shared" si="25"/>
        <v>3.86185605311406e-5</v>
      </c>
      <c r="H785" s="291"/>
      <c r="J785" s="36"/>
      <c r="X785" s="291"/>
      <c r="Z785" s="290" t="s">
        <v>922</v>
      </c>
    </row>
    <row r="786" spans="1:26">
      <c r="A786" s="294" t="s">
        <v>926</v>
      </c>
      <c r="B786" s="117" t="s">
        <v>48</v>
      </c>
      <c r="C786" s="291" t="str">
        <v>HDFC Asset Management Co Ltd</v>
      </c>
      <c r="D786" s="295">
        <v>0.0323600962299272</v>
      </c>
      <c r="E786" s="293">
        <f t="shared" si="24"/>
        <v>0.00269667468582727</v>
      </c>
      <c r="F786" s="291" t="str">
        <v>Financials</v>
      </c>
      <c r="G786" s="293">
        <f t="shared" si="25"/>
        <v>0.00269667468582727</v>
      </c>
      <c r="H786" s="291"/>
      <c r="J786" s="36"/>
      <c r="X786" s="291"/>
      <c r="Z786" s="294" t="s">
        <v>926</v>
      </c>
    </row>
    <row r="787" spans="1:26">
      <c r="A787" s="290" t="s">
        <v>924</v>
      </c>
      <c r="B787" s="117" t="s">
        <v>48</v>
      </c>
      <c r="C787" s="291" t="str">
        <v>HDFC Bank Ltd</v>
      </c>
      <c r="D787" s="292">
        <v>0.0796249292273765</v>
      </c>
      <c r="E787" s="293">
        <f t="shared" si="24"/>
        <v>0.00663541076894804</v>
      </c>
      <c r="F787" s="291" t="str">
        <v>Financials</v>
      </c>
      <c r="G787" s="293">
        <f t="shared" si="25"/>
        <v>0.00663541076894804</v>
      </c>
      <c r="H787" s="291"/>
      <c r="J787" s="36"/>
      <c r="X787" s="291"/>
      <c r="Z787" s="290" t="s">
        <v>924</v>
      </c>
    </row>
    <row r="788" spans="1:26">
      <c r="A788" s="294" t="s">
        <v>931</v>
      </c>
      <c r="B788" s="117" t="s">
        <v>48</v>
      </c>
      <c r="C788" s="291" t="str">
        <v>Hindalco Industries Ltd</v>
      </c>
      <c r="D788" s="295">
        <v>0.0137231966816482</v>
      </c>
      <c r="E788" s="293">
        <f t="shared" si="24"/>
        <v>0.00114359972347068</v>
      </c>
      <c r="F788" s="291" t="str">
        <v>Materials</v>
      </c>
      <c r="G788" s="293">
        <f t="shared" si="25"/>
        <v>0.00114359972347068</v>
      </c>
      <c r="H788" s="291"/>
      <c r="J788" s="36"/>
      <c r="X788" s="291"/>
      <c r="Z788" s="294" t="s">
        <v>931</v>
      </c>
    </row>
    <row r="789" spans="1:26">
      <c r="A789" s="290" t="s">
        <v>934</v>
      </c>
      <c r="B789" s="117" t="s">
        <v>48</v>
      </c>
      <c r="C789" s="291" t="str">
        <v>Hindustan Unilever Ltd</v>
      </c>
      <c r="D789" s="292">
        <v>0.0151204697428332</v>
      </c>
      <c r="E789" s="293">
        <f t="shared" si="24"/>
        <v>0.0012600391452361</v>
      </c>
      <c r="F789" s="291" t="str">
        <v>Consumer Staples</v>
      </c>
      <c r="G789" s="293">
        <f t="shared" si="25"/>
        <v>0.0012600391452361</v>
      </c>
      <c r="H789" s="291"/>
      <c r="J789" s="36"/>
      <c r="X789" s="291"/>
      <c r="Z789" s="290" t="s">
        <v>934</v>
      </c>
    </row>
    <row r="790" spans="1:26">
      <c r="A790" s="294" t="s">
        <v>1179</v>
      </c>
      <c r="B790" s="117" t="s">
        <v>48</v>
      </c>
      <c r="C790" s="291" t="str">
        <v>Honeywell Automation India Ltd</v>
      </c>
      <c r="D790" s="295">
        <v>0.00716511274383171</v>
      </c>
      <c r="E790" s="293">
        <f t="shared" si="24"/>
        <v>0.000597092728652642</v>
      </c>
      <c r="F790" s="291" t="str">
        <v>Information Technology</v>
      </c>
      <c r="G790" s="293">
        <f t="shared" si="25"/>
        <v>0.000597092728652642</v>
      </c>
      <c r="H790" s="291"/>
      <c r="J790" s="36"/>
      <c r="X790" s="291"/>
      <c r="Z790" s="294" t="s">
        <v>1179</v>
      </c>
    </row>
    <row r="791" spans="1:26">
      <c r="A791" s="290" t="s">
        <v>936</v>
      </c>
      <c r="B791" s="117" t="s">
        <v>48</v>
      </c>
      <c r="C791" s="291" t="str">
        <v>ICICI Bank Ltd</v>
      </c>
      <c r="D791" s="292">
        <v>0.025959784066474</v>
      </c>
      <c r="E791" s="293">
        <f t="shared" si="24"/>
        <v>0.00216331533887283</v>
      </c>
      <c r="F791" s="291" t="str">
        <v>Financials</v>
      </c>
      <c r="G791" s="293">
        <f t="shared" si="25"/>
        <v>0.00216331533887283</v>
      </c>
      <c r="H791" s="291"/>
      <c r="J791" s="36"/>
      <c r="X791" s="291"/>
      <c r="Z791" s="290" t="s">
        <v>936</v>
      </c>
    </row>
    <row r="792" spans="1:26">
      <c r="A792" s="294" t="s">
        <v>952</v>
      </c>
      <c r="B792" s="117" t="s">
        <v>48</v>
      </c>
      <c r="C792" s="291" t="str">
        <v>Indus Towers Ltd</v>
      </c>
      <c r="D792" s="295">
        <v>0.011565851935211</v>
      </c>
      <c r="E792" s="293">
        <f t="shared" si="24"/>
        <v>0.000963820994600917</v>
      </c>
      <c r="F792" s="291" t="str">
        <v>Communication Services</v>
      </c>
      <c r="G792" s="293">
        <f t="shared" si="25"/>
        <v>0.000963820994600917</v>
      </c>
      <c r="H792" s="291"/>
      <c r="J792" s="36"/>
      <c r="X792" s="291"/>
      <c r="Z792" s="294" t="s">
        <v>952</v>
      </c>
    </row>
    <row r="793" spans="1:26">
      <c r="A793" s="290" t="s">
        <v>955</v>
      </c>
      <c r="B793" s="117" t="s">
        <v>48</v>
      </c>
      <c r="C793" s="291" t="str">
        <v>Infosys Ltd</v>
      </c>
      <c r="D793" s="292">
        <v>0.0171949463746141</v>
      </c>
      <c r="E793" s="293">
        <f t="shared" si="24"/>
        <v>0.00143291219788451</v>
      </c>
      <c r="F793" s="291" t="str">
        <v>Information Technology</v>
      </c>
      <c r="G793" s="293">
        <f t="shared" si="25"/>
        <v>0.00143291219788451</v>
      </c>
      <c r="H793" s="291"/>
      <c r="J793" s="36"/>
      <c r="X793" s="291"/>
      <c r="Z793" s="290" t="s">
        <v>955</v>
      </c>
    </row>
    <row r="794" spans="1:26">
      <c r="A794" s="290" t="s">
        <v>1506</v>
      </c>
      <c r="B794" s="117" t="s">
        <v>48</v>
      </c>
      <c r="C794" s="291" t="str">
        <v>Ingersoll Rand India Ltd</v>
      </c>
      <c r="D794" s="292">
        <v>0.00714525858109823</v>
      </c>
      <c r="E794" s="293">
        <f t="shared" si="24"/>
        <v>0.000595438215091519</v>
      </c>
      <c r="F794" s="291" t="str">
        <v>Industrials</v>
      </c>
      <c r="G794" s="293">
        <f t="shared" si="25"/>
        <v>0.000595438215091519</v>
      </c>
      <c r="H794" s="291"/>
      <c r="J794" s="36"/>
      <c r="X794" s="291"/>
      <c r="Z794" s="290" t="s">
        <v>1506</v>
      </c>
    </row>
    <row r="795" spans="1:26">
      <c r="A795" s="294">
        <v>0</v>
      </c>
      <c r="B795" s="117" t="s">
        <v>48</v>
      </c>
      <c r="C795" s="291" t="str">
        <v>#N/A Invalid Security</v>
      </c>
      <c r="D795" s="295">
        <v>0</v>
      </c>
      <c r="E795" s="293">
        <f t="shared" si="24"/>
        <v>0</v>
      </c>
      <c r="F795" s="291" t="str">
        <v>#N/A Invalid Security</v>
      </c>
      <c r="G795" s="293">
        <f t="shared" si="25"/>
        <v>0</v>
      </c>
      <c r="H795" s="291"/>
      <c r="J795" s="36"/>
      <c r="X795" s="291"/>
      <c r="Z795" s="294">
        <v>0</v>
      </c>
    </row>
    <row r="796" spans="1:26">
      <c r="A796" s="290" t="s">
        <v>1347</v>
      </c>
      <c r="B796" s="117" t="s">
        <v>48</v>
      </c>
      <c r="C796" s="291" t="str">
        <v>Jindal Steel &amp; Power Ltd</v>
      </c>
      <c r="D796" s="292">
        <v>0.019787241520714</v>
      </c>
      <c r="E796" s="293">
        <f t="shared" si="24"/>
        <v>0.00164893679339283</v>
      </c>
      <c r="F796" s="291" t="str">
        <v>Materials</v>
      </c>
      <c r="G796" s="293">
        <f t="shared" si="25"/>
        <v>0.00164893679339283</v>
      </c>
      <c r="H796" s="291"/>
      <c r="J796" s="36"/>
      <c r="X796" s="291"/>
      <c r="Z796" s="290" t="s">
        <v>1347</v>
      </c>
    </row>
    <row r="797" spans="1:26">
      <c r="A797" s="294" t="s">
        <v>1350</v>
      </c>
      <c r="B797" s="117" t="s">
        <v>48</v>
      </c>
      <c r="C797" s="291" t="str">
        <v>Jubilant Foodworks Ltd</v>
      </c>
      <c r="D797" s="295">
        <v>0.0149682365032183</v>
      </c>
      <c r="E797" s="293">
        <f t="shared" si="24"/>
        <v>0.00124735304193486</v>
      </c>
      <c r="F797" s="291" t="str">
        <v>Consumer Discretionary</v>
      </c>
      <c r="G797" s="293">
        <f t="shared" si="25"/>
        <v>0.00124735304193486</v>
      </c>
      <c r="H797" s="291"/>
      <c r="J797" s="36"/>
      <c r="X797" s="291"/>
      <c r="Z797" s="294" t="s">
        <v>1350</v>
      </c>
    </row>
    <row r="798" spans="1:26">
      <c r="A798" s="290" t="s">
        <v>948</v>
      </c>
      <c r="B798" s="117" t="s">
        <v>48</v>
      </c>
      <c r="C798" s="291" t="str">
        <v>Kajaria Ceramics Ltd</v>
      </c>
      <c r="D798" s="292">
        <v>0.00705885803875723</v>
      </c>
      <c r="E798" s="293">
        <f t="shared" si="24"/>
        <v>0.000588238169896436</v>
      </c>
      <c r="F798" s="291" t="str">
        <v>Industrials</v>
      </c>
      <c r="G798" s="293">
        <f t="shared" si="25"/>
        <v>0.000588238169896436</v>
      </c>
      <c r="H798" s="291"/>
      <c r="J798" s="36"/>
      <c r="X798" s="291"/>
      <c r="Z798" s="290" t="s">
        <v>948</v>
      </c>
    </row>
    <row r="799" spans="1:26">
      <c r="A799" s="294" t="s">
        <v>972</v>
      </c>
      <c r="B799" s="117" t="s">
        <v>48</v>
      </c>
      <c r="C799" s="291" t="str">
        <v>Kotak Mahindra Bank Ltd</v>
      </c>
      <c r="D799" s="295">
        <v>0.0278858477581902</v>
      </c>
      <c r="E799" s="293">
        <f t="shared" si="24"/>
        <v>0.00232382064651585</v>
      </c>
      <c r="F799" s="291" t="str">
        <v>Financials</v>
      </c>
      <c r="G799" s="293">
        <f t="shared" si="25"/>
        <v>0.00232382064651585</v>
      </c>
      <c r="H799" s="291"/>
      <c r="J799" s="36"/>
      <c r="X799" s="291"/>
      <c r="Z799" s="294" t="s">
        <v>972</v>
      </c>
    </row>
    <row r="800" spans="1:26">
      <c r="A800" s="290" t="s">
        <v>975</v>
      </c>
      <c r="B800" s="117" t="s">
        <v>48</v>
      </c>
      <c r="C800" s="291" t="str">
        <v>Larsen &amp; Toubro Ltd</v>
      </c>
      <c r="D800" s="292">
        <v>0.0128129608358153</v>
      </c>
      <c r="E800" s="293">
        <f t="shared" si="24"/>
        <v>0.00106774673631794</v>
      </c>
      <c r="F800" s="291" t="str">
        <v>Industrials</v>
      </c>
      <c r="G800" s="293">
        <f t="shared" si="25"/>
        <v>0.00106774673631794</v>
      </c>
      <c r="H800" s="291"/>
      <c r="J800" s="36"/>
      <c r="X800" s="291"/>
      <c r="Z800" s="290" t="s">
        <v>975</v>
      </c>
    </row>
    <row r="801" spans="1:26">
      <c r="A801" s="294" t="s">
        <v>1539</v>
      </c>
      <c r="B801" s="117" t="s">
        <v>48</v>
      </c>
      <c r="C801" s="291" t="str">
        <v>Laurus Labs Ltd</v>
      </c>
      <c r="D801" s="295">
        <v>0.0141387667076895</v>
      </c>
      <c r="E801" s="293">
        <f t="shared" si="24"/>
        <v>0.00117823055897412</v>
      </c>
      <c r="F801" s="291" t="str">
        <v>Health Care</v>
      </c>
      <c r="G801" s="293">
        <f t="shared" si="25"/>
        <v>0.00117823055897412</v>
      </c>
      <c r="H801" s="291"/>
      <c r="J801" s="36"/>
      <c r="X801" s="291"/>
      <c r="Z801" s="294" t="s">
        <v>1539</v>
      </c>
    </row>
    <row r="802" spans="1:26">
      <c r="A802" s="290" t="s">
        <v>1541</v>
      </c>
      <c r="B802" s="117" t="s">
        <v>48</v>
      </c>
      <c r="C802" s="291" t="str">
        <v>Lemon Tree Hotels Ltd</v>
      </c>
      <c r="D802" s="292">
        <v>0.00189113523868504</v>
      </c>
      <c r="E802" s="293">
        <f t="shared" si="24"/>
        <v>0.000157594603223753</v>
      </c>
      <c r="F802" s="291" t="str">
        <v>Consumer Discretionary</v>
      </c>
      <c r="G802" s="293">
        <f t="shared" si="25"/>
        <v>0.000157594603223753</v>
      </c>
      <c r="H802" s="291"/>
      <c r="J802" s="36"/>
      <c r="X802" s="291"/>
      <c r="Z802" s="290" t="s">
        <v>1541</v>
      </c>
    </row>
    <row r="803" spans="1:26">
      <c r="A803" s="294" t="s">
        <v>963</v>
      </c>
      <c r="B803" s="117" t="s">
        <v>48</v>
      </c>
      <c r="C803" s="291" t="str">
        <v>LTIMindtree Ltd</v>
      </c>
      <c r="D803" s="295">
        <v>0.0174486274588804</v>
      </c>
      <c r="E803" s="293">
        <f t="shared" si="24"/>
        <v>0.00145405228824003</v>
      </c>
      <c r="F803" s="291" t="str">
        <v>Information Technology</v>
      </c>
      <c r="G803" s="293">
        <f t="shared" si="25"/>
        <v>0.00145405228824003</v>
      </c>
      <c r="H803" s="291"/>
      <c r="J803" s="36"/>
      <c r="X803" s="291"/>
      <c r="Z803" s="294" t="s">
        <v>963</v>
      </c>
    </row>
    <row r="804" spans="1:26">
      <c r="A804" s="290" t="s">
        <v>1543</v>
      </c>
      <c r="B804" s="117" t="s">
        <v>48</v>
      </c>
      <c r="C804" s="291" t="str">
        <v>Manpasand Beverages Ltd</v>
      </c>
      <c r="D804" s="292">
        <v>0</v>
      </c>
      <c r="E804" s="293">
        <f t="shared" si="24"/>
        <v>0</v>
      </c>
      <c r="F804" s="291" t="str">
        <v>Consumer Staples</v>
      </c>
      <c r="G804" s="293">
        <f t="shared" si="25"/>
        <v>0</v>
      </c>
      <c r="H804" s="291"/>
      <c r="J804" s="36"/>
      <c r="X804" s="291"/>
      <c r="Z804" s="290" t="s">
        <v>1543</v>
      </c>
    </row>
    <row r="805" spans="1:26">
      <c r="A805" s="294" t="s">
        <v>1183</v>
      </c>
      <c r="B805" s="117" t="s">
        <v>48</v>
      </c>
      <c r="C805" s="291" t="str">
        <v>Motherson Sumi Wiring India Lt</v>
      </c>
      <c r="D805" s="295">
        <v>0.00333751444228411</v>
      </c>
      <c r="E805" s="293">
        <f t="shared" si="24"/>
        <v>0.000278126203523676</v>
      </c>
      <c r="F805" s="291" t="str">
        <v>Consumer Discretionary</v>
      </c>
      <c r="G805" s="293">
        <f t="shared" si="25"/>
        <v>0.000278126203523676</v>
      </c>
      <c r="H805" s="291"/>
      <c r="J805" s="36"/>
      <c r="X805" s="291"/>
      <c r="Z805" s="294" t="s">
        <v>1183</v>
      </c>
    </row>
    <row r="806" spans="1:26">
      <c r="A806" s="290" t="s">
        <v>1199</v>
      </c>
      <c r="B806" s="117" t="s">
        <v>48</v>
      </c>
      <c r="C806" s="291" t="str">
        <v>MRF Ltd</v>
      </c>
      <c r="D806" s="292">
        <v>0.00317074967078479</v>
      </c>
      <c r="E806" s="293">
        <f t="shared" si="24"/>
        <v>0.000264229139232066</v>
      </c>
      <c r="F806" s="291" t="str">
        <v>Consumer Discretionary</v>
      </c>
      <c r="G806" s="293">
        <f t="shared" si="25"/>
        <v>0.000264229139232066</v>
      </c>
      <c r="H806" s="291"/>
      <c r="J806" s="36"/>
      <c r="X806" s="291"/>
      <c r="Z806" s="290" t="s">
        <v>1199</v>
      </c>
    </row>
    <row r="807" spans="1:26">
      <c r="A807" s="294" t="s">
        <v>1003</v>
      </c>
      <c r="B807" s="117" t="s">
        <v>48</v>
      </c>
      <c r="C807" s="291" t="str">
        <v>Muthoot Finance Ltd</v>
      </c>
      <c r="D807" s="295">
        <v>0.021079714229479</v>
      </c>
      <c r="E807" s="293">
        <f t="shared" si="24"/>
        <v>0.00175664285245658</v>
      </c>
      <c r="F807" s="291" t="str">
        <v>Financials</v>
      </c>
      <c r="G807" s="293">
        <f t="shared" si="25"/>
        <v>0.00175664285245658</v>
      </c>
      <c r="H807" s="291"/>
      <c r="J807" s="36"/>
      <c r="X807" s="291"/>
      <c r="Z807" s="294" t="s">
        <v>1003</v>
      </c>
    </row>
    <row r="808" spans="1:26">
      <c r="A808" s="290" t="s">
        <v>984</v>
      </c>
      <c r="B808" s="117" t="s">
        <v>48</v>
      </c>
      <c r="C808" s="291" t="str">
        <v>National Aluminium Co Ltd</v>
      </c>
      <c r="D808" s="292">
        <v>0.0081992024611917</v>
      </c>
      <c r="E808" s="293">
        <f t="shared" si="24"/>
        <v>0.000683266871765975</v>
      </c>
      <c r="F808" s="291" t="str">
        <v>Materials</v>
      </c>
      <c r="G808" s="293">
        <f t="shared" si="25"/>
        <v>0.000683266871765975</v>
      </c>
      <c r="H808" s="291"/>
      <c r="J808" s="36"/>
      <c r="X808" s="291"/>
      <c r="Z808" s="290" t="s">
        <v>984</v>
      </c>
    </row>
    <row r="809" spans="1:26">
      <c r="A809" s="294" t="s">
        <v>1508</v>
      </c>
      <c r="B809" s="117" t="s">
        <v>48</v>
      </c>
      <c r="C809" s="291" t="str">
        <v>Neogen Chemicals Ltd</v>
      </c>
      <c r="D809" s="295">
        <v>0.00432250101589532</v>
      </c>
      <c r="E809" s="293">
        <f t="shared" si="24"/>
        <v>0.000360208417991277</v>
      </c>
      <c r="F809" s="291" t="str">
        <v>Materials</v>
      </c>
      <c r="G809" s="293">
        <f t="shared" si="25"/>
        <v>0.000360208417991277</v>
      </c>
      <c r="H809" s="291"/>
      <c r="J809" s="36"/>
      <c r="X809" s="291"/>
      <c r="Z809" s="294" t="s">
        <v>1508</v>
      </c>
    </row>
    <row r="810" spans="1:26">
      <c r="A810" s="290" t="s">
        <v>1546</v>
      </c>
      <c r="B810" s="117" t="s">
        <v>48</v>
      </c>
      <c r="C810" s="291" t="str">
        <v>#N/A Invalid Security</v>
      </c>
      <c r="D810" s="292">
        <v>0</v>
      </c>
      <c r="E810" s="293">
        <f t="shared" si="24"/>
        <v>0</v>
      </c>
      <c r="F810" s="291" t="str">
        <v>#N/A Invalid Security</v>
      </c>
      <c r="G810" s="293">
        <f t="shared" si="25"/>
        <v>0</v>
      </c>
      <c r="H810" s="291"/>
      <c r="J810" s="36"/>
      <c r="X810" s="291"/>
      <c r="Z810" s="290" t="s">
        <v>1546</v>
      </c>
    </row>
    <row r="811" spans="1:26">
      <c r="A811" s="294" t="s">
        <v>1206</v>
      </c>
      <c r="B811" s="117" t="s">
        <v>48</v>
      </c>
      <c r="C811" s="291" t="str">
        <v>Nuvoco Vistas Corp Ltd</v>
      </c>
      <c r="D811" s="295">
        <v>0.00723582426949523</v>
      </c>
      <c r="E811" s="293">
        <f t="shared" si="24"/>
        <v>0.000602985355791269</v>
      </c>
      <c r="F811" s="291" t="str">
        <v>Materials</v>
      </c>
      <c r="G811" s="293">
        <f t="shared" si="25"/>
        <v>0.000602985355791269</v>
      </c>
      <c r="H811" s="291"/>
      <c r="J811" s="36"/>
      <c r="X811" s="291"/>
      <c r="Z811" s="294" t="s">
        <v>1206</v>
      </c>
    </row>
    <row r="812" spans="1:26">
      <c r="A812" s="290" t="s">
        <v>1547</v>
      </c>
      <c r="B812" s="117" t="s">
        <v>48</v>
      </c>
      <c r="C812" s="291" t="str">
        <v>Padmini Technologies Ltd</v>
      </c>
      <c r="D812" s="292">
        <v>0</v>
      </c>
      <c r="E812" s="293">
        <f t="shared" si="24"/>
        <v>0</v>
      </c>
      <c r="F812" s="291" t="str">
        <v>#N/A N/A</v>
      </c>
      <c r="G812" s="293">
        <f t="shared" si="25"/>
        <v>0</v>
      </c>
      <c r="H812" s="291"/>
      <c r="J812" s="36"/>
      <c r="X812" s="291"/>
      <c r="Z812" s="290" t="s">
        <v>1547</v>
      </c>
    </row>
    <row r="813" spans="1:26">
      <c r="A813" s="294" t="s">
        <v>1008</v>
      </c>
      <c r="B813" s="117" t="s">
        <v>48</v>
      </c>
      <c r="C813" s="291" t="str">
        <v>Page Industries Ltd</v>
      </c>
      <c r="D813" s="295">
        <v>0.0177731670034083</v>
      </c>
      <c r="E813" s="293">
        <f t="shared" si="24"/>
        <v>0.00148109725028402</v>
      </c>
      <c r="F813" s="291" t="str">
        <v>Consumer Discretionary</v>
      </c>
      <c r="G813" s="293">
        <f t="shared" si="25"/>
        <v>0.00148109725028402</v>
      </c>
      <c r="H813" s="291"/>
      <c r="J813" s="36"/>
      <c r="X813" s="291"/>
      <c r="Z813" s="294" t="s">
        <v>1008</v>
      </c>
    </row>
    <row r="814" spans="1:26">
      <c r="A814" s="290" t="s">
        <v>1028</v>
      </c>
      <c r="B814" s="117" t="s">
        <v>48</v>
      </c>
      <c r="C814" s="291" t="str">
        <v>Punjab National Bank</v>
      </c>
      <c r="D814" s="292">
        <v>0.00733118482365433</v>
      </c>
      <c r="E814" s="293">
        <f t="shared" si="24"/>
        <v>0.000610932068637861</v>
      </c>
      <c r="F814" s="291" t="str">
        <v>Financials</v>
      </c>
      <c r="G814" s="293">
        <f t="shared" si="25"/>
        <v>0.000610932068637861</v>
      </c>
      <c r="H814" s="291"/>
      <c r="J814" s="36"/>
      <c r="X814" s="291"/>
      <c r="Z814" s="290" t="s">
        <v>1028</v>
      </c>
    </row>
    <row r="815" spans="1:26">
      <c r="A815" s="294" t="s">
        <v>1549</v>
      </c>
      <c r="B815" s="117" t="s">
        <v>48</v>
      </c>
      <c r="C815" s="291" t="str">
        <v>Relaxo Footwears Ltd</v>
      </c>
      <c r="D815" s="295">
        <v>0.00551107297182059</v>
      </c>
      <c r="E815" s="293">
        <f t="shared" si="24"/>
        <v>0.000459256080985049</v>
      </c>
      <c r="F815" s="291" t="str">
        <v>Consumer Discretionary</v>
      </c>
      <c r="G815" s="293">
        <f t="shared" si="25"/>
        <v>0.000459256080985049</v>
      </c>
      <c r="H815" s="291"/>
      <c r="J815" s="36"/>
      <c r="X815" s="291"/>
      <c r="Z815" s="294" t="s">
        <v>1549</v>
      </c>
    </row>
    <row r="816" spans="1:26">
      <c r="A816" s="290" t="s">
        <v>1034</v>
      </c>
      <c r="B816" s="117" t="s">
        <v>48</v>
      </c>
      <c r="C816" s="291" t="str">
        <v>Reliance Industries Ltd</v>
      </c>
      <c r="D816" s="292">
        <v>0.0316824578528676</v>
      </c>
      <c r="E816" s="293">
        <f t="shared" si="24"/>
        <v>0.0026402048210723</v>
      </c>
      <c r="F816" s="291" t="str">
        <v>Energy</v>
      </c>
      <c r="G816" s="293">
        <f t="shared" si="25"/>
        <v>0.0026402048210723</v>
      </c>
      <c r="H816" s="291"/>
      <c r="J816" s="36"/>
      <c r="X816" s="291"/>
      <c r="Z816" s="290" t="s">
        <v>1034</v>
      </c>
    </row>
    <row r="817" spans="1:26">
      <c r="A817" s="294" t="s">
        <v>1415</v>
      </c>
      <c r="B817" s="117" t="s">
        <v>48</v>
      </c>
      <c r="C817" s="291" t="str">
        <v>Sheela Foam Ltd</v>
      </c>
      <c r="D817" s="295">
        <v>0.00286044479027984</v>
      </c>
      <c r="E817" s="293">
        <f t="shared" si="24"/>
        <v>0.000238370399189987</v>
      </c>
      <c r="F817" s="291" t="str">
        <v>Consumer Discretionary</v>
      </c>
      <c r="G817" s="293">
        <f t="shared" si="25"/>
        <v>0.000238370399189987</v>
      </c>
      <c r="H817" s="291"/>
      <c r="J817" s="36"/>
      <c r="X817" s="291"/>
      <c r="Z817" s="294" t="s">
        <v>1415</v>
      </c>
    </row>
    <row r="818" spans="1:26">
      <c r="A818" s="290" t="s">
        <v>1025</v>
      </c>
      <c r="B818" s="117" t="s">
        <v>48</v>
      </c>
      <c r="C818" s="291" t="str">
        <v>Shree Cement Ltd</v>
      </c>
      <c r="D818" s="292">
        <v>0.0267927742950263</v>
      </c>
      <c r="E818" s="293">
        <f t="shared" si="24"/>
        <v>0.00223273119125219</v>
      </c>
      <c r="F818" s="291" t="str">
        <v>Materials</v>
      </c>
      <c r="G818" s="293">
        <f t="shared" si="25"/>
        <v>0.00223273119125219</v>
      </c>
      <c r="H818" s="291"/>
      <c r="J818" s="36"/>
      <c r="X818" s="291"/>
      <c r="Z818" s="290" t="s">
        <v>1025</v>
      </c>
    </row>
    <row r="819" spans="1:26">
      <c r="A819" s="294" t="s">
        <v>1041</v>
      </c>
      <c r="B819" s="117" t="s">
        <v>48</v>
      </c>
      <c r="C819" s="291" t="str">
        <v>State Bank of India</v>
      </c>
      <c r="D819" s="295">
        <v>0.0274687484128627</v>
      </c>
      <c r="E819" s="293">
        <f t="shared" si="24"/>
        <v>0.00228906236773856</v>
      </c>
      <c r="F819" s="291" t="str">
        <v>Financials</v>
      </c>
      <c r="G819" s="293">
        <f t="shared" si="25"/>
        <v>0.00228906236773856</v>
      </c>
      <c r="H819" s="291"/>
      <c r="J819" s="36"/>
      <c r="X819" s="291"/>
      <c r="Z819" s="294" t="s">
        <v>1041</v>
      </c>
    </row>
    <row r="820" spans="1:26">
      <c r="A820" s="290" t="s">
        <v>1423</v>
      </c>
      <c r="B820" s="117" t="s">
        <v>48</v>
      </c>
      <c r="C820" s="291" t="str">
        <v>Steel Authority of India Ltd</v>
      </c>
      <c r="D820" s="292">
        <v>0.00962116653218603</v>
      </c>
      <c r="E820" s="293">
        <f t="shared" si="24"/>
        <v>0.000801763877682169</v>
      </c>
      <c r="F820" s="291" t="str">
        <v>Materials</v>
      </c>
      <c r="G820" s="293">
        <f t="shared" si="25"/>
        <v>0.000801763877682169</v>
      </c>
      <c r="H820" s="291"/>
      <c r="J820" s="36"/>
      <c r="X820" s="291"/>
      <c r="Z820" s="290" t="s">
        <v>1423</v>
      </c>
    </row>
    <row r="821" spans="1:26">
      <c r="A821" s="294" t="s">
        <v>1551</v>
      </c>
      <c r="B821" s="117" t="s">
        <v>48</v>
      </c>
      <c r="C821" s="291" t="str">
        <v>Sundram Fasteners Ltd</v>
      </c>
      <c r="D821" s="295">
        <v>0.00960309657528647</v>
      </c>
      <c r="E821" s="293">
        <f t="shared" si="24"/>
        <v>0.000800258047940539</v>
      </c>
      <c r="F821" s="291" t="str">
        <v>Consumer Discretionary</v>
      </c>
      <c r="G821" s="293">
        <f t="shared" si="25"/>
        <v>0.000800258047940539</v>
      </c>
      <c r="H821" s="291"/>
      <c r="J821" s="36"/>
      <c r="X821" s="291"/>
      <c r="Z821" s="294" t="s">
        <v>1551</v>
      </c>
    </row>
    <row r="822" spans="1:26">
      <c r="A822" s="290" t="s">
        <v>1056</v>
      </c>
      <c r="B822" s="117" t="s">
        <v>48</v>
      </c>
      <c r="C822" s="291" t="str">
        <v>Tata Steel Ltd</v>
      </c>
      <c r="D822" s="292">
        <v>0.00520970111514634</v>
      </c>
      <c r="E822" s="293">
        <f t="shared" si="24"/>
        <v>0.000434141759595528</v>
      </c>
      <c r="F822" s="291" t="str">
        <v>Materials</v>
      </c>
      <c r="G822" s="293">
        <f t="shared" si="25"/>
        <v>0.000434141759595528</v>
      </c>
      <c r="H822" s="291"/>
      <c r="J822" s="36"/>
      <c r="X822" s="291"/>
      <c r="Z822" s="290" t="s">
        <v>1056</v>
      </c>
    </row>
    <row r="823" spans="1:26">
      <c r="A823" s="294" t="s">
        <v>1553</v>
      </c>
      <c r="B823" s="117" t="s">
        <v>48</v>
      </c>
      <c r="C823" s="291" t="str">
        <v>Tega Industries Ltd</v>
      </c>
      <c r="D823" s="295">
        <v>0.00657272941898105</v>
      </c>
      <c r="E823" s="293">
        <f t="shared" si="24"/>
        <v>0.000547727451581754</v>
      </c>
      <c r="F823" s="291" t="str">
        <v>Industrials</v>
      </c>
      <c r="G823" s="293">
        <f t="shared" si="25"/>
        <v>0.000547727451581754</v>
      </c>
      <c r="H823" s="291"/>
      <c r="J823" s="36"/>
      <c r="X823" s="291"/>
      <c r="Z823" s="294" t="s">
        <v>1553</v>
      </c>
    </row>
    <row r="824" spans="1:26">
      <c r="A824" s="290" t="s">
        <v>1520</v>
      </c>
      <c r="B824" s="117" t="s">
        <v>48</v>
      </c>
      <c r="C824" s="291" t="str">
        <v>Ramco Cements Ltd/The</v>
      </c>
      <c r="D824" s="292">
        <v>0.00654724376287595</v>
      </c>
      <c r="E824" s="293">
        <f t="shared" si="24"/>
        <v>0.000545603646906329</v>
      </c>
      <c r="F824" s="291" t="str">
        <v>Materials</v>
      </c>
      <c r="G824" s="293">
        <f t="shared" si="25"/>
        <v>0.000545603646906329</v>
      </c>
      <c r="H824" s="291"/>
      <c r="J824" s="36"/>
      <c r="X824" s="291"/>
      <c r="Z824" s="290" t="s">
        <v>1520</v>
      </c>
    </row>
    <row r="825" spans="1:26">
      <c r="A825" s="294" t="s">
        <v>1421</v>
      </c>
      <c r="B825" s="117" t="s">
        <v>48</v>
      </c>
      <c r="C825" s="291" t="str">
        <v>Timken India Ltd</v>
      </c>
      <c r="D825" s="295">
        <v>0.00557327128679081</v>
      </c>
      <c r="E825" s="293">
        <f t="shared" si="24"/>
        <v>0.000464439273899234</v>
      </c>
      <c r="F825" s="291" t="str">
        <v>Industrials</v>
      </c>
      <c r="G825" s="293">
        <f t="shared" si="25"/>
        <v>0.000464439273899234</v>
      </c>
      <c r="H825" s="291"/>
      <c r="J825" s="36"/>
      <c r="X825" s="291"/>
      <c r="Z825" s="294" t="s">
        <v>1421</v>
      </c>
    </row>
    <row r="826" spans="1:26">
      <c r="A826" s="290" t="s">
        <v>1084</v>
      </c>
      <c r="B826" s="117" t="s">
        <v>48</v>
      </c>
      <c r="C826" s="291" t="str">
        <v>Torrent Power Ltd</v>
      </c>
      <c r="D826" s="292">
        <v>0.0156033538067904</v>
      </c>
      <c r="E826" s="293">
        <f t="shared" si="24"/>
        <v>0.0013002794838992</v>
      </c>
      <c r="F826" s="291" t="str">
        <v>Utilities</v>
      </c>
      <c r="G826" s="293">
        <f t="shared" si="25"/>
        <v>0.0013002794838992</v>
      </c>
      <c r="H826" s="291"/>
      <c r="J826" s="36"/>
      <c r="X826" s="291"/>
      <c r="Z826" s="290" t="s">
        <v>1084</v>
      </c>
    </row>
    <row r="827" spans="1:26">
      <c r="A827" s="294" t="s">
        <v>1239</v>
      </c>
      <c r="B827" s="117" t="s">
        <v>48</v>
      </c>
      <c r="C827" s="291" t="str">
        <v>Tube Investments of India Ltd</v>
      </c>
      <c r="D827" s="295">
        <v>0.0040668378138875</v>
      </c>
      <c r="E827" s="293">
        <f t="shared" si="24"/>
        <v>0.000338903151157292</v>
      </c>
      <c r="F827" s="291" t="str">
        <v>Consumer Discretionary</v>
      </c>
      <c r="G827" s="293">
        <f t="shared" si="25"/>
        <v>0.000338903151157292</v>
      </c>
      <c r="H827" s="291"/>
      <c r="J827" s="36"/>
      <c r="X827" s="291"/>
      <c r="Z827" s="294" t="s">
        <v>1239</v>
      </c>
    </row>
    <row r="828" spans="1:26">
      <c r="A828" s="290" t="s">
        <v>1090</v>
      </c>
      <c r="B828" s="117" t="s">
        <v>48</v>
      </c>
      <c r="C828" s="291" t="str">
        <v>United Breweries Ltd</v>
      </c>
      <c r="D828" s="292">
        <v>0.0116684062873458</v>
      </c>
      <c r="E828" s="293">
        <f t="shared" ref="E828:E889" si="26">_xlfn.IFNA(D828*VLOOKUP($B828,$AK$1:$AM$34,3,FALSE),0)</f>
        <v>0.00097236719061215</v>
      </c>
      <c r="F828" s="291" t="str">
        <v>Consumer Staples</v>
      </c>
      <c r="G828" s="293">
        <f t="shared" ref="G828:G889" si="27">_xlfn.IFNA(D828*VLOOKUP($B828,$AK$1:$AM$34,3,FALSE),0)</f>
        <v>0.00097236719061215</v>
      </c>
      <c r="H828" s="291"/>
      <c r="J828" s="36"/>
      <c r="X828" s="291"/>
      <c r="Z828" s="290" t="s">
        <v>1090</v>
      </c>
    </row>
    <row r="829" spans="1:26">
      <c r="A829" s="294" t="s">
        <v>1079</v>
      </c>
      <c r="B829" s="117" t="s">
        <v>48</v>
      </c>
      <c r="C829" s="291" t="str">
        <v>UNO Minda Ltd</v>
      </c>
      <c r="D829" s="295">
        <v>0.0109592879223122</v>
      </c>
      <c r="E829" s="293">
        <f t="shared" si="26"/>
        <v>0.000913273993526017</v>
      </c>
      <c r="F829" s="291" t="str">
        <v>Consumer Discretionary</v>
      </c>
      <c r="G829" s="293">
        <f t="shared" si="27"/>
        <v>0.000913273993526017</v>
      </c>
      <c r="H829" s="291"/>
      <c r="J829" s="36"/>
      <c r="X829" s="291"/>
      <c r="Z829" s="294" t="s">
        <v>1079</v>
      </c>
    </row>
    <row r="830" spans="1:26">
      <c r="A830" s="290" t="s">
        <v>1287</v>
      </c>
      <c r="B830" s="117" t="s">
        <v>48</v>
      </c>
      <c r="C830" s="291" t="str">
        <v>Wipro Ltd</v>
      </c>
      <c r="D830" s="292">
        <v>0.00297827434328533</v>
      </c>
      <c r="E830" s="293">
        <f t="shared" si="26"/>
        <v>0.000248189528607111</v>
      </c>
      <c r="F830" s="291" t="str">
        <v>Information Technology</v>
      </c>
      <c r="G830" s="293">
        <f t="shared" si="27"/>
        <v>0.000248189528607111</v>
      </c>
      <c r="H830" s="291"/>
      <c r="J830" s="36"/>
      <c r="X830" s="291"/>
      <c r="Z830" s="290" t="s">
        <v>1287</v>
      </c>
    </row>
    <row r="831" spans="1:26">
      <c r="A831" s="294" t="s">
        <v>1106</v>
      </c>
      <c r="B831" s="117" t="s">
        <v>48</v>
      </c>
      <c r="C831" s="291" t="str">
        <v>ZF Commercial Vehicle Control</v>
      </c>
      <c r="D831" s="295">
        <v>0.0114295476054949</v>
      </c>
      <c r="E831" s="293">
        <f t="shared" si="26"/>
        <v>0.000952462300457908</v>
      </c>
      <c r="F831" s="291" t="str">
        <v>Consumer Discretionary</v>
      </c>
      <c r="G831" s="293">
        <f t="shared" si="27"/>
        <v>0.000952462300457908</v>
      </c>
      <c r="H831" s="291"/>
      <c r="J831" s="36"/>
      <c r="X831" s="291"/>
      <c r="Z831" s="294" t="s">
        <v>1106</v>
      </c>
    </row>
    <row r="832" spans="1:26">
      <c r="A832" s="294" t="s">
        <v>810</v>
      </c>
      <c r="B832" s="127" t="s">
        <v>59</v>
      </c>
      <c r="C832" s="291" t="str">
        <v>3M India Ltd</v>
      </c>
      <c r="D832" s="295">
        <v>0.00772304386921485</v>
      </c>
      <c r="E832" s="293">
        <f t="shared" si="26"/>
        <v>0</v>
      </c>
      <c r="F832" s="291" t="str">
        <v>Industrials</v>
      </c>
      <c r="G832" s="293">
        <f t="shared" si="27"/>
        <v>0</v>
      </c>
      <c r="H832" s="291"/>
      <c r="J832" s="36"/>
      <c r="X832" s="291"/>
      <c r="Z832" s="294" t="s">
        <v>810</v>
      </c>
    </row>
    <row r="833" spans="1:26">
      <c r="A833" s="290" t="s">
        <v>1326</v>
      </c>
      <c r="B833" s="127" t="s">
        <v>59</v>
      </c>
      <c r="C833" s="291" t="str">
        <v>Aavas Financiers Ltd</v>
      </c>
      <c r="D833" s="292">
        <v>0.00835324908903847</v>
      </c>
      <c r="E833" s="293">
        <f t="shared" si="26"/>
        <v>0</v>
      </c>
      <c r="F833" s="291" t="str">
        <v>Financials</v>
      </c>
      <c r="G833" s="293">
        <f t="shared" si="27"/>
        <v>0</v>
      </c>
      <c r="H833" s="291"/>
      <c r="J833" s="36"/>
      <c r="X833" s="291"/>
      <c r="Z833" s="290" t="s">
        <v>1326</v>
      </c>
    </row>
    <row r="834" spans="1:26">
      <c r="A834" s="294" t="s">
        <v>1555</v>
      </c>
      <c r="B834" s="127" t="s">
        <v>59</v>
      </c>
      <c r="C834" s="291" t="str">
        <v>Affle 3i Ltd</v>
      </c>
      <c r="D834" s="295">
        <v>0.000838529447804805</v>
      </c>
      <c r="E834" s="293">
        <f t="shared" si="26"/>
        <v>0</v>
      </c>
      <c r="F834" s="291" t="str">
        <v>Communication Services</v>
      </c>
      <c r="G834" s="293">
        <f t="shared" si="27"/>
        <v>0</v>
      </c>
      <c r="H834" s="291"/>
      <c r="J834" s="36"/>
      <c r="X834" s="291"/>
      <c r="Z834" s="294" t="s">
        <v>1555</v>
      </c>
    </row>
    <row r="835" spans="1:26">
      <c r="A835" s="290" t="s">
        <v>825</v>
      </c>
      <c r="B835" s="127" t="s">
        <v>59</v>
      </c>
      <c r="C835" s="291" t="str">
        <v>Ajanta Pharma Ltd</v>
      </c>
      <c r="D835" s="292">
        <v>0.0139854627227642</v>
      </c>
      <c r="E835" s="293">
        <f t="shared" si="26"/>
        <v>0</v>
      </c>
      <c r="F835" s="291" t="str">
        <v>Health Care</v>
      </c>
      <c r="G835" s="293">
        <f t="shared" si="27"/>
        <v>0</v>
      </c>
      <c r="H835" s="291"/>
      <c r="J835" s="36"/>
      <c r="X835" s="291"/>
      <c r="Z835" s="290" t="s">
        <v>825</v>
      </c>
    </row>
    <row r="836" spans="1:26">
      <c r="A836" s="294" t="s">
        <v>1101</v>
      </c>
      <c r="B836" s="127" t="s">
        <v>59</v>
      </c>
      <c r="C836" s="291" t="str">
        <v>Asian Paints Ltd</v>
      </c>
      <c r="D836" s="295">
        <v>0.011026440323049</v>
      </c>
      <c r="E836" s="293">
        <f t="shared" si="26"/>
        <v>0</v>
      </c>
      <c r="F836" s="291" t="str">
        <v>Materials</v>
      </c>
      <c r="G836" s="293">
        <f t="shared" si="27"/>
        <v>0</v>
      </c>
      <c r="H836" s="291"/>
      <c r="J836" s="36"/>
      <c r="X836" s="291"/>
      <c r="Z836" s="294" t="s">
        <v>1101</v>
      </c>
    </row>
    <row r="837" spans="1:26">
      <c r="A837" s="290" t="s">
        <v>1263</v>
      </c>
      <c r="B837" s="127" t="s">
        <v>59</v>
      </c>
      <c r="C837" s="291" t="str">
        <v>Astral Ltd</v>
      </c>
      <c r="D837" s="292">
        <v>0.0171500062062392</v>
      </c>
      <c r="E837" s="293">
        <f t="shared" si="26"/>
        <v>0</v>
      </c>
      <c r="F837" s="291" t="str">
        <v>Industrials</v>
      </c>
      <c r="G837" s="293">
        <f t="shared" si="27"/>
        <v>0</v>
      </c>
      <c r="H837" s="291"/>
      <c r="J837" s="36"/>
      <c r="X837" s="291"/>
      <c r="Z837" s="290" t="s">
        <v>1263</v>
      </c>
    </row>
    <row r="838" spans="1:26">
      <c r="A838" s="294" t="s">
        <v>836</v>
      </c>
      <c r="B838" s="127" t="s">
        <v>59</v>
      </c>
      <c r="C838" s="291" t="str">
        <v>AU Small Finance Bank Ltd</v>
      </c>
      <c r="D838" s="295">
        <v>0.00801678223757764</v>
      </c>
      <c r="E838" s="293">
        <f t="shared" si="26"/>
        <v>0</v>
      </c>
      <c r="F838" s="291" t="str">
        <v>Financials</v>
      </c>
      <c r="G838" s="293">
        <f t="shared" si="27"/>
        <v>0</v>
      </c>
      <c r="H838" s="291"/>
      <c r="J838" s="36"/>
      <c r="X838" s="291"/>
      <c r="Z838" s="294" t="s">
        <v>836</v>
      </c>
    </row>
    <row r="839" spans="1:26">
      <c r="A839" s="290" t="s">
        <v>840</v>
      </c>
      <c r="B839" s="127" t="s">
        <v>59</v>
      </c>
      <c r="C839" s="291" t="str">
        <v>Avenue Supermarts Ltd</v>
      </c>
      <c r="D839" s="292">
        <v>0.0360857826915546</v>
      </c>
      <c r="E839" s="293">
        <f t="shared" si="26"/>
        <v>0</v>
      </c>
      <c r="F839" s="291" t="str">
        <v>Consumer Staples</v>
      </c>
      <c r="G839" s="293">
        <f t="shared" si="27"/>
        <v>0</v>
      </c>
      <c r="H839" s="291"/>
      <c r="J839" s="36"/>
      <c r="X839" s="291"/>
      <c r="Z839" s="290" t="s">
        <v>840</v>
      </c>
    </row>
    <row r="840" spans="1:26">
      <c r="A840" s="294" t="s">
        <v>842</v>
      </c>
      <c r="B840" s="127" t="s">
        <v>59</v>
      </c>
      <c r="C840" s="291" t="str">
        <v>Bajaj Finance Ltd</v>
      </c>
      <c r="D840" s="295">
        <v>0.0577564585163115</v>
      </c>
      <c r="E840" s="293">
        <f t="shared" si="26"/>
        <v>0</v>
      </c>
      <c r="F840" s="291" t="str">
        <v>Financials</v>
      </c>
      <c r="G840" s="293">
        <f t="shared" si="27"/>
        <v>0</v>
      </c>
      <c r="H840" s="291"/>
      <c r="J840" s="36"/>
      <c r="X840" s="291"/>
      <c r="Z840" s="294" t="s">
        <v>842</v>
      </c>
    </row>
    <row r="841" spans="1:26">
      <c r="A841" s="290" t="s">
        <v>1558</v>
      </c>
      <c r="B841" s="127" t="s">
        <v>59</v>
      </c>
      <c r="C841" s="291" t="str">
        <v>Barbeque Nation Hospitality Lt</v>
      </c>
      <c r="D841" s="292">
        <v>0.00216772593204214</v>
      </c>
      <c r="E841" s="293">
        <f t="shared" si="26"/>
        <v>0</v>
      </c>
      <c r="F841" s="291" t="str">
        <v>Consumer Discretionary</v>
      </c>
      <c r="G841" s="293">
        <f t="shared" si="27"/>
        <v>0</v>
      </c>
      <c r="H841" s="291"/>
      <c r="J841" s="36"/>
      <c r="X841" s="291"/>
      <c r="Z841" s="290" t="s">
        <v>1558</v>
      </c>
    </row>
    <row r="842" spans="1:26">
      <c r="A842" s="294" t="s">
        <v>847</v>
      </c>
      <c r="B842" s="127" t="s">
        <v>59</v>
      </c>
      <c r="C842" s="291" t="str">
        <v>Berger Paints India Ltd</v>
      </c>
      <c r="D842" s="295">
        <v>0.0110646798821368</v>
      </c>
      <c r="E842" s="293">
        <f t="shared" si="26"/>
        <v>0</v>
      </c>
      <c r="F842" s="291" t="str">
        <v>Materials</v>
      </c>
      <c r="G842" s="293">
        <f t="shared" si="27"/>
        <v>0</v>
      </c>
      <c r="H842" s="291"/>
      <c r="J842" s="36"/>
      <c r="X842" s="291"/>
      <c r="Z842" s="294" t="s">
        <v>847</v>
      </c>
    </row>
    <row r="843" spans="1:26">
      <c r="A843" s="290" t="s">
        <v>855</v>
      </c>
      <c r="B843" s="127" t="s">
        <v>59</v>
      </c>
      <c r="C843" s="291" t="str">
        <v>Bharti Airtel Ltd</v>
      </c>
      <c r="D843" s="292">
        <v>0.026267602645866</v>
      </c>
      <c r="E843" s="293">
        <f t="shared" si="26"/>
        <v>0</v>
      </c>
      <c r="F843" s="291" t="str">
        <v>Communication Services</v>
      </c>
      <c r="G843" s="293">
        <f t="shared" si="27"/>
        <v>0</v>
      </c>
      <c r="H843" s="291"/>
      <c r="J843" s="36"/>
      <c r="X843" s="291"/>
      <c r="Z843" s="290" t="s">
        <v>855</v>
      </c>
    </row>
    <row r="844" spans="1:26">
      <c r="A844" s="294" t="s">
        <v>870</v>
      </c>
      <c r="B844" s="127" t="s">
        <v>59</v>
      </c>
      <c r="C844" s="291" t="str">
        <v>CG Power &amp; Industrial Solution</v>
      </c>
      <c r="D844" s="295">
        <v>0.00689945673741281</v>
      </c>
      <c r="E844" s="293">
        <f t="shared" si="26"/>
        <v>0</v>
      </c>
      <c r="F844" s="291" t="str">
        <v>Industrials</v>
      </c>
      <c r="G844" s="293">
        <f t="shared" si="27"/>
        <v>0</v>
      </c>
      <c r="H844" s="291"/>
      <c r="J844" s="36"/>
      <c r="X844" s="291"/>
      <c r="Z844" s="294" t="s">
        <v>870</v>
      </c>
    </row>
    <row r="845" spans="1:26">
      <c r="A845" s="290" t="s">
        <v>1560</v>
      </c>
      <c r="B845" s="127" t="s">
        <v>59</v>
      </c>
      <c r="C845" s="291" t="str">
        <v>Clean Science &amp; Technology Ltd</v>
      </c>
      <c r="D845" s="292">
        <v>0.00565725505543751</v>
      </c>
      <c r="E845" s="293">
        <f t="shared" si="26"/>
        <v>0</v>
      </c>
      <c r="F845" s="291" t="str">
        <v>Materials</v>
      </c>
      <c r="G845" s="293">
        <f t="shared" si="27"/>
        <v>0</v>
      </c>
      <c r="H845" s="291"/>
      <c r="J845" s="36"/>
      <c r="X845" s="291"/>
      <c r="Z845" s="290" t="s">
        <v>1560</v>
      </c>
    </row>
    <row r="846" spans="1:26">
      <c r="A846" s="294" t="s">
        <v>882</v>
      </c>
      <c r="B846" s="127" t="s">
        <v>59</v>
      </c>
      <c r="C846" s="291" t="str">
        <v>Coforge Ltd</v>
      </c>
      <c r="D846" s="295">
        <v>0.031784906832791</v>
      </c>
      <c r="E846" s="293">
        <f t="shared" si="26"/>
        <v>0</v>
      </c>
      <c r="F846" s="291" t="str">
        <v>Information Technology</v>
      </c>
      <c r="G846" s="293">
        <f t="shared" si="27"/>
        <v>0</v>
      </c>
      <c r="H846" s="291"/>
      <c r="J846" s="36"/>
      <c r="X846" s="291"/>
      <c r="Z846" s="294" t="s">
        <v>882</v>
      </c>
    </row>
    <row r="847" spans="1:26">
      <c r="A847" s="290" t="s">
        <v>1562</v>
      </c>
      <c r="B847" s="127" t="s">
        <v>59</v>
      </c>
      <c r="C847" s="291" t="str">
        <v>Cohance Lifesciences Ltd</v>
      </c>
      <c r="D847" s="292">
        <v>0.00687867843087119</v>
      </c>
      <c r="E847" s="293">
        <f t="shared" si="26"/>
        <v>0</v>
      </c>
      <c r="F847" s="291" t="str">
        <v>Health Care</v>
      </c>
      <c r="G847" s="293">
        <f t="shared" si="27"/>
        <v>0</v>
      </c>
      <c r="H847" s="291"/>
      <c r="J847" s="36"/>
      <c r="X847" s="291"/>
      <c r="Z847" s="290" t="s">
        <v>1562</v>
      </c>
    </row>
    <row r="848" spans="1:26">
      <c r="A848" s="294" t="s">
        <v>1112</v>
      </c>
      <c r="B848" s="127" t="s">
        <v>59</v>
      </c>
      <c r="C848" s="291" t="str">
        <v>Divi's Laboratories Ltd</v>
      </c>
      <c r="D848" s="295">
        <v>0.0102249668845496</v>
      </c>
      <c r="E848" s="293">
        <f t="shared" si="26"/>
        <v>0</v>
      </c>
      <c r="F848" s="291" t="str">
        <v>Health Care</v>
      </c>
      <c r="G848" s="293">
        <f t="shared" si="27"/>
        <v>0</v>
      </c>
      <c r="H848" s="291"/>
      <c r="J848" s="36"/>
      <c r="X848" s="291"/>
      <c r="Z848" s="294" t="s">
        <v>1112</v>
      </c>
    </row>
    <row r="849" spans="1:26">
      <c r="A849" s="290" t="s">
        <v>892</v>
      </c>
      <c r="B849" s="127" t="s">
        <v>59</v>
      </c>
      <c r="C849" s="291" t="str">
        <v>Dixon Technologies India Ltd</v>
      </c>
      <c r="D849" s="292">
        <v>0.0322258492053394</v>
      </c>
      <c r="E849" s="293">
        <f t="shared" si="26"/>
        <v>0</v>
      </c>
      <c r="F849" s="291" t="str">
        <v>Consumer Discretionary</v>
      </c>
      <c r="G849" s="293">
        <f t="shared" si="27"/>
        <v>0</v>
      </c>
      <c r="H849" s="291"/>
      <c r="J849" s="36"/>
      <c r="X849" s="291"/>
      <c r="Z849" s="290" t="s">
        <v>892</v>
      </c>
    </row>
    <row r="850" spans="1:26">
      <c r="A850" s="294" t="s">
        <v>911</v>
      </c>
      <c r="B850" s="127" t="s">
        <v>59</v>
      </c>
      <c r="C850" s="291" t="str">
        <v>Dr Lal PathLabs Ltd</v>
      </c>
      <c r="D850" s="295">
        <v>0.0161256088302718</v>
      </c>
      <c r="E850" s="293">
        <f t="shared" si="26"/>
        <v>0</v>
      </c>
      <c r="F850" s="291" t="str">
        <v>Health Care</v>
      </c>
      <c r="G850" s="293">
        <f t="shared" si="27"/>
        <v>0</v>
      </c>
      <c r="H850" s="291"/>
      <c r="J850" s="36"/>
      <c r="X850" s="291"/>
      <c r="Z850" s="294" t="s">
        <v>911</v>
      </c>
    </row>
    <row r="851" spans="1:26">
      <c r="A851" s="290" t="s">
        <v>1128</v>
      </c>
      <c r="B851" s="127" t="s">
        <v>59</v>
      </c>
      <c r="C851" s="291" t="str">
        <v>Eicher Motors Ltd</v>
      </c>
      <c r="D851" s="292">
        <v>0.014939637442728</v>
      </c>
      <c r="E851" s="293">
        <f t="shared" si="26"/>
        <v>0</v>
      </c>
      <c r="F851" s="291" t="str">
        <v>Consumer Discretionary</v>
      </c>
      <c r="G851" s="293">
        <f t="shared" si="27"/>
        <v>0</v>
      </c>
      <c r="H851" s="291"/>
      <c r="J851" s="36"/>
      <c r="X851" s="291"/>
      <c r="Z851" s="290" t="s">
        <v>1128</v>
      </c>
    </row>
    <row r="852" spans="1:26">
      <c r="A852" s="294" t="s">
        <v>1564</v>
      </c>
      <c r="B852" s="127" t="s">
        <v>59</v>
      </c>
      <c r="C852" s="291" t="str">
        <v>Eris Lifesciences Ltd</v>
      </c>
      <c r="D852" s="295">
        <v>0.00941949896553467</v>
      </c>
      <c r="E852" s="293">
        <f t="shared" si="26"/>
        <v>0</v>
      </c>
      <c r="F852" s="291" t="str">
        <v>Health Care</v>
      </c>
      <c r="G852" s="293">
        <f t="shared" si="27"/>
        <v>0</v>
      </c>
      <c r="H852" s="291"/>
      <c r="J852" s="36"/>
      <c r="X852" s="291"/>
      <c r="Z852" s="294" t="s">
        <v>1564</v>
      </c>
    </row>
    <row r="853" spans="1:26">
      <c r="A853" s="290" t="s">
        <v>901</v>
      </c>
      <c r="B853" s="127" t="s">
        <v>59</v>
      </c>
      <c r="C853" s="291" t="str">
        <v>Eternal Ltd</v>
      </c>
      <c r="D853" s="292">
        <v>0.0524011916384108</v>
      </c>
      <c r="E853" s="293">
        <f t="shared" si="26"/>
        <v>0</v>
      </c>
      <c r="F853" s="291" t="str">
        <v>Consumer Discretionary</v>
      </c>
      <c r="G853" s="293">
        <f t="shared" si="27"/>
        <v>0</v>
      </c>
      <c r="H853" s="291"/>
      <c r="J853" s="36"/>
      <c r="X853" s="291"/>
      <c r="Z853" s="290" t="s">
        <v>901</v>
      </c>
    </row>
    <row r="854" spans="1:26">
      <c r="A854" s="294" t="s">
        <v>1170</v>
      </c>
      <c r="B854" s="127" t="s">
        <v>59</v>
      </c>
      <c r="C854" s="291" t="str">
        <v>Gland Pharma Ltd</v>
      </c>
      <c r="D854" s="295">
        <v>0.00633677225402376</v>
      </c>
      <c r="E854" s="293">
        <f t="shared" si="26"/>
        <v>0</v>
      </c>
      <c r="F854" s="291" t="str">
        <v>Health Care</v>
      </c>
      <c r="G854" s="293">
        <f t="shared" si="27"/>
        <v>0</v>
      </c>
      <c r="H854" s="291"/>
      <c r="J854" s="36"/>
      <c r="X854" s="291"/>
      <c r="Z854" s="294" t="s">
        <v>1170</v>
      </c>
    </row>
    <row r="855" spans="1:26">
      <c r="A855" s="290" t="s">
        <v>921</v>
      </c>
      <c r="B855" s="127" t="s">
        <v>59</v>
      </c>
      <c r="C855" s="291" t="str">
        <v>Global Health Ltd/India</v>
      </c>
      <c r="D855" s="292">
        <v>0.0136809633951957</v>
      </c>
      <c r="E855" s="293">
        <f t="shared" si="26"/>
        <v>0</v>
      </c>
      <c r="F855" s="291" t="str">
        <v>Health Care</v>
      </c>
      <c r="G855" s="293">
        <f t="shared" si="27"/>
        <v>0</v>
      </c>
      <c r="H855" s="291"/>
      <c r="J855" s="36"/>
      <c r="X855" s="291"/>
      <c r="Z855" s="290" t="s">
        <v>921</v>
      </c>
    </row>
    <row r="856" spans="1:26">
      <c r="A856" s="294" t="s">
        <v>1504</v>
      </c>
      <c r="B856" s="127" t="s">
        <v>59</v>
      </c>
      <c r="C856" s="291" t="str">
        <v>Grindwell Norton Ltd</v>
      </c>
      <c r="D856" s="295">
        <v>0.00752411017437558</v>
      </c>
      <c r="E856" s="293">
        <f t="shared" si="26"/>
        <v>0</v>
      </c>
      <c r="F856" s="291" t="str">
        <v>Industrials</v>
      </c>
      <c r="G856" s="293">
        <f t="shared" si="27"/>
        <v>0</v>
      </c>
      <c r="H856" s="291"/>
      <c r="J856" s="36"/>
      <c r="X856" s="291"/>
      <c r="Z856" s="294" t="s">
        <v>1504</v>
      </c>
    </row>
    <row r="857" spans="1:26">
      <c r="A857" s="290" t="s">
        <v>1136</v>
      </c>
      <c r="B857" s="127" t="s">
        <v>59</v>
      </c>
      <c r="C857" s="291" t="str">
        <v>Havells India Ltd</v>
      </c>
      <c r="D857" s="292">
        <v>0.0111790715259078</v>
      </c>
      <c r="E857" s="293">
        <f t="shared" si="26"/>
        <v>0</v>
      </c>
      <c r="F857" s="291" t="str">
        <v>Industrials</v>
      </c>
      <c r="G857" s="293">
        <f t="shared" si="27"/>
        <v>0</v>
      </c>
      <c r="H857" s="291"/>
      <c r="J857" s="36"/>
      <c r="X857" s="291"/>
      <c r="Z857" s="290" t="s">
        <v>1136</v>
      </c>
    </row>
    <row r="858" spans="1:26">
      <c r="A858" s="294" t="s">
        <v>924</v>
      </c>
      <c r="B858" s="127" t="s">
        <v>59</v>
      </c>
      <c r="C858" s="291" t="str">
        <v>HDFC Bank Ltd</v>
      </c>
      <c r="D858" s="295">
        <v>0.063683975607257</v>
      </c>
      <c r="E858" s="293">
        <f t="shared" si="26"/>
        <v>0</v>
      </c>
      <c r="F858" s="291" t="str">
        <v>Financials</v>
      </c>
      <c r="G858" s="293">
        <f t="shared" si="27"/>
        <v>0</v>
      </c>
      <c r="H858" s="291"/>
      <c r="J858" s="36"/>
      <c r="X858" s="291"/>
      <c r="Z858" s="294" t="s">
        <v>924</v>
      </c>
    </row>
    <row r="859" spans="1:26">
      <c r="A859" s="290" t="s">
        <v>936</v>
      </c>
      <c r="B859" s="127" t="s">
        <v>59</v>
      </c>
      <c r="C859" s="291" t="str">
        <v>ICICI Bank Ltd</v>
      </c>
      <c r="D859" s="292">
        <v>0.0664989202872447</v>
      </c>
      <c r="E859" s="293">
        <f t="shared" si="26"/>
        <v>0</v>
      </c>
      <c r="F859" s="291" t="str">
        <v>Financials</v>
      </c>
      <c r="G859" s="293">
        <f t="shared" si="27"/>
        <v>0</v>
      </c>
      <c r="H859" s="291"/>
      <c r="J859" s="36"/>
      <c r="X859" s="291"/>
      <c r="Z859" s="290" t="s">
        <v>936</v>
      </c>
    </row>
    <row r="860" spans="1:26">
      <c r="A860" s="294" t="s">
        <v>1184</v>
      </c>
      <c r="B860" s="127" t="s">
        <v>59</v>
      </c>
      <c r="C860" s="291" t="str">
        <v>IndiaMart InterMesh Ltd</v>
      </c>
      <c r="D860" s="295">
        <v>0.00895141281310839</v>
      </c>
      <c r="E860" s="293">
        <f t="shared" si="26"/>
        <v>0</v>
      </c>
      <c r="F860" s="291" t="str">
        <v>Industrials</v>
      </c>
      <c r="G860" s="293">
        <f t="shared" si="27"/>
        <v>0</v>
      </c>
      <c r="H860" s="291"/>
      <c r="J860" s="36"/>
      <c r="X860" s="291"/>
      <c r="Z860" s="294" t="s">
        <v>1184</v>
      </c>
    </row>
    <row r="861" spans="1:26">
      <c r="A861" s="290" t="s">
        <v>1119</v>
      </c>
      <c r="B861" s="127" t="s">
        <v>59</v>
      </c>
      <c r="C861" s="291" t="str">
        <v>Info Edge India Ltd</v>
      </c>
      <c r="D861" s="292">
        <v>0.036889759493574</v>
      </c>
      <c r="E861" s="293">
        <f t="shared" si="26"/>
        <v>0</v>
      </c>
      <c r="F861" s="291" t="str">
        <v>Communication Services</v>
      </c>
      <c r="G861" s="293">
        <f t="shared" si="27"/>
        <v>0</v>
      </c>
      <c r="H861" s="291"/>
      <c r="J861" s="36"/>
      <c r="X861" s="291"/>
      <c r="Z861" s="290" t="s">
        <v>1119</v>
      </c>
    </row>
    <row r="862" spans="1:26">
      <c r="A862" s="294" t="s">
        <v>955</v>
      </c>
      <c r="B862" s="127" t="s">
        <v>59</v>
      </c>
      <c r="C862" s="291" t="str">
        <v>Infosys Ltd</v>
      </c>
      <c r="D862" s="295">
        <v>0.0276650128660816</v>
      </c>
      <c r="E862" s="293">
        <f t="shared" si="26"/>
        <v>0</v>
      </c>
      <c r="F862" s="291" t="str">
        <v>Information Technology</v>
      </c>
      <c r="G862" s="293">
        <f t="shared" si="27"/>
        <v>0</v>
      </c>
      <c r="H862" s="291"/>
      <c r="J862" s="36"/>
      <c r="X862" s="291"/>
      <c r="Z862" s="294" t="s">
        <v>955</v>
      </c>
    </row>
    <row r="863" spans="1:26">
      <c r="A863" s="290" t="s">
        <v>1461</v>
      </c>
      <c r="B863" s="127" t="s">
        <v>59</v>
      </c>
      <c r="C863" s="291" t="str">
        <v>Ipca Laboratories Ltd</v>
      </c>
      <c r="D863" s="292">
        <v>0.00870208481437653</v>
      </c>
      <c r="E863" s="293">
        <f t="shared" si="26"/>
        <v>0</v>
      </c>
      <c r="F863" s="291" t="str">
        <v>Health Care</v>
      </c>
      <c r="G863" s="293">
        <f t="shared" si="27"/>
        <v>0</v>
      </c>
      <c r="H863" s="291"/>
      <c r="J863" s="36"/>
      <c r="X863" s="291"/>
      <c r="Z863" s="290" t="s">
        <v>1461</v>
      </c>
    </row>
    <row r="864" spans="1:26">
      <c r="A864" s="294" t="s">
        <v>1350</v>
      </c>
      <c r="B864" s="127" t="s">
        <v>59</v>
      </c>
      <c r="C864" s="291" t="str">
        <v>Jubilant Foodworks Ltd</v>
      </c>
      <c r="D864" s="295">
        <v>0.00933021882208096</v>
      </c>
      <c r="E864" s="293">
        <f t="shared" si="26"/>
        <v>0</v>
      </c>
      <c r="F864" s="291" t="str">
        <v>Consumer Discretionary</v>
      </c>
      <c r="G864" s="293">
        <f t="shared" si="27"/>
        <v>0</v>
      </c>
      <c r="H864" s="291"/>
      <c r="J864" s="36"/>
      <c r="X864" s="291"/>
      <c r="Z864" s="294" t="s">
        <v>1350</v>
      </c>
    </row>
    <row r="865" spans="1:26">
      <c r="A865" s="290" t="s">
        <v>972</v>
      </c>
      <c r="B865" s="127" t="s">
        <v>59</v>
      </c>
      <c r="C865" s="291" t="str">
        <v>Kotak Mahindra Bank Ltd</v>
      </c>
      <c r="D865" s="292">
        <v>0.0351358165811789</v>
      </c>
      <c r="E865" s="293">
        <f t="shared" si="26"/>
        <v>0</v>
      </c>
      <c r="F865" s="291" t="str">
        <v>Financials</v>
      </c>
      <c r="G865" s="293">
        <f t="shared" si="27"/>
        <v>0</v>
      </c>
      <c r="H865" s="291"/>
      <c r="J865" s="36"/>
      <c r="X865" s="291"/>
      <c r="Z865" s="290" t="s">
        <v>972</v>
      </c>
    </row>
    <row r="866" spans="1:26">
      <c r="A866" s="294" t="s">
        <v>963</v>
      </c>
      <c r="B866" s="127" t="s">
        <v>59</v>
      </c>
      <c r="C866" s="291" t="str">
        <v>LTIMindtree Ltd</v>
      </c>
      <c r="D866" s="295">
        <v>0.0328634087854885</v>
      </c>
      <c r="E866" s="293">
        <f t="shared" si="26"/>
        <v>0</v>
      </c>
      <c r="F866" s="291" t="str">
        <v>Information Technology</v>
      </c>
      <c r="G866" s="293">
        <f t="shared" si="27"/>
        <v>0</v>
      </c>
      <c r="H866" s="291"/>
      <c r="J866" s="36"/>
      <c r="X866" s="291"/>
      <c r="Z866" s="294" t="s">
        <v>963</v>
      </c>
    </row>
    <row r="867" spans="1:26">
      <c r="A867" s="290" t="s">
        <v>987</v>
      </c>
      <c r="B867" s="127" t="s">
        <v>59</v>
      </c>
      <c r="C867" s="291" t="str">
        <v>Marico Ltd</v>
      </c>
      <c r="D867" s="292">
        <v>0.0101100185051902</v>
      </c>
      <c r="E867" s="293">
        <f t="shared" si="26"/>
        <v>0</v>
      </c>
      <c r="F867" s="291" t="str">
        <v>Consumer Staples</v>
      </c>
      <c r="G867" s="293">
        <f t="shared" si="27"/>
        <v>0</v>
      </c>
      <c r="H867" s="291"/>
      <c r="J867" s="36"/>
      <c r="X867" s="291"/>
      <c r="Z867" s="290" t="s">
        <v>987</v>
      </c>
    </row>
    <row r="868" spans="1:26">
      <c r="A868" s="294" t="s">
        <v>990</v>
      </c>
      <c r="B868" s="127" t="s">
        <v>59</v>
      </c>
      <c r="C868" s="291" t="str">
        <v>Maruti Suzuki India Ltd</v>
      </c>
      <c r="D868" s="295">
        <v>0.0251713863789912</v>
      </c>
      <c r="E868" s="293">
        <f t="shared" si="26"/>
        <v>0</v>
      </c>
      <c r="F868" s="291" t="str">
        <v>Consumer Discretionary</v>
      </c>
      <c r="G868" s="293">
        <f t="shared" si="27"/>
        <v>0</v>
      </c>
      <c r="H868" s="291"/>
      <c r="J868" s="36"/>
      <c r="X868" s="291"/>
      <c r="Z868" s="294" t="s">
        <v>990</v>
      </c>
    </row>
    <row r="869" spans="1:26">
      <c r="A869" s="290" t="s">
        <v>1567</v>
      </c>
      <c r="B869" s="127" t="s">
        <v>59</v>
      </c>
      <c r="C869" s="291" t="str">
        <v>Metro Brands Ltd</v>
      </c>
      <c r="D869" s="292">
        <v>0.00610239825106226</v>
      </c>
      <c r="E869" s="293">
        <f t="shared" si="26"/>
        <v>0</v>
      </c>
      <c r="F869" s="291" t="str">
        <v>Consumer Discretionary</v>
      </c>
      <c r="G869" s="293">
        <f t="shared" si="27"/>
        <v>0</v>
      </c>
      <c r="H869" s="291"/>
      <c r="J869" s="36"/>
      <c r="X869" s="291"/>
      <c r="Z869" s="290" t="s">
        <v>1567</v>
      </c>
    </row>
    <row r="870" spans="1:26">
      <c r="A870" s="294" t="s">
        <v>1183</v>
      </c>
      <c r="B870" s="127" t="s">
        <v>59</v>
      </c>
      <c r="C870" s="291" t="str">
        <v>Motherson Sumi Wiring India Lt</v>
      </c>
      <c r="D870" s="295">
        <v>0.00897197699057753</v>
      </c>
      <c r="E870" s="293">
        <f t="shared" si="26"/>
        <v>0</v>
      </c>
      <c r="F870" s="291" t="str">
        <v>Consumer Discretionary</v>
      </c>
      <c r="G870" s="293">
        <f t="shared" si="27"/>
        <v>0</v>
      </c>
      <c r="H870" s="291"/>
      <c r="J870" s="36"/>
      <c r="X870" s="291"/>
      <c r="Z870" s="294" t="s">
        <v>1183</v>
      </c>
    </row>
    <row r="871" spans="1:26">
      <c r="A871" s="290" t="s">
        <v>1569</v>
      </c>
      <c r="B871" s="127" t="s">
        <v>59</v>
      </c>
      <c r="C871" s="291" t="str">
        <v>MTZ Polyfilms Ltd</v>
      </c>
      <c r="D871" s="292">
        <v>0</v>
      </c>
      <c r="E871" s="293">
        <f t="shared" si="26"/>
        <v>0</v>
      </c>
      <c r="F871" s="291" t="str">
        <v>#N/A N/A</v>
      </c>
      <c r="G871" s="293">
        <f t="shared" si="27"/>
        <v>0</v>
      </c>
      <c r="H871" s="291"/>
      <c r="J871" s="36"/>
      <c r="X871" s="291"/>
      <c r="Z871" s="290" t="s">
        <v>1569</v>
      </c>
    </row>
    <row r="872" spans="1:26">
      <c r="A872" s="294" t="s">
        <v>1571</v>
      </c>
      <c r="B872" s="127" t="s">
        <v>59</v>
      </c>
      <c r="C872" s="291" t="str">
        <v>Mukerian Papers</v>
      </c>
      <c r="D872" s="295">
        <v>0</v>
      </c>
      <c r="E872" s="293">
        <f t="shared" si="26"/>
        <v>0</v>
      </c>
      <c r="F872" s="291" t="str">
        <v>#N/A N/A</v>
      </c>
      <c r="G872" s="293">
        <f t="shared" si="27"/>
        <v>0</v>
      </c>
      <c r="H872" s="291"/>
      <c r="J872" s="36"/>
      <c r="X872" s="291"/>
      <c r="Z872" s="294" t="s">
        <v>1571</v>
      </c>
    </row>
    <row r="873" spans="1:26">
      <c r="A873" s="290" t="s">
        <v>989</v>
      </c>
      <c r="B873" s="127" t="s">
        <v>59</v>
      </c>
      <c r="C873" s="291" t="str">
        <v>Nestle India Ltd</v>
      </c>
      <c r="D873" s="292">
        <v>0.0106569859146597</v>
      </c>
      <c r="E873" s="293">
        <f t="shared" si="26"/>
        <v>0</v>
      </c>
      <c r="F873" s="291" t="str">
        <v>Consumer Staples</v>
      </c>
      <c r="G873" s="293">
        <f t="shared" si="27"/>
        <v>0</v>
      </c>
      <c r="H873" s="291"/>
      <c r="J873" s="36"/>
      <c r="X873" s="291"/>
      <c r="Z873" s="290" t="s">
        <v>989</v>
      </c>
    </row>
    <row r="874" spans="1:26">
      <c r="A874" s="294">
        <v>0</v>
      </c>
      <c r="B874" s="127" t="s">
        <v>59</v>
      </c>
      <c r="C874" s="291" t="str">
        <v>#N/A Invalid Security</v>
      </c>
      <c r="D874" s="295">
        <v>0</v>
      </c>
      <c r="E874" s="293">
        <f t="shared" si="26"/>
        <v>0</v>
      </c>
      <c r="F874" s="291" t="str">
        <v>#N/A Invalid Security</v>
      </c>
      <c r="G874" s="293">
        <f t="shared" si="27"/>
        <v>0</v>
      </c>
      <c r="H874" s="291"/>
      <c r="J874" s="36"/>
      <c r="X874" s="291"/>
      <c r="Z874" s="294">
        <v>0</v>
      </c>
    </row>
    <row r="875" spans="1:26">
      <c r="A875" s="290" t="s">
        <v>1008</v>
      </c>
      <c r="B875" s="127" t="s">
        <v>59</v>
      </c>
      <c r="C875" s="291" t="str">
        <v>Page Industries Ltd</v>
      </c>
      <c r="D875" s="292">
        <v>0.00960502428718125</v>
      </c>
      <c r="E875" s="293">
        <f t="shared" si="26"/>
        <v>0</v>
      </c>
      <c r="F875" s="291" t="str">
        <v>Consumer Discretionary</v>
      </c>
      <c r="G875" s="293">
        <f t="shared" si="27"/>
        <v>0</v>
      </c>
      <c r="H875" s="291"/>
      <c r="J875" s="36"/>
      <c r="X875" s="291"/>
      <c r="Z875" s="290" t="s">
        <v>1008</v>
      </c>
    </row>
    <row r="876" spans="1:26">
      <c r="A876" s="294" t="s">
        <v>1005</v>
      </c>
      <c r="B876" s="127" t="s">
        <v>59</v>
      </c>
      <c r="C876" s="291" t="str">
        <v>Persistent Systems Ltd</v>
      </c>
      <c r="D876" s="295">
        <v>0.0264399492964159</v>
      </c>
      <c r="E876" s="293">
        <f t="shared" si="26"/>
        <v>0</v>
      </c>
      <c r="F876" s="291" t="str">
        <v>Information Technology</v>
      </c>
      <c r="G876" s="293">
        <f t="shared" si="27"/>
        <v>0</v>
      </c>
      <c r="H876" s="291"/>
      <c r="J876" s="36"/>
      <c r="X876" s="291"/>
      <c r="Z876" s="294" t="s">
        <v>1005</v>
      </c>
    </row>
    <row r="877" spans="1:26">
      <c r="A877" s="290" t="s">
        <v>1007</v>
      </c>
      <c r="B877" s="127" t="s">
        <v>59</v>
      </c>
      <c r="C877" s="291" t="str">
        <v>PI Industries Ltd</v>
      </c>
      <c r="D877" s="292">
        <v>0.0133499276356639</v>
      </c>
      <c r="E877" s="293">
        <f t="shared" si="26"/>
        <v>0</v>
      </c>
      <c r="F877" s="291" t="str">
        <v>Materials</v>
      </c>
      <c r="G877" s="293">
        <f t="shared" si="27"/>
        <v>0</v>
      </c>
      <c r="H877" s="291"/>
      <c r="J877" s="36"/>
      <c r="X877" s="291"/>
      <c r="Z877" s="290" t="s">
        <v>1007</v>
      </c>
    </row>
    <row r="878" spans="1:26">
      <c r="A878" s="294" t="s">
        <v>1010</v>
      </c>
      <c r="B878" s="127" t="s">
        <v>59</v>
      </c>
      <c r="C878" s="291" t="str">
        <v>Pidilite Industries Ltd</v>
      </c>
      <c r="D878" s="295">
        <v>0.00966452880979361</v>
      </c>
      <c r="E878" s="293">
        <f t="shared" si="26"/>
        <v>0</v>
      </c>
      <c r="F878" s="291" t="str">
        <v>Materials</v>
      </c>
      <c r="G878" s="293">
        <f t="shared" si="27"/>
        <v>0</v>
      </c>
      <c r="H878" s="291"/>
      <c r="J878" s="36"/>
      <c r="X878" s="291"/>
      <c r="Z878" s="294" t="s">
        <v>1010</v>
      </c>
    </row>
    <row r="879" spans="1:26">
      <c r="A879" s="290" t="s">
        <v>1573</v>
      </c>
      <c r="B879" s="127" t="s">
        <v>59</v>
      </c>
      <c r="C879" s="291" t="str">
        <v>Poly Medicure Ltd</v>
      </c>
      <c r="D879" s="292">
        <v>0.0105243699401933</v>
      </c>
      <c r="E879" s="293">
        <f t="shared" si="26"/>
        <v>0</v>
      </c>
      <c r="F879" s="291" t="str">
        <v>Health Care</v>
      </c>
      <c r="G879" s="293">
        <f t="shared" si="27"/>
        <v>0</v>
      </c>
      <c r="H879" s="291"/>
      <c r="J879" s="36"/>
      <c r="X879" s="291"/>
      <c r="Z879" s="290" t="s">
        <v>1573</v>
      </c>
    </row>
    <row r="880" spans="1:26">
      <c r="A880" s="294" t="s">
        <v>1196</v>
      </c>
      <c r="B880" s="127" t="s">
        <v>59</v>
      </c>
      <c r="C880" s="291" t="str">
        <v>Polycab India Ltd</v>
      </c>
      <c r="D880" s="295">
        <v>0.0145260763386651</v>
      </c>
      <c r="E880" s="293">
        <f t="shared" si="26"/>
        <v>0</v>
      </c>
      <c r="F880" s="291" t="str">
        <v>Industrials</v>
      </c>
      <c r="G880" s="293">
        <f t="shared" si="27"/>
        <v>0</v>
      </c>
      <c r="H880" s="291"/>
      <c r="J880" s="36"/>
      <c r="X880" s="291"/>
      <c r="Z880" s="294" t="s">
        <v>1196</v>
      </c>
    </row>
    <row r="881" spans="1:26">
      <c r="A881" s="290" t="s">
        <v>1575</v>
      </c>
      <c r="B881" s="127" t="s">
        <v>59</v>
      </c>
      <c r="C881" s="291" t="str">
        <v>Rossari Biotech Ltd</v>
      </c>
      <c r="D881" s="292">
        <v>0.00479575150478427</v>
      </c>
      <c r="E881" s="293">
        <f t="shared" si="26"/>
        <v>0</v>
      </c>
      <c r="F881" s="291" t="str">
        <v>Materials</v>
      </c>
      <c r="G881" s="293">
        <f t="shared" si="27"/>
        <v>0</v>
      </c>
      <c r="H881" s="291"/>
      <c r="J881" s="36"/>
      <c r="X881" s="291"/>
      <c r="Z881" s="290" t="s">
        <v>1575</v>
      </c>
    </row>
    <row r="882" spans="1:26">
      <c r="A882" s="294" t="s">
        <v>1022</v>
      </c>
      <c r="B882" s="127" t="s">
        <v>59</v>
      </c>
      <c r="C882" s="291" t="str">
        <v>Schaeffler India Ltd</v>
      </c>
      <c r="D882" s="295">
        <v>0.0113854024068871</v>
      </c>
      <c r="E882" s="293">
        <f t="shared" si="26"/>
        <v>0</v>
      </c>
      <c r="F882" s="291" t="str">
        <v>Industrials</v>
      </c>
      <c r="G882" s="293">
        <f t="shared" si="27"/>
        <v>0</v>
      </c>
      <c r="H882" s="291"/>
      <c r="J882" s="36"/>
      <c r="X882" s="291"/>
      <c r="Z882" s="294" t="s">
        <v>1022</v>
      </c>
    </row>
    <row r="883" spans="1:26">
      <c r="A883" s="290" t="s">
        <v>1415</v>
      </c>
      <c r="B883" s="127" t="s">
        <v>59</v>
      </c>
      <c r="C883" s="291" t="str">
        <v>Sheela Foam Ltd</v>
      </c>
      <c r="D883" s="292">
        <v>0.00336064678130172</v>
      </c>
      <c r="E883" s="293">
        <f t="shared" si="26"/>
        <v>0</v>
      </c>
      <c r="F883" s="291" t="str">
        <v>Consumer Discretionary</v>
      </c>
      <c r="G883" s="293">
        <f t="shared" si="27"/>
        <v>0</v>
      </c>
      <c r="H883" s="291"/>
      <c r="J883" s="36"/>
      <c r="X883" s="291"/>
      <c r="Z883" s="290" t="s">
        <v>1415</v>
      </c>
    </row>
    <row r="884" spans="1:26">
      <c r="A884" s="294" t="s">
        <v>1025</v>
      </c>
      <c r="B884" s="127" t="s">
        <v>59</v>
      </c>
      <c r="C884" s="291" t="str">
        <v>Shree Cement Ltd</v>
      </c>
      <c r="D884" s="295">
        <v>0.0107416330836363</v>
      </c>
      <c r="E884" s="293">
        <f t="shared" si="26"/>
        <v>0</v>
      </c>
      <c r="F884" s="291" t="str">
        <v>Materials</v>
      </c>
      <c r="G884" s="293">
        <f t="shared" si="27"/>
        <v>0</v>
      </c>
      <c r="H884" s="291"/>
      <c r="J884" s="36"/>
      <c r="X884" s="291"/>
      <c r="Z884" s="294" t="s">
        <v>1025</v>
      </c>
    </row>
    <row r="885" spans="1:26">
      <c r="A885" s="290" t="s">
        <v>1577</v>
      </c>
      <c r="B885" s="127" t="s">
        <v>59</v>
      </c>
      <c r="C885" s="291" t="str">
        <v>Spartek Ceramics India Ltd</v>
      </c>
      <c r="D885" s="292">
        <v>0</v>
      </c>
      <c r="E885" s="293">
        <f t="shared" si="26"/>
        <v>0</v>
      </c>
      <c r="F885" s="291" t="str">
        <v>#N/A N/A</v>
      </c>
      <c r="G885" s="293">
        <f t="shared" si="27"/>
        <v>0</v>
      </c>
      <c r="H885" s="291"/>
      <c r="J885" s="36"/>
      <c r="X885" s="291"/>
      <c r="Z885" s="290" t="s">
        <v>1577</v>
      </c>
    </row>
    <row r="886" spans="1:26">
      <c r="A886" s="294" t="s">
        <v>1050</v>
      </c>
      <c r="B886" s="127" t="s">
        <v>59</v>
      </c>
      <c r="C886" s="291" t="str">
        <v>Syngene International Ltd</v>
      </c>
      <c r="D886" s="295">
        <v>0.00673275141460868</v>
      </c>
      <c r="E886" s="293">
        <f t="shared" si="26"/>
        <v>0</v>
      </c>
      <c r="F886" s="291" t="str">
        <v>Health Care</v>
      </c>
      <c r="G886" s="293">
        <f t="shared" si="27"/>
        <v>0</v>
      </c>
      <c r="H886" s="291"/>
      <c r="J886" s="36"/>
      <c r="X886" s="291"/>
      <c r="Z886" s="294" t="s">
        <v>1050</v>
      </c>
    </row>
    <row r="887" spans="1:26">
      <c r="A887" s="290" t="s">
        <v>1081</v>
      </c>
      <c r="B887" s="127" t="s">
        <v>59</v>
      </c>
      <c r="C887" s="291" t="str">
        <v>Titan Co Ltd</v>
      </c>
      <c r="D887" s="292">
        <v>0.0254499877685581</v>
      </c>
      <c r="E887" s="293">
        <f t="shared" si="26"/>
        <v>0</v>
      </c>
      <c r="F887" s="291" t="str">
        <v>Consumer Discretionary</v>
      </c>
      <c r="G887" s="293">
        <f t="shared" si="27"/>
        <v>0</v>
      </c>
      <c r="H887" s="291"/>
      <c r="J887" s="36"/>
      <c r="X887" s="303"/>
      <c r="Z887" s="290" t="s">
        <v>1081</v>
      </c>
    </row>
    <row r="888" spans="1:26">
      <c r="A888" s="294" t="s">
        <v>1141</v>
      </c>
      <c r="B888" s="127" t="s">
        <v>59</v>
      </c>
      <c r="C888" s="291" t="str">
        <v>Torrent Pharmaceuticals Ltd</v>
      </c>
      <c r="D888" s="295">
        <v>0.0110135380731185</v>
      </c>
      <c r="E888" s="293">
        <f t="shared" si="26"/>
        <v>0</v>
      </c>
      <c r="F888" s="291" t="str">
        <v>Health Care</v>
      </c>
      <c r="G888" s="293">
        <f t="shared" si="27"/>
        <v>0</v>
      </c>
      <c r="H888" s="291"/>
      <c r="J888" s="36"/>
      <c r="X888" s="303"/>
      <c r="Z888" s="294" t="s">
        <v>1141</v>
      </c>
    </row>
    <row r="889" spans="1:26">
      <c r="A889" s="290" t="s">
        <v>1067</v>
      </c>
      <c r="B889" s="127" t="s">
        <v>59</v>
      </c>
      <c r="C889" s="291" t="str">
        <v>Trent Ltd</v>
      </c>
      <c r="D889" s="292">
        <v>0.0266768967415029</v>
      </c>
      <c r="E889" s="293">
        <f t="shared" si="26"/>
        <v>0</v>
      </c>
      <c r="F889" s="291" t="str">
        <v>Consumer Discretionary</v>
      </c>
      <c r="G889" s="293">
        <f t="shared" si="27"/>
        <v>0</v>
      </c>
      <c r="H889" s="291"/>
      <c r="J889" s="36"/>
      <c r="X889" s="303"/>
      <c r="Z889" s="290" t="s">
        <v>1067</v>
      </c>
    </row>
    <row r="890" spans="1:26">
      <c r="A890" t="s">
        <v>1579</v>
      </c>
      <c r="B890" s="127" t="s">
        <v>565</v>
      </c>
      <c r="C890" s="291" t="str">
        <v>Sumitomo Chemical India Ltd</v>
      </c>
      <c r="D890" s="34">
        <v>0.031</v>
      </c>
      <c r="E890" s="293">
        <f t="shared" ref="E890:E913" si="28">_xlfn.IFNA(D890*VLOOKUP($B890,$AK$1:$AM$34,3,FALSE),0)</f>
        <v>0</v>
      </c>
      <c r="F890" s="291" t="str">
        <v>Materials</v>
      </c>
      <c r="G890" s="293">
        <f t="shared" ref="G890:G913" si="29">_xlfn.IFNA(D890*VLOOKUP($B890,$AK$1:$AM$34,3,FALSE),0)</f>
        <v>0</v>
      </c>
      <c r="H890" s="291"/>
      <c r="J890" s="36"/>
      <c r="X890" s="303"/>
      <c r="Z890" t="s">
        <v>1579</v>
      </c>
    </row>
    <row r="891" spans="1:26">
      <c r="A891" t="s">
        <v>1069</v>
      </c>
      <c r="B891" s="127" t="s">
        <v>565</v>
      </c>
      <c r="C891" s="291" t="str">
        <v>TVS Motor Co Ltd</v>
      </c>
      <c r="D891" s="34">
        <v>0.015</v>
      </c>
      <c r="E891" s="293">
        <f t="shared" si="28"/>
        <v>0</v>
      </c>
      <c r="F891" s="291" t="str">
        <v>Consumer Discretionary</v>
      </c>
      <c r="G891" s="293">
        <f t="shared" si="29"/>
        <v>0</v>
      </c>
      <c r="H891" s="291"/>
      <c r="J891" s="36"/>
      <c r="X891" s="303"/>
      <c r="Z891" t="s">
        <v>1069</v>
      </c>
    </row>
    <row r="892" spans="1:26">
      <c r="A892" t="s">
        <v>1079</v>
      </c>
      <c r="B892" s="127" t="s">
        <v>565</v>
      </c>
      <c r="C892" s="291" t="str">
        <v>UNO Minda Ltd</v>
      </c>
      <c r="D892" s="34">
        <v>0.021</v>
      </c>
      <c r="E892" s="293">
        <f t="shared" si="28"/>
        <v>0</v>
      </c>
      <c r="F892" s="291" t="str">
        <v>Consumer Discretionary</v>
      </c>
      <c r="G892" s="293">
        <f t="shared" si="29"/>
        <v>0</v>
      </c>
      <c r="H892" s="291"/>
      <c r="J892" s="36"/>
      <c r="X892" s="303"/>
      <c r="Z892" t="s">
        <v>1079</v>
      </c>
    </row>
    <row r="893" spans="1:26">
      <c r="A893" t="s">
        <v>889</v>
      </c>
      <c r="B893" s="127" t="s">
        <v>565</v>
      </c>
      <c r="C893" s="291" t="str">
        <v>Craftsman Automation Ltd</v>
      </c>
      <c r="D893" s="34">
        <v>0.02</v>
      </c>
      <c r="E893" s="293">
        <f t="shared" si="28"/>
        <v>0</v>
      </c>
      <c r="F893" s="291" t="str">
        <v>Industrials</v>
      </c>
      <c r="G893" s="293">
        <f t="shared" si="29"/>
        <v>0</v>
      </c>
      <c r="H893" s="291"/>
      <c r="J893" s="36"/>
      <c r="X893" s="303"/>
      <c r="Z893" t="s">
        <v>889</v>
      </c>
    </row>
    <row r="894" spans="1:26">
      <c r="A894" t="s">
        <v>1581</v>
      </c>
      <c r="B894" s="127" t="s">
        <v>565</v>
      </c>
      <c r="C894" s="291" t="str">
        <v>SJS Enterprises Ltd</v>
      </c>
      <c r="D894" s="34">
        <v>0.01</v>
      </c>
      <c r="E894" s="293">
        <f t="shared" si="28"/>
        <v>0</v>
      </c>
      <c r="F894" s="291" t="str">
        <v>Consumer Discretionary</v>
      </c>
      <c r="G894" s="293">
        <f t="shared" si="29"/>
        <v>0</v>
      </c>
      <c r="H894" s="291"/>
      <c r="J894" s="36"/>
      <c r="X894" s="303"/>
      <c r="Z894" t="s">
        <v>1581</v>
      </c>
    </row>
    <row r="895" spans="1:26">
      <c r="A895" t="s">
        <v>1583</v>
      </c>
      <c r="B895" s="127" t="s">
        <v>565</v>
      </c>
      <c r="C895" s="291" t="str">
        <v>Gabriel India Ltd</v>
      </c>
      <c r="D895" s="34">
        <v>0.012</v>
      </c>
      <c r="E895" s="293">
        <f t="shared" si="28"/>
        <v>0</v>
      </c>
      <c r="F895" s="291" t="str">
        <v>Consumer Discretionary</v>
      </c>
      <c r="G895" s="293">
        <f t="shared" si="29"/>
        <v>0</v>
      </c>
      <c r="H895" s="291"/>
      <c r="J895" s="36"/>
      <c r="X895" s="303"/>
      <c r="Z895" t="s">
        <v>1583</v>
      </c>
    </row>
    <row r="896" spans="1:26">
      <c r="A896" t="s">
        <v>1585</v>
      </c>
      <c r="B896" s="127" t="s">
        <v>565</v>
      </c>
      <c r="C896" s="291" t="str">
        <v>Shriram Pistons &amp; Rings Ltd</v>
      </c>
      <c r="D896" s="34">
        <v>0.015</v>
      </c>
      <c r="E896" s="293">
        <f t="shared" si="28"/>
        <v>0</v>
      </c>
      <c r="F896" s="291" t="str">
        <v>Consumer Discretionary</v>
      </c>
      <c r="G896" s="293">
        <f t="shared" si="29"/>
        <v>0</v>
      </c>
      <c r="H896" s="291"/>
      <c r="J896" s="36"/>
      <c r="X896" s="303"/>
      <c r="Z896" t="s">
        <v>1585</v>
      </c>
    </row>
    <row r="897" spans="1:26">
      <c r="A897" t="s">
        <v>876</v>
      </c>
      <c r="B897" s="127" t="s">
        <v>565</v>
      </c>
      <c r="C897" s="291" t="str">
        <v>Cholamandalam Investment and F</v>
      </c>
      <c r="D897" s="34">
        <v>0.009</v>
      </c>
      <c r="E897" s="293">
        <f t="shared" si="28"/>
        <v>0</v>
      </c>
      <c r="F897" s="291" t="str">
        <v>Financials</v>
      </c>
      <c r="G897" s="293">
        <f t="shared" si="29"/>
        <v>0</v>
      </c>
      <c r="H897" s="291"/>
      <c r="J897" s="36"/>
      <c r="X897" s="303"/>
      <c r="Z897" t="s">
        <v>876</v>
      </c>
    </row>
    <row r="898" spans="1:26">
      <c r="A898" t="s">
        <v>1587</v>
      </c>
      <c r="B898" s="127" t="s">
        <v>565</v>
      </c>
      <c r="C898" s="291" t="str">
        <v>Home First Finance Co India Lt</v>
      </c>
      <c r="D898" s="34">
        <v>0.017</v>
      </c>
      <c r="E898" s="293">
        <f t="shared" si="28"/>
        <v>0</v>
      </c>
      <c r="F898" s="291" t="str">
        <v>Financials</v>
      </c>
      <c r="G898" s="293">
        <f t="shared" si="29"/>
        <v>0</v>
      </c>
      <c r="H898" s="291"/>
      <c r="J898" s="36"/>
      <c r="X898" s="303"/>
      <c r="Z898" t="s">
        <v>1587</v>
      </c>
    </row>
    <row r="899" spans="1:26">
      <c r="A899" t="s">
        <v>938</v>
      </c>
      <c r="B899" s="127" t="s">
        <v>565</v>
      </c>
      <c r="C899" s="291" t="str">
        <v>Indian Bank</v>
      </c>
      <c r="D899" s="34">
        <v>0.015</v>
      </c>
      <c r="E899" s="293">
        <f t="shared" si="28"/>
        <v>0</v>
      </c>
      <c r="F899" s="291" t="str">
        <v>Financials</v>
      </c>
      <c r="G899" s="293">
        <f t="shared" si="29"/>
        <v>0</v>
      </c>
      <c r="H899" s="291"/>
      <c r="J899" s="36"/>
      <c r="X899" s="303"/>
      <c r="Z899" t="s">
        <v>938</v>
      </c>
    </row>
    <row r="900" spans="1:26">
      <c r="A900" t="s">
        <v>1311</v>
      </c>
      <c r="B900" s="127" t="s">
        <v>565</v>
      </c>
      <c r="C900" s="291" t="str">
        <v>Shriram Finance Ltd</v>
      </c>
      <c r="D900" s="34">
        <v>0.02</v>
      </c>
      <c r="E900" s="293">
        <f t="shared" si="28"/>
        <v>0</v>
      </c>
      <c r="F900" s="291" t="str">
        <v>Financials</v>
      </c>
      <c r="G900" s="293">
        <f t="shared" si="29"/>
        <v>0</v>
      </c>
      <c r="H900" s="291"/>
      <c r="J900" s="36"/>
      <c r="X900" s="303"/>
      <c r="Z900" t="s">
        <v>1311</v>
      </c>
    </row>
    <row r="901" spans="1:26">
      <c r="A901" t="s">
        <v>1400</v>
      </c>
      <c r="B901" s="127" t="s">
        <v>565</v>
      </c>
      <c r="C901" s="291" t="str">
        <v>PNB Housing Finance Ltd</v>
      </c>
      <c r="D901" s="34">
        <v>0.021</v>
      </c>
      <c r="E901" s="293">
        <f t="shared" si="28"/>
        <v>0</v>
      </c>
      <c r="F901" s="291" t="str">
        <v>Financials</v>
      </c>
      <c r="G901" s="293">
        <f t="shared" si="29"/>
        <v>0</v>
      </c>
      <c r="H901" s="291"/>
      <c r="J901" s="36"/>
      <c r="X901" s="303"/>
      <c r="Z901" t="s">
        <v>1400</v>
      </c>
    </row>
    <row r="902" spans="1:26">
      <c r="A902" t="s">
        <v>1589</v>
      </c>
      <c r="B902" s="127" t="s">
        <v>565</v>
      </c>
      <c r="C902" s="291" t="str">
        <v>Aadhar Housing Finance Ltd</v>
      </c>
      <c r="D902" s="34">
        <v>0.022</v>
      </c>
      <c r="E902" s="293">
        <f t="shared" si="28"/>
        <v>0</v>
      </c>
      <c r="F902" s="291" t="str">
        <v>Financials</v>
      </c>
      <c r="G902" s="293">
        <f t="shared" si="29"/>
        <v>0</v>
      </c>
      <c r="H902" s="291"/>
      <c r="J902" s="36"/>
      <c r="X902" s="303"/>
      <c r="Z902" t="s">
        <v>1589</v>
      </c>
    </row>
    <row r="903" spans="1:26">
      <c r="A903" t="s">
        <v>836</v>
      </c>
      <c r="B903" s="127" t="s">
        <v>565</v>
      </c>
      <c r="C903" s="291" t="str">
        <v>AU Small Finance Bank Ltd</v>
      </c>
      <c r="D903" s="34">
        <v>0.009</v>
      </c>
      <c r="E903" s="293">
        <f t="shared" si="28"/>
        <v>0</v>
      </c>
      <c r="F903" s="291" t="str">
        <v>Financials</v>
      </c>
      <c r="G903" s="293">
        <f t="shared" si="29"/>
        <v>0</v>
      </c>
      <c r="H903" s="291"/>
      <c r="J903" s="36"/>
      <c r="X903" s="303"/>
      <c r="Z903" t="s">
        <v>836</v>
      </c>
    </row>
    <row r="904" spans="1:26">
      <c r="A904" t="s">
        <v>1181</v>
      </c>
      <c r="B904" s="127" t="s">
        <v>565</v>
      </c>
      <c r="C904" s="291" t="str">
        <v>Max Financial Services Ltd</v>
      </c>
      <c r="D904" s="34">
        <v>0.01</v>
      </c>
      <c r="E904" s="293">
        <f t="shared" si="28"/>
        <v>0</v>
      </c>
      <c r="F904" s="291" t="str">
        <v>Financials</v>
      </c>
      <c r="G904" s="293">
        <f t="shared" si="29"/>
        <v>0</v>
      </c>
      <c r="H904" s="291"/>
      <c r="J904" s="36"/>
      <c r="X904" s="303"/>
      <c r="Z904" t="s">
        <v>1181</v>
      </c>
    </row>
    <row r="905" spans="1:26">
      <c r="A905" t="s">
        <v>943</v>
      </c>
      <c r="B905" s="127" t="s">
        <v>565</v>
      </c>
      <c r="C905" s="291" t="str">
        <v>JK Cement Ltd</v>
      </c>
      <c r="D905" s="34">
        <v>0.017</v>
      </c>
      <c r="E905" s="293">
        <f t="shared" si="28"/>
        <v>0</v>
      </c>
      <c r="F905" s="291" t="str">
        <v>Materials</v>
      </c>
      <c r="G905" s="293">
        <f t="shared" si="29"/>
        <v>0</v>
      </c>
      <c r="H905" s="291"/>
      <c r="J905" s="36"/>
      <c r="X905" s="303"/>
      <c r="Z905" t="s">
        <v>943</v>
      </c>
    </row>
    <row r="906" spans="1:26">
      <c r="A906" t="s">
        <v>986</v>
      </c>
      <c r="B906" s="127" t="s">
        <v>565</v>
      </c>
      <c r="C906" s="291" t="str">
        <v>Navin Fluorine International L</v>
      </c>
      <c r="D906" s="34">
        <v>0.02</v>
      </c>
      <c r="E906" s="293">
        <f t="shared" si="28"/>
        <v>0</v>
      </c>
      <c r="F906" s="291" t="str">
        <v>Materials</v>
      </c>
      <c r="G906" s="293">
        <f t="shared" si="29"/>
        <v>0</v>
      </c>
      <c r="H906" s="291"/>
      <c r="J906" s="36"/>
      <c r="X906" s="303"/>
      <c r="Z906" t="s">
        <v>986</v>
      </c>
    </row>
    <row r="907" spans="1:26">
      <c r="A907" t="s">
        <v>1591</v>
      </c>
      <c r="B907" s="127" t="s">
        <v>565</v>
      </c>
      <c r="C907" s="291" t="str">
        <v>Sudarshan Chemical Industries</v>
      </c>
      <c r="D907" s="34">
        <v>0.022</v>
      </c>
      <c r="E907" s="293">
        <f t="shared" si="28"/>
        <v>0</v>
      </c>
      <c r="F907" s="291" t="str">
        <v>Materials</v>
      </c>
      <c r="G907" s="293">
        <f t="shared" si="29"/>
        <v>0</v>
      </c>
      <c r="H907" s="291"/>
      <c r="J907" s="36"/>
      <c r="X907" s="303"/>
      <c r="Z907" t="s">
        <v>1591</v>
      </c>
    </row>
    <row r="908" spans="1:26">
      <c r="A908" t="s">
        <v>1593</v>
      </c>
      <c r="B908" s="127" t="s">
        <v>565</v>
      </c>
      <c r="C908" s="291" t="str">
        <v>Aether Industries Ltd</v>
      </c>
      <c r="D908" s="34">
        <v>0.013</v>
      </c>
      <c r="E908" s="293">
        <f t="shared" si="28"/>
        <v>0</v>
      </c>
      <c r="F908" s="291" t="str">
        <v>Health Care</v>
      </c>
      <c r="G908" s="293">
        <f t="shared" si="29"/>
        <v>0</v>
      </c>
      <c r="H908" s="291"/>
      <c r="J908" s="36"/>
      <c r="X908" s="303"/>
      <c r="Z908" t="s">
        <v>1593</v>
      </c>
    </row>
    <row r="909" spans="1:26">
      <c r="A909" t="s">
        <v>1595</v>
      </c>
      <c r="B909" s="127" t="s">
        <v>565</v>
      </c>
      <c r="C909" s="291" t="str">
        <v>Camlin Fine Sciences Ltd</v>
      </c>
      <c r="D909" s="34">
        <v>0.014</v>
      </c>
      <c r="E909" s="293">
        <f t="shared" si="28"/>
        <v>0</v>
      </c>
      <c r="F909" s="291" t="str">
        <v>Materials</v>
      </c>
      <c r="G909" s="293">
        <f t="shared" si="29"/>
        <v>0</v>
      </c>
      <c r="H909" s="291"/>
      <c r="J909" s="36"/>
      <c r="X909" s="303"/>
      <c r="Z909" t="s">
        <v>1595</v>
      </c>
    </row>
    <row r="910" spans="1:26">
      <c r="A910" t="s">
        <v>1096</v>
      </c>
      <c r="B910" s="127" t="s">
        <v>565</v>
      </c>
      <c r="C910" s="291" t="str">
        <v>Vinati Organics Ltd</v>
      </c>
      <c r="D910" s="34">
        <v>0.014</v>
      </c>
      <c r="E910" s="293">
        <f t="shared" si="28"/>
        <v>0</v>
      </c>
      <c r="F910" s="291" t="str">
        <v>Materials</v>
      </c>
      <c r="G910" s="293">
        <f t="shared" si="29"/>
        <v>0</v>
      </c>
      <c r="H910" s="291"/>
      <c r="J910" s="36"/>
      <c r="X910" s="303"/>
      <c r="Z910" t="s">
        <v>1096</v>
      </c>
    </row>
    <row r="911" spans="1:26">
      <c r="A911" t="s">
        <v>1597</v>
      </c>
      <c r="B911" s="127" t="s">
        <v>565</v>
      </c>
      <c r="C911" s="291" t="str">
        <v>Jubilant Ingrevia Ltd</v>
      </c>
      <c r="D911" s="34">
        <v>0.016</v>
      </c>
      <c r="E911" s="293">
        <f t="shared" si="28"/>
        <v>0</v>
      </c>
      <c r="F911" s="291" t="str">
        <v>Materials</v>
      </c>
      <c r="G911" s="293">
        <f t="shared" si="29"/>
        <v>0</v>
      </c>
      <c r="H911" s="291"/>
      <c r="J911" s="36"/>
      <c r="X911" s="303"/>
      <c r="Z911" t="s">
        <v>1597</v>
      </c>
    </row>
    <row r="912" spans="1:26">
      <c r="A912" t="s">
        <v>1367</v>
      </c>
      <c r="B912" s="127" t="s">
        <v>565</v>
      </c>
      <c r="C912" s="291" t="str">
        <v>Finolex Cables Ltd</v>
      </c>
      <c r="D912" s="34">
        <v>0.013</v>
      </c>
      <c r="E912" s="293">
        <f t="shared" si="28"/>
        <v>0</v>
      </c>
      <c r="F912" s="291" t="str">
        <v>Industrials</v>
      </c>
      <c r="G912" s="293">
        <f t="shared" si="29"/>
        <v>0</v>
      </c>
      <c r="H912" s="291"/>
      <c r="J912" s="36"/>
      <c r="X912" s="291"/>
      <c r="Z912" t="s">
        <v>1367</v>
      </c>
    </row>
    <row r="913" spans="1:26">
      <c r="A913" t="s">
        <v>1600</v>
      </c>
      <c r="B913" s="127" t="s">
        <v>565</v>
      </c>
      <c r="C913" s="291" t="str">
        <v>V2 Retail Ltd</v>
      </c>
      <c r="D913" s="34">
        <v>0.01</v>
      </c>
      <c r="E913" s="293">
        <f t="shared" si="28"/>
        <v>0</v>
      </c>
      <c r="F913" s="291" t="str">
        <v>Consumer Discretionary</v>
      </c>
      <c r="G913" s="293">
        <f t="shared" si="29"/>
        <v>0</v>
      </c>
      <c r="H913" s="291"/>
      <c r="J913" s="36"/>
      <c r="X913" s="291"/>
      <c r="Z913" t="s">
        <v>1600</v>
      </c>
    </row>
    <row r="914" spans="1:26">
      <c r="A914" t="s">
        <v>1602</v>
      </c>
      <c r="B914" s="127" t="s">
        <v>565</v>
      </c>
      <c r="C914" s="291" t="str">
        <v>Eureka Forbes Ltd</v>
      </c>
      <c r="D914" s="34">
        <v>0.018</v>
      </c>
      <c r="E914" s="293">
        <f t="shared" ref="E914:E977" si="30">_xlfn.IFNA(D914*VLOOKUP($B914,$AK$1:$AM$34,3,FALSE),0)</f>
        <v>0</v>
      </c>
      <c r="F914" s="291" t="str">
        <v>Consumer Discretionary</v>
      </c>
      <c r="G914" s="293">
        <f t="shared" ref="G914:G977" si="31">_xlfn.IFNA(D914*VLOOKUP($B914,$AK$1:$AM$34,3,FALSE),0)</f>
        <v>0</v>
      </c>
      <c r="H914" s="291"/>
      <c r="J914" s="36"/>
      <c r="X914" s="291"/>
      <c r="Z914" t="s">
        <v>1602</v>
      </c>
    </row>
    <row r="915" spans="1:26">
      <c r="A915" t="s">
        <v>1604</v>
      </c>
      <c r="B915" s="127" t="s">
        <v>565</v>
      </c>
      <c r="C915" s="291" t="str">
        <v>Avalon Technologies Ltd</v>
      </c>
      <c r="D915" s="34">
        <v>0.01</v>
      </c>
      <c r="E915" s="293">
        <f t="shared" si="30"/>
        <v>0</v>
      </c>
      <c r="F915" s="291" t="str">
        <v>Information Technology</v>
      </c>
      <c r="G915" s="293">
        <f t="shared" si="31"/>
        <v>0</v>
      </c>
      <c r="H915" s="291"/>
      <c r="J915" s="36"/>
      <c r="X915" s="291"/>
      <c r="Z915" t="s">
        <v>1604</v>
      </c>
    </row>
    <row r="916" spans="1:26">
      <c r="A916" t="s">
        <v>1015</v>
      </c>
      <c r="B916" s="127" t="s">
        <v>565</v>
      </c>
      <c r="C916" s="291" t="str">
        <v>PG Electroplast Ltd</v>
      </c>
      <c r="D916" s="34">
        <v>0.015</v>
      </c>
      <c r="E916" s="293">
        <f t="shared" si="30"/>
        <v>0</v>
      </c>
      <c r="F916" s="291" t="str">
        <v>Information Technology</v>
      </c>
      <c r="G916" s="293">
        <f t="shared" si="31"/>
        <v>0</v>
      </c>
      <c r="H916" s="291"/>
      <c r="J916" s="36"/>
      <c r="X916" s="291"/>
      <c r="Z916" t="s">
        <v>1015</v>
      </c>
    </row>
    <row r="917" spans="1:26">
      <c r="A917" t="s">
        <v>1607</v>
      </c>
      <c r="B917" s="127" t="s">
        <v>565</v>
      </c>
      <c r="C917" s="291" t="str">
        <v>Bikaji Foods International Ltd</v>
      </c>
      <c r="D917" s="34">
        <v>0.01</v>
      </c>
      <c r="E917" s="293">
        <f t="shared" si="30"/>
        <v>0</v>
      </c>
      <c r="F917" s="291" t="str">
        <v>Consumer Staples</v>
      </c>
      <c r="G917" s="293">
        <f t="shared" si="31"/>
        <v>0</v>
      </c>
      <c r="H917" s="291"/>
      <c r="J917" s="36"/>
      <c r="X917" s="291"/>
      <c r="Z917" t="s">
        <v>1607</v>
      </c>
    </row>
    <row r="918" spans="1:26">
      <c r="A918" t="s">
        <v>835</v>
      </c>
      <c r="B918" s="127" t="s">
        <v>565</v>
      </c>
      <c r="C918" s="291" t="str">
        <v>Arvind Fashions Ltd</v>
      </c>
      <c r="D918" s="34">
        <v>0.019</v>
      </c>
      <c r="E918" s="293">
        <f t="shared" si="30"/>
        <v>0</v>
      </c>
      <c r="F918" s="291" t="str">
        <v>Consumer Discretionary</v>
      </c>
      <c r="G918" s="293">
        <f t="shared" si="31"/>
        <v>0</v>
      </c>
      <c r="H918" s="291"/>
      <c r="J918" s="36"/>
      <c r="X918" s="291"/>
      <c r="Z918" t="s">
        <v>835</v>
      </c>
    </row>
    <row r="919" spans="1:26">
      <c r="A919" t="s">
        <v>1609</v>
      </c>
      <c r="B919" s="127" t="s">
        <v>565</v>
      </c>
      <c r="C919" s="291" t="str">
        <v>Syrma SGS Technology Ltd</v>
      </c>
      <c r="D919" s="34">
        <v>0.021</v>
      </c>
      <c r="E919" s="293">
        <f t="shared" si="30"/>
        <v>0</v>
      </c>
      <c r="F919" s="291" t="str">
        <v>Information Technology</v>
      </c>
      <c r="G919" s="293">
        <f t="shared" si="31"/>
        <v>0</v>
      </c>
      <c r="H919" s="291"/>
      <c r="J919" s="36"/>
      <c r="X919" s="291"/>
      <c r="Z919" t="s">
        <v>1609</v>
      </c>
    </row>
    <row r="920" spans="1:26">
      <c r="A920" t="s">
        <v>1611</v>
      </c>
      <c r="B920" s="127" t="s">
        <v>565</v>
      </c>
      <c r="C920" s="291" t="str">
        <v>Mold-Tek Packaging Ltd</v>
      </c>
      <c r="D920" s="34">
        <v>0.007</v>
      </c>
      <c r="E920" s="293">
        <f t="shared" si="30"/>
        <v>0</v>
      </c>
      <c r="F920" s="291" t="str">
        <v>Materials</v>
      </c>
      <c r="G920" s="293">
        <f t="shared" si="31"/>
        <v>0</v>
      </c>
      <c r="H920" s="291"/>
      <c r="J920" s="36"/>
      <c r="X920" s="291"/>
      <c r="Z920" t="s">
        <v>1611</v>
      </c>
    </row>
    <row r="921" spans="1:26">
      <c r="A921" t="s">
        <v>1502</v>
      </c>
      <c r="B921" s="127" t="s">
        <v>565</v>
      </c>
      <c r="C921" s="291" t="str">
        <v>Greenply Industries Ltd</v>
      </c>
      <c r="D921" s="34">
        <v>0.01</v>
      </c>
      <c r="E921" s="293">
        <f t="shared" si="30"/>
        <v>0</v>
      </c>
      <c r="F921" s="291" t="str">
        <v>Materials</v>
      </c>
      <c r="G921" s="293">
        <f t="shared" si="31"/>
        <v>0</v>
      </c>
      <c r="H921" s="291"/>
      <c r="J921" s="36"/>
      <c r="X921" s="291"/>
      <c r="Z921" t="s">
        <v>1502</v>
      </c>
    </row>
    <row r="922" spans="1:26">
      <c r="A922" t="s">
        <v>870</v>
      </c>
      <c r="B922" s="127" t="s">
        <v>565</v>
      </c>
      <c r="C922" s="291" t="str">
        <v>CG Power &amp; Industrial Solution</v>
      </c>
      <c r="D922" s="34">
        <v>0.03</v>
      </c>
      <c r="E922" s="293">
        <f t="shared" si="30"/>
        <v>0</v>
      </c>
      <c r="F922" s="291" t="str">
        <v>Industrials</v>
      </c>
      <c r="G922" s="293">
        <f t="shared" si="31"/>
        <v>0</v>
      </c>
      <c r="H922" s="291"/>
      <c r="J922" s="36"/>
      <c r="X922" s="291"/>
      <c r="Z922" t="s">
        <v>870</v>
      </c>
    </row>
    <row r="923" spans="1:26">
      <c r="A923" t="s">
        <v>1371</v>
      </c>
      <c r="B923" s="127" t="s">
        <v>565</v>
      </c>
      <c r="C923" s="291" t="str">
        <v>Hitachi Energy India Ltd</v>
      </c>
      <c r="D923" s="34">
        <v>0.029</v>
      </c>
      <c r="E923" s="293">
        <f t="shared" si="30"/>
        <v>0</v>
      </c>
      <c r="F923" s="291" t="str">
        <v>Industrials</v>
      </c>
      <c r="G923" s="293">
        <f t="shared" si="31"/>
        <v>0</v>
      </c>
      <c r="H923" s="291"/>
      <c r="J923" s="36"/>
      <c r="X923" s="291"/>
      <c r="Z923" t="s">
        <v>1371</v>
      </c>
    </row>
    <row r="924" spans="1:26">
      <c r="A924" t="s">
        <v>1193</v>
      </c>
      <c r="B924" s="127" t="s">
        <v>565</v>
      </c>
      <c r="C924" s="291" t="str">
        <v>KSB Ltd</v>
      </c>
      <c r="D924" s="34">
        <v>0.016</v>
      </c>
      <c r="E924" s="293">
        <f t="shared" si="30"/>
        <v>0</v>
      </c>
      <c r="F924" s="291" t="str">
        <v>Industrials</v>
      </c>
      <c r="G924" s="293">
        <f t="shared" si="31"/>
        <v>0</v>
      </c>
      <c r="H924" s="291"/>
      <c r="J924" s="36"/>
      <c r="X924" s="291"/>
      <c r="Z924" t="s">
        <v>1193</v>
      </c>
    </row>
    <row r="925" spans="1:26">
      <c r="A925" t="s">
        <v>1430</v>
      </c>
      <c r="B925" s="127" t="s">
        <v>565</v>
      </c>
      <c r="C925" s="291" t="str">
        <v>Vesuvius India Ltd</v>
      </c>
      <c r="D925" s="34">
        <v>0.018</v>
      </c>
      <c r="E925" s="293">
        <f t="shared" si="30"/>
        <v>0</v>
      </c>
      <c r="F925" s="291" t="str">
        <v>Industrials</v>
      </c>
      <c r="G925" s="293">
        <f t="shared" si="31"/>
        <v>0</v>
      </c>
      <c r="H925" s="291"/>
      <c r="J925" s="36"/>
      <c r="X925" s="291"/>
      <c r="Z925" t="s">
        <v>1430</v>
      </c>
    </row>
    <row r="926" spans="1:26">
      <c r="A926" t="s">
        <v>1613</v>
      </c>
      <c r="B926" s="127" t="s">
        <v>565</v>
      </c>
      <c r="C926" s="291" t="str">
        <v>Engineers India Ltd</v>
      </c>
      <c r="D926" s="34">
        <v>0.017</v>
      </c>
      <c r="E926" s="293">
        <f t="shared" si="30"/>
        <v>0</v>
      </c>
      <c r="F926" s="291" t="str">
        <v>Industrials</v>
      </c>
      <c r="G926" s="293">
        <f t="shared" si="31"/>
        <v>0</v>
      </c>
      <c r="H926" s="291"/>
      <c r="J926" s="36"/>
      <c r="X926" s="291"/>
      <c r="Z926" t="s">
        <v>1613</v>
      </c>
    </row>
    <row r="927" spans="1:26">
      <c r="A927" t="s">
        <v>1615</v>
      </c>
      <c r="B927" s="127" t="s">
        <v>565</v>
      </c>
      <c r="C927" s="291" t="str">
        <v>Concord Enviro Systems Ltd</v>
      </c>
      <c r="D927" s="34">
        <v>0.011</v>
      </c>
      <c r="E927" s="293">
        <f t="shared" si="30"/>
        <v>0</v>
      </c>
      <c r="F927" s="291" t="str">
        <v>Industrials</v>
      </c>
      <c r="G927" s="293">
        <f t="shared" si="31"/>
        <v>0</v>
      </c>
      <c r="H927" s="291"/>
      <c r="J927" s="36"/>
      <c r="X927" s="291"/>
      <c r="Z927" t="s">
        <v>1615</v>
      </c>
    </row>
    <row r="928" spans="1:26">
      <c r="A928" t="s">
        <v>1617</v>
      </c>
      <c r="B928" s="127" t="s">
        <v>565</v>
      </c>
      <c r="C928" s="291" t="str">
        <v>MTAR Technologies Ltd</v>
      </c>
      <c r="D928" s="34">
        <v>0.012</v>
      </c>
      <c r="E928" s="293">
        <f t="shared" si="30"/>
        <v>0</v>
      </c>
      <c r="F928" s="291" t="str">
        <v>Industrials</v>
      </c>
      <c r="G928" s="293">
        <f t="shared" si="31"/>
        <v>0</v>
      </c>
      <c r="H928" s="291"/>
      <c r="J928" s="36"/>
      <c r="X928" s="291"/>
      <c r="Z928" t="s">
        <v>1617</v>
      </c>
    </row>
    <row r="929" spans="1:26">
      <c r="A929" t="s">
        <v>1619</v>
      </c>
      <c r="B929" s="127" t="s">
        <v>565</v>
      </c>
      <c r="C929" s="291" t="str">
        <v>Mishra Dhatu Nigam Ltd</v>
      </c>
      <c r="D929" s="34">
        <v>0.01</v>
      </c>
      <c r="E929" s="293">
        <f t="shared" si="30"/>
        <v>0</v>
      </c>
      <c r="F929" s="291" t="str">
        <v>Materials</v>
      </c>
      <c r="G929" s="293">
        <f t="shared" si="31"/>
        <v>0</v>
      </c>
      <c r="H929" s="291"/>
      <c r="J929" s="36"/>
      <c r="X929" s="291"/>
      <c r="Z929" t="s">
        <v>1619</v>
      </c>
    </row>
    <row r="930" spans="1:26">
      <c r="A930" t="s">
        <v>960</v>
      </c>
      <c r="B930" s="127" t="s">
        <v>565</v>
      </c>
      <c r="C930" s="291" t="str">
        <v>Linde India Ltd</v>
      </c>
      <c r="D930" s="34">
        <v>0.011</v>
      </c>
      <c r="E930" s="293">
        <f t="shared" si="30"/>
        <v>0</v>
      </c>
      <c r="F930" s="291" t="str">
        <v>Materials</v>
      </c>
      <c r="G930" s="293">
        <f t="shared" si="31"/>
        <v>0</v>
      </c>
      <c r="H930" s="291"/>
      <c r="J930" s="36"/>
      <c r="X930" s="291"/>
      <c r="Z930" t="s">
        <v>960</v>
      </c>
    </row>
    <row r="931" spans="1:26">
      <c r="A931" t="s">
        <v>1621</v>
      </c>
      <c r="B931" s="127" t="s">
        <v>565</v>
      </c>
      <c r="C931" s="291" t="str">
        <v>Godavari Biorefineries Ltd</v>
      </c>
      <c r="D931" s="34">
        <v>0.017</v>
      </c>
      <c r="E931" s="293">
        <f t="shared" si="30"/>
        <v>0</v>
      </c>
      <c r="F931" s="291" t="str">
        <v>Energy</v>
      </c>
      <c r="G931" s="293">
        <f t="shared" si="31"/>
        <v>0</v>
      </c>
      <c r="H931" s="291"/>
      <c r="J931" s="36"/>
      <c r="X931" s="291"/>
      <c r="Z931" t="s">
        <v>1621</v>
      </c>
    </row>
    <row r="932" spans="1:26">
      <c r="A932" t="s">
        <v>981</v>
      </c>
      <c r="B932" s="127" t="s">
        <v>565</v>
      </c>
      <c r="C932" s="291" t="str">
        <v>Multi Commodity Exchange of In</v>
      </c>
      <c r="D932" s="34">
        <v>0.031</v>
      </c>
      <c r="E932" s="293">
        <f t="shared" si="30"/>
        <v>0</v>
      </c>
      <c r="F932" s="291" t="str">
        <v>Financials</v>
      </c>
      <c r="G932" s="293">
        <f t="shared" si="31"/>
        <v>0</v>
      </c>
      <c r="H932" s="291"/>
      <c r="J932" s="36"/>
      <c r="X932" s="291"/>
      <c r="Z932" t="s">
        <v>981</v>
      </c>
    </row>
    <row r="933" spans="1:26">
      <c r="A933" t="s">
        <v>1623</v>
      </c>
      <c r="B933" s="127" t="s">
        <v>565</v>
      </c>
      <c r="C933" s="291" t="str">
        <v>Cochin Shipyard Ltd</v>
      </c>
      <c r="D933" s="34">
        <v>0.013</v>
      </c>
      <c r="E933" s="293">
        <f t="shared" si="30"/>
        <v>0</v>
      </c>
      <c r="F933" s="291" t="str">
        <v>Industrials</v>
      </c>
      <c r="G933" s="293">
        <f t="shared" si="31"/>
        <v>0</v>
      </c>
      <c r="H933" s="291"/>
      <c r="J933" s="36"/>
      <c r="X933" s="291"/>
      <c r="Z933" t="s">
        <v>1623</v>
      </c>
    </row>
    <row r="934" spans="1:26">
      <c r="A934" t="s">
        <v>825</v>
      </c>
      <c r="B934" s="127" t="s">
        <v>565</v>
      </c>
      <c r="C934" s="291" t="str">
        <v>Ajanta Pharma Ltd</v>
      </c>
      <c r="D934" s="34">
        <v>0.015</v>
      </c>
      <c r="E934" s="293">
        <f t="shared" si="30"/>
        <v>0</v>
      </c>
      <c r="F934" s="291" t="str">
        <v>Health Care</v>
      </c>
      <c r="G934" s="293">
        <f t="shared" si="31"/>
        <v>0</v>
      </c>
      <c r="H934" s="291"/>
      <c r="J934" s="36"/>
      <c r="X934" s="291"/>
      <c r="Z934" t="s">
        <v>825</v>
      </c>
    </row>
    <row r="935" spans="1:26">
      <c r="A935" t="s">
        <v>1625</v>
      </c>
      <c r="B935" s="127" t="s">
        <v>565</v>
      </c>
      <c r="C935" s="291" t="str">
        <v>Sequent Scientific Ltd</v>
      </c>
      <c r="D935" s="34">
        <v>0.018</v>
      </c>
      <c r="E935" s="293">
        <f t="shared" si="30"/>
        <v>0</v>
      </c>
      <c r="F935" s="291" t="str">
        <v>Health Care</v>
      </c>
      <c r="G935" s="293">
        <f t="shared" si="31"/>
        <v>0</v>
      </c>
      <c r="H935" s="291"/>
      <c r="J935" s="36"/>
      <c r="X935" s="291"/>
      <c r="Z935" t="s">
        <v>1625</v>
      </c>
    </row>
    <row r="936" spans="1:26">
      <c r="A936" t="s">
        <v>1562</v>
      </c>
      <c r="B936" s="127" t="s">
        <v>565</v>
      </c>
      <c r="C936" s="291" t="str">
        <v>Cohance Lifesciences Ltd</v>
      </c>
      <c r="D936" s="34">
        <v>0.015</v>
      </c>
      <c r="E936" s="293">
        <f t="shared" si="30"/>
        <v>0</v>
      </c>
      <c r="F936" s="291" t="str">
        <v>Health Care</v>
      </c>
      <c r="G936" s="293">
        <f t="shared" si="31"/>
        <v>0</v>
      </c>
      <c r="H936" s="291"/>
      <c r="J936" s="36"/>
      <c r="X936" s="291"/>
      <c r="Z936" t="s">
        <v>1562</v>
      </c>
    </row>
    <row r="937" spans="1:26">
      <c r="A937" t="s">
        <v>1461</v>
      </c>
      <c r="B937" s="127" t="s">
        <v>565</v>
      </c>
      <c r="C937" s="291" t="str">
        <v>Ipca Laboratories Ltd</v>
      </c>
      <c r="D937" s="34">
        <v>0.018</v>
      </c>
      <c r="E937" s="293">
        <f t="shared" si="30"/>
        <v>0</v>
      </c>
      <c r="F937" s="291" t="str">
        <v>Health Care</v>
      </c>
      <c r="G937" s="293">
        <f t="shared" si="31"/>
        <v>0</v>
      </c>
      <c r="H937" s="291"/>
      <c r="J937" s="36"/>
      <c r="X937" s="291"/>
      <c r="Z937" t="s">
        <v>1461</v>
      </c>
    </row>
    <row r="938" spans="1:26">
      <c r="A938" t="s">
        <v>1360</v>
      </c>
      <c r="B938" s="127" t="s">
        <v>565</v>
      </c>
      <c r="C938" s="291" t="str">
        <v>Krishna Institute of Medical S</v>
      </c>
      <c r="D938" s="34">
        <v>0.024</v>
      </c>
      <c r="E938" s="293">
        <f t="shared" si="30"/>
        <v>0</v>
      </c>
      <c r="F938" s="291" t="str">
        <v>Health Care</v>
      </c>
      <c r="G938" s="293">
        <f t="shared" si="31"/>
        <v>0</v>
      </c>
      <c r="H938" s="291"/>
      <c r="J938" s="36"/>
      <c r="X938" s="291"/>
      <c r="Z938" t="s">
        <v>1360</v>
      </c>
    </row>
    <row r="939" spans="1:26">
      <c r="A939" t="s">
        <v>1628</v>
      </c>
      <c r="B939" s="127" t="s">
        <v>565</v>
      </c>
      <c r="C939" s="291" t="str">
        <v>Artemis Medicare Services Ltd</v>
      </c>
      <c r="D939" s="34">
        <v>0.016</v>
      </c>
      <c r="E939" s="293">
        <f t="shared" si="30"/>
        <v>0</v>
      </c>
      <c r="F939" s="291" t="str">
        <v>Health Care</v>
      </c>
      <c r="G939" s="293">
        <f t="shared" si="31"/>
        <v>0</v>
      </c>
      <c r="H939" s="291"/>
      <c r="J939" s="36"/>
      <c r="X939" s="291"/>
      <c r="Z939" t="s">
        <v>1628</v>
      </c>
    </row>
    <row r="940" spans="1:26">
      <c r="A940" t="s">
        <v>1630</v>
      </c>
      <c r="B940" s="127" t="s">
        <v>565</v>
      </c>
      <c r="C940" s="291" t="str">
        <v>Onesource Specialty Pharma Ltd</v>
      </c>
      <c r="D940" s="34">
        <v>0.02</v>
      </c>
      <c r="E940" s="293">
        <f t="shared" si="30"/>
        <v>0</v>
      </c>
      <c r="F940" s="291" t="str">
        <v>Health Care</v>
      </c>
      <c r="G940" s="293">
        <f t="shared" si="31"/>
        <v>0</v>
      </c>
      <c r="H940" s="291"/>
      <c r="J940" s="36"/>
      <c r="X940" s="291"/>
      <c r="Z940" t="s">
        <v>1630</v>
      </c>
    </row>
    <row r="941" spans="1:26">
      <c r="A941" t="s">
        <v>1632</v>
      </c>
      <c r="B941" s="127" t="s">
        <v>565</v>
      </c>
      <c r="C941" s="291" t="str">
        <v>Senores Pharmaceuticals Ltd</v>
      </c>
      <c r="D941" s="34">
        <v>0.018</v>
      </c>
      <c r="E941" s="293">
        <f t="shared" si="30"/>
        <v>0</v>
      </c>
      <c r="F941" s="291" t="str">
        <v>Health Care</v>
      </c>
      <c r="G941" s="293">
        <f t="shared" si="31"/>
        <v>0</v>
      </c>
      <c r="H941" s="291"/>
      <c r="J941" s="36"/>
      <c r="X941" s="291"/>
      <c r="Z941" t="s">
        <v>1632</v>
      </c>
    </row>
    <row r="942" spans="1:26">
      <c r="A942" t="s">
        <v>1634</v>
      </c>
      <c r="B942" s="127" t="s">
        <v>565</v>
      </c>
      <c r="C942" s="291" t="str">
        <v>Man Industries India Ltd</v>
      </c>
      <c r="D942" s="34">
        <v>0.017</v>
      </c>
      <c r="E942" s="293">
        <f t="shared" si="30"/>
        <v>0</v>
      </c>
      <c r="F942" s="291" t="str">
        <v>Industrials</v>
      </c>
      <c r="G942" s="293">
        <f t="shared" si="31"/>
        <v>0</v>
      </c>
      <c r="H942" s="291"/>
      <c r="J942" s="36"/>
      <c r="X942" s="291"/>
      <c r="Z942" t="s">
        <v>1634</v>
      </c>
    </row>
    <row r="943" spans="1:26">
      <c r="A943" t="s">
        <v>1636</v>
      </c>
      <c r="B943" s="127" t="s">
        <v>565</v>
      </c>
      <c r="C943" s="291" t="str">
        <v>Max Estates Ltd</v>
      </c>
      <c r="D943" s="34">
        <v>0.014</v>
      </c>
      <c r="E943" s="293">
        <f t="shared" si="30"/>
        <v>0</v>
      </c>
      <c r="F943" s="291" t="str">
        <v>Real Estate</v>
      </c>
      <c r="G943" s="293">
        <f t="shared" si="31"/>
        <v>0</v>
      </c>
      <c r="H943" s="291"/>
      <c r="J943" s="36"/>
      <c r="X943" s="291"/>
      <c r="Z943" t="s">
        <v>1636</v>
      </c>
    </row>
    <row r="944" spans="1:26">
      <c r="A944" t="s">
        <v>1638</v>
      </c>
      <c r="B944" s="127" t="s">
        <v>565</v>
      </c>
      <c r="C944" s="291" t="str">
        <v>Mastek Ltd</v>
      </c>
      <c r="D944" s="34">
        <v>0.022</v>
      </c>
      <c r="E944" s="293">
        <f t="shared" si="30"/>
        <v>0</v>
      </c>
      <c r="F944" s="291" t="str">
        <v>Information Technology</v>
      </c>
      <c r="G944" s="293">
        <f t="shared" si="31"/>
        <v>0</v>
      </c>
      <c r="H944" s="291"/>
      <c r="J944" s="36"/>
      <c r="X944" s="291"/>
      <c r="Z944" t="s">
        <v>1638</v>
      </c>
    </row>
    <row r="945" spans="1:26">
      <c r="A945" t="s">
        <v>1640</v>
      </c>
      <c r="B945" s="127" t="s">
        <v>565</v>
      </c>
      <c r="C945" s="291" t="str">
        <v>Happiest Minds Technologies Lt</v>
      </c>
      <c r="D945" s="34">
        <v>0.014</v>
      </c>
      <c r="E945" s="293">
        <f t="shared" si="30"/>
        <v>0</v>
      </c>
      <c r="F945" s="291" t="str">
        <v>Information Technology</v>
      </c>
      <c r="G945" s="293">
        <f t="shared" si="31"/>
        <v>0</v>
      </c>
      <c r="H945" s="291"/>
      <c r="J945" s="36"/>
      <c r="X945" s="291"/>
      <c r="Z945" t="s">
        <v>1640</v>
      </c>
    </row>
    <row r="946" spans="1:26">
      <c r="A946" t="s">
        <v>1642</v>
      </c>
      <c r="B946" s="127" t="s">
        <v>565</v>
      </c>
      <c r="C946" s="291" t="str">
        <v>R Systems International Ltd</v>
      </c>
      <c r="D946" s="34">
        <v>0.012</v>
      </c>
      <c r="E946" s="293">
        <f t="shared" si="30"/>
        <v>0</v>
      </c>
      <c r="F946" s="291" t="str">
        <v>Information Technology</v>
      </c>
      <c r="G946" s="293">
        <f t="shared" si="31"/>
        <v>0</v>
      </c>
      <c r="H946" s="291"/>
      <c r="J946" s="36"/>
      <c r="X946" s="291"/>
      <c r="Z946" t="s">
        <v>1642</v>
      </c>
    </row>
    <row r="947" spans="1:26">
      <c r="A947" t="s">
        <v>1002</v>
      </c>
      <c r="B947" s="127" t="s">
        <v>565</v>
      </c>
      <c r="C947" s="291" t="str">
        <v>PB Fintech Ltd</v>
      </c>
      <c r="D947" s="34">
        <v>0.021</v>
      </c>
      <c r="E947" s="293">
        <f t="shared" si="30"/>
        <v>0</v>
      </c>
      <c r="F947" s="291" t="str">
        <v>Financials</v>
      </c>
      <c r="G947" s="293">
        <f t="shared" si="31"/>
        <v>0</v>
      </c>
      <c r="H947" s="291"/>
      <c r="J947" s="36"/>
      <c r="X947" s="291"/>
      <c r="Z947" t="s">
        <v>1002</v>
      </c>
    </row>
    <row r="948" spans="1:26">
      <c r="A948" t="s">
        <v>1644</v>
      </c>
      <c r="B948" s="127" t="s">
        <v>565</v>
      </c>
      <c r="C948" s="291" t="str">
        <v>Gokaldas Exports Ltd</v>
      </c>
      <c r="D948" s="34">
        <v>0.012</v>
      </c>
      <c r="E948" s="293">
        <f t="shared" si="30"/>
        <v>0</v>
      </c>
      <c r="F948" s="291" t="str">
        <v>Consumer Discretionary</v>
      </c>
      <c r="G948" s="293">
        <f t="shared" si="31"/>
        <v>0</v>
      </c>
      <c r="H948" s="291"/>
      <c r="J948" s="36"/>
      <c r="X948" s="291"/>
      <c r="Z948" t="s">
        <v>1644</v>
      </c>
    </row>
    <row r="949" spans="1:26">
      <c r="A949" t="s">
        <v>1069</v>
      </c>
      <c r="B949" s="117" t="s">
        <v>52</v>
      </c>
      <c r="C949" s="291" t="str">
        <v>TVS Motor Co Ltd</v>
      </c>
      <c r="D949" s="34">
        <v>0.015</v>
      </c>
      <c r="E949" s="293">
        <f t="shared" si="30"/>
        <v>0</v>
      </c>
      <c r="F949" s="291" t="str">
        <v>Consumer Discretionary</v>
      </c>
      <c r="G949" s="293">
        <f t="shared" si="31"/>
        <v>0</v>
      </c>
      <c r="H949" s="291"/>
      <c r="J949" s="36"/>
      <c r="X949" s="291"/>
      <c r="Z949" t="s">
        <v>1069</v>
      </c>
    </row>
    <row r="950" spans="1:26">
      <c r="A950" t="s">
        <v>990</v>
      </c>
      <c r="B950" s="117" t="s">
        <v>52</v>
      </c>
      <c r="C950" s="291" t="str">
        <v>Maruti Suzuki India Ltd</v>
      </c>
      <c r="D950" s="34">
        <v>0.015</v>
      </c>
      <c r="E950" s="293">
        <f t="shared" si="30"/>
        <v>0</v>
      </c>
      <c r="F950" s="291" t="str">
        <v>Consumer Discretionary</v>
      </c>
      <c r="G950" s="293">
        <f t="shared" si="31"/>
        <v>0</v>
      </c>
      <c r="H950" s="291"/>
      <c r="J950" s="36"/>
      <c r="X950" s="291"/>
      <c r="Z950" t="s">
        <v>990</v>
      </c>
    </row>
    <row r="951" spans="1:26">
      <c r="A951" t="s">
        <v>1646</v>
      </c>
      <c r="B951" s="117" t="s">
        <v>52</v>
      </c>
      <c r="C951" s="291" t="str">
        <v>JK Tyre &amp; Industries Ltd</v>
      </c>
      <c r="D951" s="34">
        <v>0.006</v>
      </c>
      <c r="E951" s="293">
        <f t="shared" si="30"/>
        <v>0</v>
      </c>
      <c r="F951" s="291" t="str">
        <v>Consumer Discretionary</v>
      </c>
      <c r="G951" s="293">
        <f t="shared" si="31"/>
        <v>0</v>
      </c>
      <c r="H951" s="291"/>
      <c r="J951" s="36"/>
      <c r="X951" s="291"/>
      <c r="Z951" t="s">
        <v>1646</v>
      </c>
    </row>
    <row r="952" spans="1:26">
      <c r="A952" t="s">
        <v>1079</v>
      </c>
      <c r="B952" s="117" t="s">
        <v>52</v>
      </c>
      <c r="C952" s="291" t="str">
        <v>UNO Minda Ltd</v>
      </c>
      <c r="D952" s="34">
        <v>0.016</v>
      </c>
      <c r="E952" s="293">
        <f t="shared" si="30"/>
        <v>0</v>
      </c>
      <c r="F952" s="291" t="str">
        <v>Consumer Discretionary</v>
      </c>
      <c r="G952" s="293">
        <f t="shared" si="31"/>
        <v>0</v>
      </c>
      <c r="H952" s="291"/>
      <c r="J952" s="36"/>
      <c r="X952" s="291"/>
      <c r="Z952" t="s">
        <v>1079</v>
      </c>
    </row>
    <row r="953" spans="1:26">
      <c r="A953" t="s">
        <v>927</v>
      </c>
      <c r="B953" s="117" t="s">
        <v>52</v>
      </c>
      <c r="C953" s="291" t="str">
        <v>HDFC Life Insurance Co Ltd</v>
      </c>
      <c r="D953" s="34">
        <v>0.01</v>
      </c>
      <c r="E953" s="293">
        <f t="shared" si="30"/>
        <v>0</v>
      </c>
      <c r="F953" s="291" t="str">
        <v>Financials</v>
      </c>
      <c r="G953" s="293">
        <f t="shared" si="31"/>
        <v>0</v>
      </c>
      <c r="H953" s="291"/>
      <c r="J953" s="36"/>
      <c r="X953" s="291"/>
      <c r="Z953" t="s">
        <v>927</v>
      </c>
    </row>
    <row r="954" spans="1:26">
      <c r="A954" t="s">
        <v>972</v>
      </c>
      <c r="B954" s="117" t="s">
        <v>52</v>
      </c>
      <c r="C954" s="291" t="str">
        <v>Kotak Mahindra Bank Ltd</v>
      </c>
      <c r="D954" s="34">
        <v>0.013</v>
      </c>
      <c r="E954" s="293">
        <f t="shared" si="30"/>
        <v>0</v>
      </c>
      <c r="F954" s="291" t="str">
        <v>Financials</v>
      </c>
      <c r="G954" s="293">
        <f t="shared" si="31"/>
        <v>0</v>
      </c>
      <c r="H954" s="291"/>
      <c r="J954" s="36"/>
      <c r="X954" s="291"/>
      <c r="Z954" t="s">
        <v>972</v>
      </c>
    </row>
    <row r="955" spans="1:26">
      <c r="A955" t="s">
        <v>1311</v>
      </c>
      <c r="B955" s="117" t="s">
        <v>52</v>
      </c>
      <c r="C955" s="291" t="str">
        <v>Shriram Finance Ltd</v>
      </c>
      <c r="D955" s="34">
        <v>0.017</v>
      </c>
      <c r="E955" s="293">
        <f t="shared" si="30"/>
        <v>0</v>
      </c>
      <c r="F955" s="291" t="str">
        <v>Financials</v>
      </c>
      <c r="G955" s="293">
        <f t="shared" si="31"/>
        <v>0</v>
      </c>
      <c r="H955" s="291"/>
      <c r="J955" s="36"/>
      <c r="X955" s="291"/>
      <c r="Z955" t="s">
        <v>1311</v>
      </c>
    </row>
    <row r="956" spans="1:26">
      <c r="A956" t="s">
        <v>1400</v>
      </c>
      <c r="B956" s="117" t="s">
        <v>52</v>
      </c>
      <c r="C956" s="291" t="str">
        <v>PNB Housing Finance Ltd</v>
      </c>
      <c r="D956" s="34">
        <v>0.018</v>
      </c>
      <c r="E956" s="293">
        <f t="shared" si="30"/>
        <v>0</v>
      </c>
      <c r="F956" s="291" t="str">
        <v>Financials</v>
      </c>
      <c r="G956" s="293">
        <f t="shared" si="31"/>
        <v>0</v>
      </c>
      <c r="H956" s="291"/>
      <c r="J956" s="36"/>
      <c r="X956" s="291"/>
      <c r="Z956" t="s">
        <v>1400</v>
      </c>
    </row>
    <row r="957" spans="1:26">
      <c r="A957" t="s">
        <v>1041</v>
      </c>
      <c r="B957" s="117" t="s">
        <v>52</v>
      </c>
      <c r="C957" s="291" t="str">
        <v>State Bank of India</v>
      </c>
      <c r="D957" s="34">
        <v>0.024</v>
      </c>
      <c r="E957" s="293">
        <f t="shared" si="30"/>
        <v>0</v>
      </c>
      <c r="F957" s="291" t="str">
        <v>Financials</v>
      </c>
      <c r="G957" s="293">
        <f t="shared" si="31"/>
        <v>0</v>
      </c>
      <c r="H957" s="291"/>
      <c r="J957" s="36"/>
      <c r="X957" s="291"/>
      <c r="Z957" t="s">
        <v>1041</v>
      </c>
    </row>
    <row r="958" spans="1:26">
      <c r="A958" t="s">
        <v>842</v>
      </c>
      <c r="B958" s="117" t="s">
        <v>52</v>
      </c>
      <c r="C958" s="291" t="str">
        <v>Bajaj Finance Ltd</v>
      </c>
      <c r="D958" s="34">
        <v>0.024</v>
      </c>
      <c r="E958" s="293">
        <f t="shared" si="30"/>
        <v>0</v>
      </c>
      <c r="F958" s="291" t="str">
        <v>Financials</v>
      </c>
      <c r="G958" s="293">
        <f t="shared" si="31"/>
        <v>0</v>
      </c>
      <c r="H958" s="291"/>
      <c r="J958" s="36"/>
      <c r="X958" s="291"/>
      <c r="Z958" t="s">
        <v>842</v>
      </c>
    </row>
    <row r="959" spans="1:26">
      <c r="A959" t="s">
        <v>1589</v>
      </c>
      <c r="B959" s="117" t="s">
        <v>52</v>
      </c>
      <c r="C959" s="291" t="str">
        <v>Aadhar Housing Finance Ltd</v>
      </c>
      <c r="D959" s="34">
        <v>0.03</v>
      </c>
      <c r="E959" s="293">
        <f t="shared" si="30"/>
        <v>0</v>
      </c>
      <c r="F959" s="291" t="str">
        <v>Financials</v>
      </c>
      <c r="G959" s="293">
        <f t="shared" si="31"/>
        <v>0</v>
      </c>
      <c r="H959" s="291"/>
      <c r="J959" s="36"/>
      <c r="X959" s="291"/>
      <c r="Z959" t="s">
        <v>1589</v>
      </c>
    </row>
    <row r="960" spans="1:26">
      <c r="A960" t="s">
        <v>876</v>
      </c>
      <c r="B960" s="117" t="s">
        <v>52</v>
      </c>
      <c r="C960" s="291" t="str">
        <v>Cholamandalam Investment and F</v>
      </c>
      <c r="D960" s="34">
        <v>0.019</v>
      </c>
      <c r="E960" s="293">
        <f t="shared" si="30"/>
        <v>0</v>
      </c>
      <c r="F960" s="291" t="str">
        <v>Financials</v>
      </c>
      <c r="G960" s="293">
        <f t="shared" si="31"/>
        <v>0</v>
      </c>
      <c r="H960" s="291"/>
      <c r="J960" s="36"/>
      <c r="X960" s="291"/>
      <c r="Z960" t="s">
        <v>876</v>
      </c>
    </row>
    <row r="961" spans="1:26">
      <c r="A961" t="s">
        <v>936</v>
      </c>
      <c r="B961" s="117" t="s">
        <v>52</v>
      </c>
      <c r="C961" s="291" t="str">
        <v>ICICI Bank Ltd</v>
      </c>
      <c r="D961" s="34">
        <v>0.059</v>
      </c>
      <c r="E961" s="293">
        <f t="shared" si="30"/>
        <v>0</v>
      </c>
      <c r="F961" s="291" t="str">
        <v>Financials</v>
      </c>
      <c r="G961" s="293">
        <f t="shared" si="31"/>
        <v>0</v>
      </c>
      <c r="H961" s="291"/>
      <c r="J961" s="36"/>
      <c r="X961" s="291"/>
      <c r="Z961" t="s">
        <v>936</v>
      </c>
    </row>
    <row r="962" spans="1:26">
      <c r="A962" t="s">
        <v>924</v>
      </c>
      <c r="B962" s="117" t="s">
        <v>52</v>
      </c>
      <c r="C962" s="291" t="str">
        <v>HDFC Bank Ltd</v>
      </c>
      <c r="D962" s="34">
        <v>0.069</v>
      </c>
      <c r="E962" s="293">
        <f t="shared" si="30"/>
        <v>0</v>
      </c>
      <c r="F962" s="291" t="str">
        <v>Financials</v>
      </c>
      <c r="G962" s="293">
        <f t="shared" si="31"/>
        <v>0</v>
      </c>
      <c r="H962" s="291"/>
      <c r="J962" s="36"/>
      <c r="X962" s="291"/>
      <c r="Z962" t="s">
        <v>924</v>
      </c>
    </row>
    <row r="963" spans="1:26">
      <c r="A963" t="s">
        <v>943</v>
      </c>
      <c r="B963" s="117" t="s">
        <v>52</v>
      </c>
      <c r="C963" s="291" t="str">
        <v>JK Cement Ltd</v>
      </c>
      <c r="D963" s="34">
        <v>0.014</v>
      </c>
      <c r="E963" s="293">
        <f t="shared" si="30"/>
        <v>0</v>
      </c>
      <c r="F963" s="291" t="str">
        <v>Materials</v>
      </c>
      <c r="G963" s="293">
        <f t="shared" si="31"/>
        <v>0</v>
      </c>
      <c r="H963" s="291"/>
      <c r="J963" s="36"/>
      <c r="X963" s="291"/>
      <c r="Z963" t="s">
        <v>943</v>
      </c>
    </row>
    <row r="964" spans="1:26">
      <c r="A964" t="s">
        <v>1591</v>
      </c>
      <c r="B964" s="117" t="s">
        <v>52</v>
      </c>
      <c r="C964" s="291" t="str">
        <v>Sudarshan Chemical Industries</v>
      </c>
      <c r="D964" s="34">
        <v>0.02</v>
      </c>
      <c r="E964" s="293">
        <f t="shared" si="30"/>
        <v>0</v>
      </c>
      <c r="F964" s="291" t="str">
        <v>Materials</v>
      </c>
      <c r="G964" s="293">
        <f t="shared" si="31"/>
        <v>0</v>
      </c>
      <c r="H964" s="291"/>
      <c r="J964" s="36"/>
      <c r="X964" s="291"/>
      <c r="Z964" t="s">
        <v>1591</v>
      </c>
    </row>
    <row r="965" spans="1:26">
      <c r="A965" t="s">
        <v>986</v>
      </c>
      <c r="B965" s="117" t="s">
        <v>52</v>
      </c>
      <c r="C965" s="291" t="str">
        <v>Navin Fluorine International L</v>
      </c>
      <c r="D965" s="34">
        <v>0.021</v>
      </c>
      <c r="E965" s="293">
        <f t="shared" si="30"/>
        <v>0</v>
      </c>
      <c r="F965" s="291" t="str">
        <v>Materials</v>
      </c>
      <c r="G965" s="293">
        <f t="shared" si="31"/>
        <v>0</v>
      </c>
      <c r="H965" s="291"/>
      <c r="J965" s="36"/>
      <c r="X965" s="291"/>
      <c r="Z965" t="s">
        <v>986</v>
      </c>
    </row>
    <row r="966" spans="1:26">
      <c r="A966" t="s">
        <v>1096</v>
      </c>
      <c r="B966" s="117" t="s">
        <v>52</v>
      </c>
      <c r="C966" s="291" t="str">
        <v>Vinati Organics Ltd</v>
      </c>
      <c r="D966" s="34">
        <v>0.015</v>
      </c>
      <c r="E966" s="293">
        <f t="shared" si="30"/>
        <v>0</v>
      </c>
      <c r="F966" s="291" t="str">
        <v>Materials</v>
      </c>
      <c r="G966" s="293">
        <f t="shared" si="31"/>
        <v>0</v>
      </c>
      <c r="H966" s="291"/>
      <c r="J966" s="36"/>
      <c r="X966" s="291"/>
      <c r="Z966" t="s">
        <v>1096</v>
      </c>
    </row>
    <row r="967" spans="1:26">
      <c r="A967" t="s">
        <v>1597</v>
      </c>
      <c r="B967" s="117" t="s">
        <v>52</v>
      </c>
      <c r="C967" s="291" t="str">
        <v>Jubilant Ingrevia Ltd</v>
      </c>
      <c r="D967" s="34">
        <v>0.017</v>
      </c>
      <c r="E967" s="293">
        <f t="shared" si="30"/>
        <v>0</v>
      </c>
      <c r="F967" s="291" t="str">
        <v>Materials</v>
      </c>
      <c r="G967" s="293">
        <f t="shared" si="31"/>
        <v>0</v>
      </c>
      <c r="H967" s="291"/>
      <c r="J967" s="36"/>
      <c r="X967" s="291"/>
      <c r="Z967" t="s">
        <v>1597</v>
      </c>
    </row>
    <row r="968" spans="1:26">
      <c r="A968" t="s">
        <v>1010</v>
      </c>
      <c r="B968" s="117" t="s">
        <v>52</v>
      </c>
      <c r="C968" s="291" t="str">
        <v>Pidilite Industries Ltd</v>
      </c>
      <c r="D968" s="34">
        <v>0.012</v>
      </c>
      <c r="E968" s="293">
        <f t="shared" si="30"/>
        <v>0</v>
      </c>
      <c r="F968" s="291" t="str">
        <v>Materials</v>
      </c>
      <c r="G968" s="293">
        <f t="shared" si="31"/>
        <v>0</v>
      </c>
      <c r="H968" s="291"/>
      <c r="J968" s="36"/>
      <c r="X968" s="291"/>
      <c r="Z968" t="s">
        <v>1010</v>
      </c>
    </row>
    <row r="969" spans="1:26">
      <c r="A969" t="s">
        <v>1367</v>
      </c>
      <c r="B969" s="117" t="s">
        <v>52</v>
      </c>
      <c r="C969" s="291" t="str">
        <v>Finolex Cables Ltd</v>
      </c>
      <c r="D969" s="34">
        <v>0.006</v>
      </c>
      <c r="E969" s="293">
        <f t="shared" si="30"/>
        <v>0</v>
      </c>
      <c r="F969" s="291" t="str">
        <v>Industrials</v>
      </c>
      <c r="G969" s="293">
        <f t="shared" si="31"/>
        <v>0</v>
      </c>
      <c r="H969" s="291"/>
      <c r="J969" s="36"/>
      <c r="X969" s="291"/>
      <c r="Z969" t="s">
        <v>1367</v>
      </c>
    </row>
    <row r="970" spans="1:26">
      <c r="A970" t="s">
        <v>1082</v>
      </c>
      <c r="B970" s="117" t="s">
        <v>52</v>
      </c>
      <c r="C970" s="291" t="str">
        <v>Varun Beverages Ltd</v>
      </c>
      <c r="D970" s="34">
        <v>0.014</v>
      </c>
      <c r="E970" s="293">
        <f t="shared" si="30"/>
        <v>0</v>
      </c>
      <c r="F970" s="291" t="str">
        <v>Consumer Staples</v>
      </c>
      <c r="G970" s="293">
        <f t="shared" si="31"/>
        <v>0</v>
      </c>
      <c r="H970" s="291"/>
      <c r="J970" s="36"/>
      <c r="X970" s="291"/>
      <c r="Z970" t="s">
        <v>1082</v>
      </c>
    </row>
    <row r="971" spans="1:26">
      <c r="A971" t="s">
        <v>1067</v>
      </c>
      <c r="B971" s="117" t="s">
        <v>52</v>
      </c>
      <c r="C971" s="291" t="str">
        <v>Trent Ltd</v>
      </c>
      <c r="D971" s="34">
        <v>0.016</v>
      </c>
      <c r="E971" s="293">
        <f t="shared" si="30"/>
        <v>0</v>
      </c>
      <c r="F971" s="291" t="str">
        <v>Consumer Discretionary</v>
      </c>
      <c r="G971" s="293">
        <f t="shared" si="31"/>
        <v>0</v>
      </c>
      <c r="H971" s="291"/>
      <c r="J971" s="36"/>
      <c r="X971" s="291"/>
      <c r="Z971" t="s">
        <v>1067</v>
      </c>
    </row>
    <row r="972" spans="1:26">
      <c r="A972" t="s">
        <v>892</v>
      </c>
      <c r="B972" s="117" t="s">
        <v>52</v>
      </c>
      <c r="C972" s="291" t="str">
        <v>Dixon Technologies India Ltd</v>
      </c>
      <c r="D972" s="34">
        <v>0.017</v>
      </c>
      <c r="E972" s="293">
        <f t="shared" si="30"/>
        <v>0</v>
      </c>
      <c r="F972" s="291" t="str">
        <v>Consumer Discretionary</v>
      </c>
      <c r="G972" s="293">
        <f t="shared" si="31"/>
        <v>0</v>
      </c>
      <c r="H972" s="291"/>
      <c r="J972" s="36"/>
      <c r="X972" s="291"/>
      <c r="Z972" t="s">
        <v>892</v>
      </c>
    </row>
    <row r="973" spans="1:26">
      <c r="A973" t="s">
        <v>1196</v>
      </c>
      <c r="B973" s="117" t="s">
        <v>52</v>
      </c>
      <c r="C973" s="291" t="str">
        <v>Polycab India Ltd</v>
      </c>
      <c r="D973" s="34">
        <v>0.015</v>
      </c>
      <c r="E973" s="293">
        <f t="shared" si="30"/>
        <v>0</v>
      </c>
      <c r="F973" s="291" t="str">
        <v>Industrials</v>
      </c>
      <c r="G973" s="293">
        <f t="shared" si="31"/>
        <v>0</v>
      </c>
      <c r="H973" s="291"/>
      <c r="J973" s="36"/>
      <c r="X973" s="291"/>
      <c r="Z973" t="s">
        <v>1196</v>
      </c>
    </row>
    <row r="974" spans="1:26">
      <c r="A974" t="s">
        <v>1648</v>
      </c>
      <c r="B974" s="117" t="s">
        <v>52</v>
      </c>
      <c r="C974" s="291" t="str">
        <v>Kirloskar Pneumatic Co Ltd</v>
      </c>
      <c r="D974" s="34">
        <v>0.015</v>
      </c>
      <c r="E974" s="293">
        <f t="shared" si="30"/>
        <v>0</v>
      </c>
      <c r="F974" s="291" t="str">
        <v>Industrials</v>
      </c>
      <c r="G974" s="293">
        <f t="shared" si="31"/>
        <v>0</v>
      </c>
      <c r="H974" s="291"/>
      <c r="J974" s="36"/>
      <c r="X974" s="291"/>
      <c r="Z974" t="s">
        <v>1648</v>
      </c>
    </row>
    <row r="975" spans="1:26">
      <c r="A975" t="s">
        <v>1444</v>
      </c>
      <c r="B975" s="117" t="s">
        <v>52</v>
      </c>
      <c r="C975" s="291" t="str">
        <v>Bharat Heavy Electricals Ltd</v>
      </c>
      <c r="D975" s="34">
        <v>0.019</v>
      </c>
      <c r="E975" s="293">
        <f t="shared" si="30"/>
        <v>0</v>
      </c>
      <c r="F975" s="291" t="str">
        <v>Industrials</v>
      </c>
      <c r="G975" s="293">
        <f t="shared" si="31"/>
        <v>0</v>
      </c>
      <c r="H975" s="291"/>
      <c r="J975" s="36"/>
      <c r="X975" s="291"/>
      <c r="Z975" t="s">
        <v>1444</v>
      </c>
    </row>
    <row r="976" spans="1:26">
      <c r="A976" t="s">
        <v>1193</v>
      </c>
      <c r="B976" s="117" t="s">
        <v>52</v>
      </c>
      <c r="C976" s="291" t="str">
        <v>KSB Ltd</v>
      </c>
      <c r="D976" s="34">
        <v>0.021</v>
      </c>
      <c r="E976" s="293">
        <f t="shared" si="30"/>
        <v>0</v>
      </c>
      <c r="F976" s="291" t="str">
        <v>Industrials</v>
      </c>
      <c r="G976" s="293">
        <f t="shared" si="31"/>
        <v>0</v>
      </c>
      <c r="H976" s="291"/>
      <c r="J976" s="36"/>
      <c r="X976" s="291"/>
      <c r="Z976" t="s">
        <v>1193</v>
      </c>
    </row>
    <row r="977" spans="1:26">
      <c r="A977" t="s">
        <v>1371</v>
      </c>
      <c r="B977" s="117" t="s">
        <v>52</v>
      </c>
      <c r="C977" s="291" t="str">
        <v>Hitachi Energy India Ltd</v>
      </c>
      <c r="D977" s="34">
        <v>0.033</v>
      </c>
      <c r="E977" s="293">
        <f t="shared" si="30"/>
        <v>0</v>
      </c>
      <c r="F977" s="291" t="str">
        <v>Industrials</v>
      </c>
      <c r="G977" s="293">
        <f t="shared" si="31"/>
        <v>0</v>
      </c>
      <c r="H977" s="291"/>
      <c r="J977" s="36"/>
      <c r="X977" s="291"/>
      <c r="Z977" t="s">
        <v>1371</v>
      </c>
    </row>
    <row r="978" spans="1:26">
      <c r="A978" t="s">
        <v>1034</v>
      </c>
      <c r="B978" s="117" t="s">
        <v>52</v>
      </c>
      <c r="C978" s="291" t="str">
        <v>Reliance Industries Ltd</v>
      </c>
      <c r="D978" s="34">
        <v>0.036</v>
      </c>
      <c r="E978" s="293">
        <f t="shared" ref="E978:E1012" si="32">_xlfn.IFNA(D978*VLOOKUP($B978,$AK$1:$AM$34,3,FALSE),0)</f>
        <v>0</v>
      </c>
      <c r="F978" s="291" t="str">
        <v>Energy</v>
      </c>
      <c r="G978" s="293">
        <f t="shared" ref="G978:G1012" si="33">_xlfn.IFNA(D978*VLOOKUP($B978,$AK$1:$AM$34,3,FALSE),0)</f>
        <v>0</v>
      </c>
      <c r="H978" s="291"/>
      <c r="J978" s="36"/>
      <c r="X978" s="291"/>
      <c r="Z978" t="s">
        <v>1034</v>
      </c>
    </row>
    <row r="979" spans="1:26">
      <c r="A979" t="s">
        <v>981</v>
      </c>
      <c r="B979" s="117" t="s">
        <v>52</v>
      </c>
      <c r="C979" s="291" t="str">
        <v>Multi Commodity Exchange of In</v>
      </c>
      <c r="D979" s="34">
        <v>0.028</v>
      </c>
      <c r="E979" s="293">
        <f t="shared" si="32"/>
        <v>0</v>
      </c>
      <c r="F979" s="291" t="str">
        <v>Financials</v>
      </c>
      <c r="G979" s="293">
        <f t="shared" si="33"/>
        <v>0</v>
      </c>
      <c r="H979" s="291"/>
      <c r="J979" s="36"/>
      <c r="X979" s="291"/>
      <c r="Z979" t="s">
        <v>981</v>
      </c>
    </row>
    <row r="980" spans="1:26">
      <c r="A980" t="s">
        <v>825</v>
      </c>
      <c r="B980" s="117" t="s">
        <v>52</v>
      </c>
      <c r="C980" s="291" t="str">
        <v>Ajanta Pharma Ltd</v>
      </c>
      <c r="D980" s="34">
        <v>0.014</v>
      </c>
      <c r="E980" s="293">
        <f t="shared" si="32"/>
        <v>0</v>
      </c>
      <c r="F980" s="291" t="str">
        <v>Health Care</v>
      </c>
      <c r="G980" s="293">
        <f t="shared" si="33"/>
        <v>0</v>
      </c>
      <c r="H980" s="291"/>
      <c r="J980" s="36"/>
      <c r="X980" s="291"/>
      <c r="Z980" t="s">
        <v>825</v>
      </c>
    </row>
    <row r="981" spans="1:26">
      <c r="A981" t="s">
        <v>1461</v>
      </c>
      <c r="B981" s="117" t="s">
        <v>52</v>
      </c>
      <c r="C981" s="291" t="str">
        <v>Ipca Laboratories Ltd</v>
      </c>
      <c r="D981" s="34">
        <v>0.014</v>
      </c>
      <c r="E981" s="293">
        <f t="shared" si="32"/>
        <v>0</v>
      </c>
      <c r="F981" s="291" t="str">
        <v>Health Care</v>
      </c>
      <c r="G981" s="293">
        <f t="shared" si="33"/>
        <v>0</v>
      </c>
      <c r="H981" s="291"/>
      <c r="J981" s="36"/>
      <c r="X981" s="291"/>
      <c r="Z981" t="s">
        <v>1461</v>
      </c>
    </row>
    <row r="982" spans="1:26">
      <c r="A982" t="s">
        <v>1625</v>
      </c>
      <c r="B982" s="117" t="s">
        <v>52</v>
      </c>
      <c r="C982" s="291" t="str">
        <v>Sequent Scientific Ltd</v>
      </c>
      <c r="D982" s="34">
        <v>0.022</v>
      </c>
      <c r="E982" s="293">
        <f t="shared" si="32"/>
        <v>0</v>
      </c>
      <c r="F982" s="291" t="str">
        <v>Health Care</v>
      </c>
      <c r="G982" s="293">
        <f t="shared" si="33"/>
        <v>0</v>
      </c>
      <c r="H982" s="291"/>
      <c r="J982" s="36"/>
      <c r="X982" s="291"/>
      <c r="Z982" t="s">
        <v>1625</v>
      </c>
    </row>
    <row r="983" spans="1:26">
      <c r="A983" t="s">
        <v>921</v>
      </c>
      <c r="B983" s="117" t="s">
        <v>52</v>
      </c>
      <c r="C983" s="291" t="str">
        <v>Global Health Ltd/India</v>
      </c>
      <c r="D983" s="34">
        <v>0.022</v>
      </c>
      <c r="E983" s="293">
        <f t="shared" si="32"/>
        <v>0</v>
      </c>
      <c r="F983" s="291" t="str">
        <v>Health Care</v>
      </c>
      <c r="G983" s="293">
        <f t="shared" si="33"/>
        <v>0</v>
      </c>
      <c r="H983" s="291"/>
      <c r="J983" s="36"/>
      <c r="X983" s="291"/>
      <c r="Z983" t="s">
        <v>921</v>
      </c>
    </row>
    <row r="984" spans="1:26">
      <c r="A984" t="s">
        <v>1562</v>
      </c>
      <c r="B984" s="117" t="s">
        <v>52</v>
      </c>
      <c r="C984" s="291" t="str">
        <v>Cohance Lifesciences Ltd</v>
      </c>
      <c r="D984" s="34">
        <v>0.014</v>
      </c>
      <c r="E984" s="293">
        <f t="shared" si="32"/>
        <v>0</v>
      </c>
      <c r="F984" s="291" t="str">
        <v>Health Care</v>
      </c>
      <c r="G984" s="293">
        <f t="shared" si="33"/>
        <v>0</v>
      </c>
      <c r="H984" s="291"/>
      <c r="J984" s="36"/>
      <c r="X984" s="291"/>
      <c r="Z984" t="s">
        <v>1562</v>
      </c>
    </row>
    <row r="985" spans="1:26">
      <c r="A985" t="s">
        <v>826</v>
      </c>
      <c r="B985" s="117" t="s">
        <v>52</v>
      </c>
      <c r="C985" s="291" t="str">
        <v>Anthem Biosciences Ltd</v>
      </c>
      <c r="D985" s="34">
        <v>0.011</v>
      </c>
      <c r="E985" s="293">
        <f t="shared" si="32"/>
        <v>0</v>
      </c>
      <c r="F985" s="291" t="str">
        <v>Health Care</v>
      </c>
      <c r="G985" s="293">
        <f t="shared" si="33"/>
        <v>0</v>
      </c>
      <c r="H985" s="291"/>
      <c r="J985" s="36"/>
      <c r="X985" s="291"/>
      <c r="Z985" t="s">
        <v>826</v>
      </c>
    </row>
    <row r="986" spans="1:26">
      <c r="A986" t="s">
        <v>1650</v>
      </c>
      <c r="B986" s="117" t="s">
        <v>52</v>
      </c>
      <c r="C986" s="291" t="str">
        <v>Neuland Laboratories Ltd</v>
      </c>
      <c r="D986" s="34">
        <v>0.011</v>
      </c>
      <c r="E986" s="293">
        <f t="shared" si="32"/>
        <v>0</v>
      </c>
      <c r="F986" s="291" t="str">
        <v>Health Care</v>
      </c>
      <c r="G986" s="293">
        <f t="shared" si="33"/>
        <v>0</v>
      </c>
      <c r="H986" s="291"/>
      <c r="J986" s="36"/>
      <c r="X986" s="291"/>
      <c r="Z986" t="s">
        <v>1650</v>
      </c>
    </row>
    <row r="987" spans="1:26">
      <c r="A987" t="s">
        <v>1063</v>
      </c>
      <c r="B987" s="117" t="s">
        <v>52</v>
      </c>
      <c r="C987" s="291" t="str">
        <v>Tata Power Co Ltd/The</v>
      </c>
      <c r="D987" s="34">
        <v>0.02</v>
      </c>
      <c r="E987" s="293">
        <f t="shared" si="32"/>
        <v>0</v>
      </c>
      <c r="F987" s="291" t="str">
        <v>Utilities</v>
      </c>
      <c r="G987" s="293">
        <f t="shared" si="33"/>
        <v>0</v>
      </c>
      <c r="H987" s="291"/>
      <c r="J987" s="36"/>
      <c r="X987" s="291"/>
      <c r="Z987" t="s">
        <v>1063</v>
      </c>
    </row>
    <row r="988" spans="1:26">
      <c r="A988" t="s">
        <v>1059</v>
      </c>
      <c r="B988" s="117" t="s">
        <v>52</v>
      </c>
      <c r="C988" s="291" t="str">
        <v>Tech Mahindra Ltd</v>
      </c>
      <c r="D988" s="34">
        <v>0.01</v>
      </c>
      <c r="E988" s="293">
        <f t="shared" si="32"/>
        <v>0</v>
      </c>
      <c r="F988" s="291" t="str">
        <v>Information Technology</v>
      </c>
      <c r="G988" s="293">
        <f t="shared" si="33"/>
        <v>0</v>
      </c>
      <c r="H988" s="291"/>
      <c r="J988" s="36"/>
      <c r="X988" s="291"/>
      <c r="Z988" t="s">
        <v>1059</v>
      </c>
    </row>
    <row r="989" spans="1:26">
      <c r="A989" t="s">
        <v>955</v>
      </c>
      <c r="B989" s="117" t="s">
        <v>52</v>
      </c>
      <c r="C989" s="291" t="str">
        <v>Infosys Ltd</v>
      </c>
      <c r="D989" s="34">
        <v>0.029</v>
      </c>
      <c r="E989" s="293">
        <f t="shared" si="32"/>
        <v>0</v>
      </c>
      <c r="F989" s="291" t="str">
        <v>Information Technology</v>
      </c>
      <c r="G989" s="293">
        <f t="shared" si="33"/>
        <v>0</v>
      </c>
      <c r="H989" s="291"/>
      <c r="J989" s="36"/>
      <c r="X989" s="291"/>
      <c r="Z989" t="s">
        <v>955</v>
      </c>
    </row>
    <row r="990" spans="1:26">
      <c r="A990" t="s">
        <v>882</v>
      </c>
      <c r="B990" s="117" t="s">
        <v>52</v>
      </c>
      <c r="C990" s="291" t="str">
        <v>Coforge Ltd</v>
      </c>
      <c r="D990" s="34">
        <v>0.031</v>
      </c>
      <c r="E990" s="293">
        <f t="shared" si="32"/>
        <v>0</v>
      </c>
      <c r="F990" s="291" t="str">
        <v>Information Technology</v>
      </c>
      <c r="G990" s="293">
        <f t="shared" si="33"/>
        <v>0</v>
      </c>
      <c r="H990" s="291"/>
      <c r="J990" s="36"/>
      <c r="X990" s="291"/>
      <c r="Z990" t="s">
        <v>882</v>
      </c>
    </row>
    <row r="991" spans="1:26">
      <c r="A991" t="s">
        <v>1051</v>
      </c>
      <c r="B991" s="117" t="s">
        <v>52</v>
      </c>
      <c r="C991" s="291" t="str">
        <v>Tata Consultancy Services Ltd</v>
      </c>
      <c r="D991" s="34">
        <v>0.019</v>
      </c>
      <c r="E991" s="293">
        <f t="shared" si="32"/>
        <v>0</v>
      </c>
      <c r="F991" s="291" t="str">
        <v>Information Technology</v>
      </c>
      <c r="G991" s="293">
        <f t="shared" si="33"/>
        <v>0</v>
      </c>
      <c r="H991" s="291"/>
      <c r="J991" s="36"/>
      <c r="X991" s="291"/>
      <c r="Z991" t="s">
        <v>1051</v>
      </c>
    </row>
    <row r="992" spans="1:26">
      <c r="A992" t="s">
        <v>1048</v>
      </c>
      <c r="B992" s="117" t="s">
        <v>52</v>
      </c>
      <c r="C992" s="291" t="str">
        <v>Swiggy Ltd</v>
      </c>
      <c r="D992" s="34">
        <v>0.017</v>
      </c>
      <c r="E992" s="293">
        <f t="shared" si="32"/>
        <v>0</v>
      </c>
      <c r="F992" s="291" t="str">
        <v>Consumer Discretionary</v>
      </c>
      <c r="G992" s="293">
        <f t="shared" si="33"/>
        <v>0</v>
      </c>
      <c r="H992" s="291"/>
      <c r="J992" s="36"/>
      <c r="X992" s="291"/>
      <c r="Z992" t="s">
        <v>1048</v>
      </c>
    </row>
    <row r="993" spans="1:26">
      <c r="A993" t="s">
        <v>1002</v>
      </c>
      <c r="B993" s="117" t="s">
        <v>52</v>
      </c>
      <c r="C993" s="291" t="str">
        <v>PB Fintech Ltd</v>
      </c>
      <c r="D993" s="34">
        <v>0.022</v>
      </c>
      <c r="E993" s="293">
        <f t="shared" si="32"/>
        <v>0</v>
      </c>
      <c r="F993" s="291" t="str">
        <v>Financials</v>
      </c>
      <c r="G993" s="293">
        <f t="shared" si="33"/>
        <v>0</v>
      </c>
      <c r="H993" s="291"/>
      <c r="J993" s="36"/>
      <c r="X993" s="291"/>
      <c r="Z993" t="s">
        <v>1002</v>
      </c>
    </row>
    <row r="994" spans="1:26">
      <c r="A994" t="s">
        <v>952</v>
      </c>
      <c r="B994" s="117" t="s">
        <v>52</v>
      </c>
      <c r="C994" s="291" t="str">
        <v>Indus Towers Ltd</v>
      </c>
      <c r="D994" s="34">
        <v>0.009</v>
      </c>
      <c r="E994" s="293">
        <f t="shared" si="32"/>
        <v>0</v>
      </c>
      <c r="F994" s="291" t="str">
        <v>Communication Services</v>
      </c>
      <c r="G994" s="293">
        <f t="shared" si="33"/>
        <v>0</v>
      </c>
      <c r="H994" s="291"/>
      <c r="J994" s="36"/>
      <c r="X994" s="291"/>
      <c r="Z994" t="s">
        <v>952</v>
      </c>
    </row>
    <row r="995" spans="1:26">
      <c r="A995" t="s">
        <v>855</v>
      </c>
      <c r="B995" s="117" t="s">
        <v>52</v>
      </c>
      <c r="C995" s="291" t="str">
        <v>Bharti Airtel Ltd</v>
      </c>
      <c r="D995" s="34">
        <v>0.034</v>
      </c>
      <c r="E995" s="293">
        <f t="shared" si="32"/>
        <v>0</v>
      </c>
      <c r="F995" s="291" t="str">
        <v>Communication Services</v>
      </c>
      <c r="G995" s="293">
        <f t="shared" si="33"/>
        <v>0</v>
      </c>
      <c r="H995" s="291"/>
      <c r="J995" s="36"/>
      <c r="X995" s="291"/>
      <c r="Z995" t="s">
        <v>855</v>
      </c>
    </row>
    <row r="996" spans="1:26">
      <c r="A996" t="s">
        <v>1652</v>
      </c>
      <c r="B996" s="117" t="s">
        <v>52</v>
      </c>
      <c r="C996" s="291" t="str">
        <v>Indo Count Industries Ltd</v>
      </c>
      <c r="D996" s="34">
        <v>0.006</v>
      </c>
      <c r="E996" s="293">
        <f t="shared" si="32"/>
        <v>0</v>
      </c>
      <c r="F996" s="291" t="str">
        <v>Consumer Discretionary</v>
      </c>
      <c r="G996" s="293">
        <f t="shared" si="33"/>
        <v>0</v>
      </c>
      <c r="H996" s="291"/>
      <c r="J996" s="36"/>
      <c r="X996" s="291"/>
      <c r="Z996" t="s">
        <v>1652</v>
      </c>
    </row>
    <row r="997" spans="1:26">
      <c r="A997" s="291" t="s">
        <v>1181</v>
      </c>
      <c r="B997" s="117" t="s">
        <v>55</v>
      </c>
      <c r="C997" s="291" t="str">
        <v>Max Financial Services Ltd</v>
      </c>
      <c r="D997" s="304">
        <v>0.0563</v>
      </c>
      <c r="E997" s="293">
        <f t="shared" si="32"/>
        <v>0</v>
      </c>
      <c r="F997" s="291" t="str">
        <v>Financials</v>
      </c>
      <c r="G997" s="293">
        <f t="shared" si="33"/>
        <v>0</v>
      </c>
      <c r="H997" s="291"/>
      <c r="J997" s="36"/>
      <c r="X997" s="291"/>
      <c r="Z997" s="291" t="s">
        <v>1181</v>
      </c>
    </row>
    <row r="998" spans="1:26">
      <c r="A998" s="291" t="s">
        <v>924</v>
      </c>
      <c r="B998" s="117" t="s">
        <v>55</v>
      </c>
      <c r="C998" s="291" t="str">
        <v>HDFC Bank Ltd</v>
      </c>
      <c r="D998" s="304">
        <v>0.0558</v>
      </c>
      <c r="E998" s="293">
        <f t="shared" si="32"/>
        <v>0</v>
      </c>
      <c r="F998" s="291" t="str">
        <v>Financials</v>
      </c>
      <c r="G998" s="293">
        <f t="shared" si="33"/>
        <v>0</v>
      </c>
      <c r="H998" s="291"/>
      <c r="J998" s="36"/>
      <c r="X998" s="291"/>
      <c r="Z998" s="291" t="s">
        <v>924</v>
      </c>
    </row>
    <row r="999" spans="1:26">
      <c r="A999" s="291" t="s">
        <v>1044</v>
      </c>
      <c r="B999" s="117" t="s">
        <v>55</v>
      </c>
      <c r="C999" s="291" t="str">
        <v>Sun Pharmaceutical Industries</v>
      </c>
      <c r="D999" s="304">
        <v>0.0519</v>
      </c>
      <c r="E999" s="293">
        <f t="shared" si="32"/>
        <v>0</v>
      </c>
      <c r="F999" s="291" t="str">
        <v>Health Care</v>
      </c>
      <c r="G999" s="293">
        <f t="shared" si="33"/>
        <v>0</v>
      </c>
      <c r="H999" s="291"/>
      <c r="J999" s="36"/>
      <c r="X999" s="291"/>
      <c r="Z999" s="291" t="s">
        <v>1044</v>
      </c>
    </row>
    <row r="1000" spans="1:26">
      <c r="A1000" s="291" t="s">
        <v>821</v>
      </c>
      <c r="B1000" s="117" t="s">
        <v>55</v>
      </c>
      <c r="C1000" s="291" t="str">
        <v>Aditya Birla Capital Ltd</v>
      </c>
      <c r="D1000" s="304">
        <v>0.0515</v>
      </c>
      <c r="E1000" s="293">
        <f t="shared" si="32"/>
        <v>0</v>
      </c>
      <c r="F1000" s="291" t="str">
        <v>Financials</v>
      </c>
      <c r="G1000" s="293">
        <f t="shared" si="33"/>
        <v>0</v>
      </c>
      <c r="H1000" s="291"/>
      <c r="J1000" s="36"/>
      <c r="X1000" s="291"/>
      <c r="Z1000" s="291" t="s">
        <v>821</v>
      </c>
    </row>
    <row r="1001" spans="1:26">
      <c r="A1001" s="291" t="s">
        <v>975</v>
      </c>
      <c r="B1001" s="117" t="s">
        <v>55</v>
      </c>
      <c r="C1001" s="291" t="str">
        <v>Larsen &amp; Toubro Ltd</v>
      </c>
      <c r="D1001" s="304">
        <v>0.0492</v>
      </c>
      <c r="E1001" s="293">
        <f t="shared" si="32"/>
        <v>0</v>
      </c>
      <c r="F1001" s="291" t="str">
        <v>Industrials</v>
      </c>
      <c r="G1001" s="293">
        <f t="shared" si="33"/>
        <v>0</v>
      </c>
      <c r="H1001" s="291"/>
      <c r="J1001" s="36"/>
      <c r="X1001" s="291"/>
      <c r="Z1001" s="291" t="s">
        <v>975</v>
      </c>
    </row>
    <row r="1002" spans="1:26">
      <c r="A1002" s="291" t="s">
        <v>1041</v>
      </c>
      <c r="B1002" s="117" t="s">
        <v>55</v>
      </c>
      <c r="C1002" s="291" t="str">
        <v>State Bank of India</v>
      </c>
      <c r="D1002" s="304">
        <v>0.0485</v>
      </c>
      <c r="E1002" s="293">
        <f t="shared" si="32"/>
        <v>0</v>
      </c>
      <c r="F1002" s="291" t="str">
        <v>Financials</v>
      </c>
      <c r="G1002" s="293">
        <f t="shared" si="33"/>
        <v>0</v>
      </c>
      <c r="H1002" s="291"/>
      <c r="J1002" s="36"/>
      <c r="X1002" s="291"/>
      <c r="Z1002" s="291" t="s">
        <v>1041</v>
      </c>
    </row>
    <row r="1003" spans="1:26">
      <c r="A1003" s="291" t="s">
        <v>1457</v>
      </c>
      <c r="B1003" s="117" t="s">
        <v>55</v>
      </c>
      <c r="C1003" s="291" t="str">
        <v>IIFL Finance Ltd</v>
      </c>
      <c r="D1003" s="304">
        <v>0.0476</v>
      </c>
      <c r="E1003" s="293">
        <f t="shared" si="32"/>
        <v>0</v>
      </c>
      <c r="F1003" s="291" t="str">
        <v>Financials</v>
      </c>
      <c r="G1003" s="293">
        <f t="shared" si="33"/>
        <v>0</v>
      </c>
      <c r="H1003" s="291"/>
      <c r="J1003" s="36"/>
      <c r="X1003" s="291"/>
      <c r="Z1003" s="291" t="s">
        <v>1457</v>
      </c>
    </row>
    <row r="1004" spans="1:26">
      <c r="A1004" s="291" t="s">
        <v>1654</v>
      </c>
      <c r="B1004" s="117" t="s">
        <v>55</v>
      </c>
      <c r="C1004" s="291" t="str">
        <v>Bharti Airtel Ltd</v>
      </c>
      <c r="D1004" s="304">
        <v>0.0472</v>
      </c>
      <c r="E1004" s="293">
        <f t="shared" si="32"/>
        <v>0</v>
      </c>
      <c r="F1004" s="291" t="str">
        <v>Communication Services</v>
      </c>
      <c r="G1004" s="293">
        <f t="shared" si="33"/>
        <v>0</v>
      </c>
      <c r="H1004" s="291"/>
      <c r="J1004" s="36"/>
      <c r="X1004" s="291"/>
      <c r="Z1004" s="291" t="s">
        <v>1654</v>
      </c>
    </row>
    <row r="1005" spans="1:26">
      <c r="A1005" s="291" t="s">
        <v>843</v>
      </c>
      <c r="B1005" s="117" t="s">
        <v>55</v>
      </c>
      <c r="C1005" s="291" t="str">
        <v>Axis Bank Ltd</v>
      </c>
      <c r="D1005" s="304">
        <v>0.0458</v>
      </c>
      <c r="E1005" s="293">
        <f t="shared" si="32"/>
        <v>0</v>
      </c>
      <c r="F1005" s="291" t="str">
        <v>Financials</v>
      </c>
      <c r="G1005" s="293">
        <f t="shared" si="33"/>
        <v>0</v>
      </c>
      <c r="H1005" s="291"/>
      <c r="J1005" s="36"/>
      <c r="X1005" s="291"/>
      <c r="Z1005" s="291" t="s">
        <v>843</v>
      </c>
    </row>
    <row r="1006" spans="1:26">
      <c r="A1006" s="291" t="s">
        <v>992</v>
      </c>
      <c r="B1006" s="117" t="s">
        <v>55</v>
      </c>
      <c r="C1006" s="291" t="str">
        <v>NTPC Ltd</v>
      </c>
      <c r="D1006" s="304">
        <v>0.0423</v>
      </c>
      <c r="E1006" s="293">
        <f t="shared" si="32"/>
        <v>0</v>
      </c>
      <c r="F1006" s="291" t="str">
        <v>Utilities</v>
      </c>
      <c r="G1006" s="293">
        <f t="shared" si="33"/>
        <v>0</v>
      </c>
      <c r="H1006" s="291"/>
      <c r="J1006" s="36"/>
      <c r="X1006" s="291"/>
      <c r="Z1006" s="291" t="s">
        <v>992</v>
      </c>
    </row>
    <row r="1007" spans="1:26">
      <c r="A1007" s="291" t="s">
        <v>1655</v>
      </c>
      <c r="B1007" s="117" t="s">
        <v>55</v>
      </c>
      <c r="C1007" s="291" t="str">
        <v>Jindal Stainless Ltd</v>
      </c>
      <c r="D1007" s="304">
        <v>0.0411</v>
      </c>
      <c r="E1007" s="293">
        <f t="shared" si="32"/>
        <v>0</v>
      </c>
      <c r="F1007" s="291" t="str">
        <v>Materials</v>
      </c>
      <c r="G1007" s="293">
        <f t="shared" si="33"/>
        <v>0</v>
      </c>
      <c r="H1007" s="291"/>
      <c r="J1007" s="36"/>
      <c r="X1007" s="291"/>
      <c r="Z1007" s="291" t="s">
        <v>1655</v>
      </c>
    </row>
    <row r="1008" spans="1:26">
      <c r="A1008" s="291" t="s">
        <v>1196</v>
      </c>
      <c r="B1008" s="117" t="s">
        <v>55</v>
      </c>
      <c r="C1008" s="291" t="str">
        <v>Polycab India Ltd</v>
      </c>
      <c r="D1008" s="304">
        <v>0.0384</v>
      </c>
      <c r="E1008" s="293">
        <f t="shared" si="32"/>
        <v>0</v>
      </c>
      <c r="F1008" s="291" t="str">
        <v>Industrials</v>
      </c>
      <c r="G1008" s="293">
        <f t="shared" si="33"/>
        <v>0</v>
      </c>
      <c r="H1008" s="291"/>
      <c r="J1008" s="36"/>
      <c r="X1008" s="291"/>
      <c r="Z1008" s="291" t="s">
        <v>1196</v>
      </c>
    </row>
    <row r="1009" spans="1:26">
      <c r="A1009" s="291" t="s">
        <v>1347</v>
      </c>
      <c r="B1009" s="117" t="s">
        <v>55</v>
      </c>
      <c r="C1009" s="291" t="str">
        <v>Jindal Steel &amp; Power Ltd</v>
      </c>
      <c r="D1009" s="304">
        <v>0.0326</v>
      </c>
      <c r="E1009" s="293">
        <f t="shared" si="32"/>
        <v>0</v>
      </c>
      <c r="F1009" s="291" t="str">
        <v>Materials</v>
      </c>
      <c r="G1009" s="293">
        <f t="shared" si="33"/>
        <v>0</v>
      </c>
      <c r="H1009" s="291"/>
      <c r="J1009" s="36"/>
      <c r="X1009" s="291"/>
      <c r="Z1009" s="291" t="s">
        <v>1347</v>
      </c>
    </row>
    <row r="1010" spans="1:26">
      <c r="A1010" s="291" t="s">
        <v>919</v>
      </c>
      <c r="B1010" s="117" t="s">
        <v>55</v>
      </c>
      <c r="C1010" s="291" t="str">
        <v>HCL Technologies Ltd</v>
      </c>
      <c r="D1010" s="304">
        <v>0.0319</v>
      </c>
      <c r="E1010" s="293">
        <f t="shared" si="32"/>
        <v>0</v>
      </c>
      <c r="F1010" s="291" t="str">
        <v>Information Technology</v>
      </c>
      <c r="G1010" s="293">
        <f t="shared" si="33"/>
        <v>0</v>
      </c>
      <c r="H1010" s="291"/>
      <c r="J1010" s="36"/>
      <c r="X1010" s="291"/>
      <c r="Z1010" s="291" t="s">
        <v>919</v>
      </c>
    </row>
    <row r="1011" spans="1:26">
      <c r="A1011" s="291" t="s">
        <v>1657</v>
      </c>
      <c r="B1011" s="117" t="s">
        <v>55</v>
      </c>
      <c r="C1011" s="291" t="str">
        <v>DCM Shriram Ltd</v>
      </c>
      <c r="D1011" s="304">
        <v>0.026</v>
      </c>
      <c r="E1011" s="293">
        <f t="shared" si="32"/>
        <v>0</v>
      </c>
      <c r="F1011" s="291" t="str">
        <v>Materials</v>
      </c>
      <c r="G1011" s="293">
        <f t="shared" si="33"/>
        <v>0</v>
      </c>
      <c r="H1011" s="291"/>
      <c r="J1011" s="36"/>
      <c r="X1011" s="291"/>
      <c r="Z1011" s="291" t="s">
        <v>1657</v>
      </c>
    </row>
    <row r="1012" spans="1:26">
      <c r="A1012" s="291" t="s">
        <v>1638</v>
      </c>
      <c r="B1012" s="117" t="s">
        <v>55</v>
      </c>
      <c r="C1012" s="291" t="str">
        <v>Mastek Ltd</v>
      </c>
      <c r="D1012" s="304">
        <v>0.0252</v>
      </c>
      <c r="E1012" s="293">
        <f t="shared" si="32"/>
        <v>0</v>
      </c>
      <c r="F1012" s="291" t="str">
        <v>Information Technology</v>
      </c>
      <c r="G1012" s="293">
        <f t="shared" si="33"/>
        <v>0</v>
      </c>
      <c r="H1012" s="291"/>
      <c r="J1012" s="36"/>
      <c r="X1012" s="291"/>
      <c r="Z1012" s="291" t="s">
        <v>1638</v>
      </c>
    </row>
    <row r="1013" spans="1:26">
      <c r="A1013" s="291" t="s">
        <v>952</v>
      </c>
      <c r="B1013" s="117" t="s">
        <v>55</v>
      </c>
      <c r="C1013" s="291" t="str">
        <v>Indus Towers Ltd</v>
      </c>
      <c r="D1013" s="304">
        <v>0.0242</v>
      </c>
      <c r="E1013" s="293">
        <f t="shared" ref="E1013:E1052" si="34">_xlfn.IFNA(D1013*VLOOKUP($B1013,$AK$1:$AM$34,3,FALSE),0)</f>
        <v>0</v>
      </c>
      <c r="F1013" s="291" t="str">
        <v>Communication Services</v>
      </c>
      <c r="G1013" s="293">
        <f t="shared" ref="G1013:G1052" si="35">_xlfn.IFNA(D1013*VLOOKUP($B1013,$AK$1:$AM$34,3,FALSE),0)</f>
        <v>0</v>
      </c>
      <c r="H1013" s="291"/>
      <c r="J1013" s="36"/>
      <c r="X1013" s="291"/>
      <c r="Z1013" s="291" t="s">
        <v>952</v>
      </c>
    </row>
    <row r="1014" spans="1:26">
      <c r="A1014" s="291" t="s">
        <v>1380</v>
      </c>
      <c r="B1014" s="117" t="s">
        <v>55</v>
      </c>
      <c r="C1014" s="291" t="str">
        <v>KEC International Ltd</v>
      </c>
      <c r="D1014" s="304">
        <v>0.022</v>
      </c>
      <c r="E1014" s="293">
        <f t="shared" si="34"/>
        <v>0</v>
      </c>
      <c r="F1014" s="291" t="str">
        <v>Industrials</v>
      </c>
      <c r="G1014" s="293">
        <f t="shared" si="35"/>
        <v>0</v>
      </c>
      <c r="H1014" s="291"/>
      <c r="J1014" s="36"/>
      <c r="X1014" s="291"/>
      <c r="Z1014" s="291" t="s">
        <v>1380</v>
      </c>
    </row>
    <row r="1015" spans="1:26">
      <c r="A1015" s="291" t="s">
        <v>1659</v>
      </c>
      <c r="B1015" s="117" t="s">
        <v>55</v>
      </c>
      <c r="C1015" s="291" t="str">
        <v>Crizac Ltd</v>
      </c>
      <c r="D1015" s="304">
        <v>0.0204</v>
      </c>
      <c r="E1015" s="293">
        <f t="shared" si="34"/>
        <v>0</v>
      </c>
      <c r="F1015" s="291" t="str">
        <v>Consumer Discretionary</v>
      </c>
      <c r="G1015" s="293">
        <f t="shared" si="35"/>
        <v>0</v>
      </c>
      <c r="H1015" s="291"/>
      <c r="J1015" s="36"/>
      <c r="X1015" s="291"/>
      <c r="Z1015" s="291" t="s">
        <v>1659</v>
      </c>
    </row>
    <row r="1016" spans="1:26">
      <c r="A1016" s="291" t="s">
        <v>1661</v>
      </c>
      <c r="B1016" s="117" t="s">
        <v>55</v>
      </c>
      <c r="C1016" s="291" t="str">
        <v>Akzo Nobel India Ltd</v>
      </c>
      <c r="D1016" s="304">
        <v>0.0203</v>
      </c>
      <c r="E1016" s="293">
        <f t="shared" si="34"/>
        <v>0</v>
      </c>
      <c r="F1016" s="291" t="str">
        <v>Materials</v>
      </c>
      <c r="G1016" s="293">
        <f t="shared" si="35"/>
        <v>0</v>
      </c>
      <c r="H1016" s="291"/>
      <c r="J1016" s="36"/>
      <c r="X1016" s="291"/>
      <c r="Z1016" s="291" t="s">
        <v>1661</v>
      </c>
    </row>
    <row r="1017" spans="1:26">
      <c r="A1017" s="291" t="s">
        <v>936</v>
      </c>
      <c r="B1017" s="117" t="s">
        <v>55</v>
      </c>
      <c r="C1017" s="291" t="str">
        <v>ICICI Bank Ltd</v>
      </c>
      <c r="D1017" s="304">
        <v>0.0191</v>
      </c>
      <c r="E1017" s="293">
        <f t="shared" si="34"/>
        <v>0</v>
      </c>
      <c r="F1017" s="291" t="str">
        <v>Financials</v>
      </c>
      <c r="G1017" s="293">
        <f t="shared" si="35"/>
        <v>0</v>
      </c>
      <c r="H1017" s="291"/>
      <c r="J1017" s="36"/>
      <c r="X1017" s="291"/>
      <c r="Z1017" s="291" t="s">
        <v>936</v>
      </c>
    </row>
    <row r="1018" spans="1:26">
      <c r="A1018" s="291" t="s">
        <v>1663</v>
      </c>
      <c r="B1018" s="117" t="s">
        <v>55</v>
      </c>
      <c r="C1018" s="291" t="str">
        <v>Aarti Pharmalabs Ltd</v>
      </c>
      <c r="D1018" s="304">
        <v>0.0166</v>
      </c>
      <c r="E1018" s="293">
        <f t="shared" si="34"/>
        <v>0</v>
      </c>
      <c r="F1018" s="291" t="str">
        <v>Health Care</v>
      </c>
      <c r="G1018" s="293">
        <f t="shared" si="35"/>
        <v>0</v>
      </c>
      <c r="H1018" s="291"/>
      <c r="J1018" s="36"/>
      <c r="X1018" s="291"/>
      <c r="Z1018" s="291" t="s">
        <v>1663</v>
      </c>
    </row>
    <row r="1019" spans="1:26">
      <c r="A1019" s="291" t="s">
        <v>1585</v>
      </c>
      <c r="B1019" s="117" t="s">
        <v>55</v>
      </c>
      <c r="C1019" s="291" t="str">
        <v>Shriram Pistons &amp; Rings Ltd</v>
      </c>
      <c r="D1019" s="304">
        <v>0.0162</v>
      </c>
      <c r="E1019" s="293">
        <f t="shared" si="34"/>
        <v>0</v>
      </c>
      <c r="F1019" s="291" t="str">
        <v>Consumer Discretionary</v>
      </c>
      <c r="G1019" s="293">
        <f t="shared" si="35"/>
        <v>0</v>
      </c>
      <c r="H1019" s="291"/>
      <c r="J1019" s="36"/>
      <c r="X1019" s="291"/>
      <c r="Z1019" s="291" t="s">
        <v>1585</v>
      </c>
    </row>
    <row r="1020" spans="1:26">
      <c r="A1020" s="291" t="s">
        <v>1665</v>
      </c>
      <c r="B1020" s="117" t="s">
        <v>55</v>
      </c>
      <c r="C1020" s="291" t="str">
        <v>IDFC First Bank Ltd</v>
      </c>
      <c r="D1020" s="304">
        <v>0.0155</v>
      </c>
      <c r="E1020" s="293">
        <f t="shared" si="34"/>
        <v>0</v>
      </c>
      <c r="F1020" s="291" t="str">
        <v>Financials</v>
      </c>
      <c r="G1020" s="293">
        <f t="shared" si="35"/>
        <v>0</v>
      </c>
      <c r="H1020" s="291"/>
      <c r="J1020" s="36"/>
      <c r="X1020" s="291"/>
      <c r="Z1020" s="291" t="s">
        <v>1665</v>
      </c>
    </row>
    <row r="1021" spans="1:26">
      <c r="A1021" s="291" t="s">
        <v>1149</v>
      </c>
      <c r="B1021" s="117" t="s">
        <v>55</v>
      </c>
      <c r="C1021" s="291" t="str">
        <v>Alkem Laboratories Ltd</v>
      </c>
      <c r="D1021" s="304">
        <v>0.0152</v>
      </c>
      <c r="E1021" s="293">
        <f t="shared" si="34"/>
        <v>0</v>
      </c>
      <c r="F1021" s="291" t="str">
        <v>Health Care</v>
      </c>
      <c r="G1021" s="293">
        <f t="shared" si="35"/>
        <v>0</v>
      </c>
      <c r="H1021" s="291"/>
      <c r="J1021" s="36"/>
      <c r="X1021" s="291"/>
      <c r="Z1021" s="291" t="s">
        <v>1149</v>
      </c>
    </row>
    <row r="1022" spans="1:26">
      <c r="A1022" s="291" t="s">
        <v>820</v>
      </c>
      <c r="B1022" s="117" t="s">
        <v>55</v>
      </c>
      <c r="C1022" s="291" t="str">
        <v>Aditya Birla Real Estate Ltd</v>
      </c>
      <c r="D1022" s="304">
        <v>0.0129</v>
      </c>
      <c r="E1022" s="293">
        <f t="shared" si="34"/>
        <v>0</v>
      </c>
      <c r="F1022" s="291" t="str">
        <v>Materials</v>
      </c>
      <c r="G1022" s="293">
        <f t="shared" si="35"/>
        <v>0</v>
      </c>
      <c r="H1022" s="291"/>
      <c r="J1022" s="36"/>
      <c r="X1022" s="291"/>
      <c r="Z1022" s="291" t="s">
        <v>820</v>
      </c>
    </row>
    <row r="1023" spans="1:26">
      <c r="A1023" s="291" t="s">
        <v>1261</v>
      </c>
      <c r="B1023" s="117" t="s">
        <v>55</v>
      </c>
      <c r="C1023" s="291" t="str">
        <v>Birla Corp Ltd</v>
      </c>
      <c r="D1023" s="304">
        <v>0.0126</v>
      </c>
      <c r="E1023" s="293">
        <f t="shared" si="34"/>
        <v>0</v>
      </c>
      <c r="F1023" s="291" t="str">
        <v>Materials</v>
      </c>
      <c r="G1023" s="293">
        <f t="shared" si="35"/>
        <v>0</v>
      </c>
      <c r="H1023" s="291"/>
      <c r="J1023" s="36"/>
      <c r="X1023" s="291"/>
      <c r="Z1023" s="291" t="s">
        <v>1261</v>
      </c>
    </row>
    <row r="1024" spans="1:26">
      <c r="A1024" s="291" t="s">
        <v>897</v>
      </c>
      <c r="B1024" s="117" t="s">
        <v>55</v>
      </c>
      <c r="C1024" s="291" t="str">
        <v>Cummins India Ltd</v>
      </c>
      <c r="D1024" s="304">
        <v>0.0107</v>
      </c>
      <c r="E1024" s="293">
        <f t="shared" si="34"/>
        <v>0</v>
      </c>
      <c r="F1024" s="291" t="str">
        <v>Industrials</v>
      </c>
      <c r="G1024" s="293">
        <f t="shared" si="35"/>
        <v>0</v>
      </c>
      <c r="H1024" s="291"/>
      <c r="J1024" s="36"/>
      <c r="X1024" s="291"/>
      <c r="Z1024" s="291" t="s">
        <v>897</v>
      </c>
    </row>
    <row r="1025" spans="1:26">
      <c r="A1025" s="291" t="s">
        <v>1667</v>
      </c>
      <c r="B1025" s="305" t="s">
        <v>558</v>
      </c>
      <c r="C1025" s="291" t="str">
        <v>Sarda Energy &amp; Minerals Ltd</v>
      </c>
      <c r="D1025" s="304">
        <v>0.071</v>
      </c>
      <c r="E1025" s="293">
        <f t="shared" si="34"/>
        <v>0</v>
      </c>
      <c r="F1025" s="291" t="str">
        <v>Materials</v>
      </c>
      <c r="G1025" s="293">
        <f t="shared" si="35"/>
        <v>0</v>
      </c>
      <c r="H1025" s="291"/>
      <c r="J1025" s="36"/>
      <c r="X1025" s="291"/>
      <c r="Z1025" s="291" t="s">
        <v>1667</v>
      </c>
    </row>
    <row r="1026" spans="1:26">
      <c r="A1026" s="291" t="s">
        <v>1669</v>
      </c>
      <c r="B1026" s="305" t="s">
        <v>558</v>
      </c>
      <c r="C1026" s="291" t="str">
        <v>Jubilant Pharmova Ltd</v>
      </c>
      <c r="D1026" s="304">
        <v>0.0683</v>
      </c>
      <c r="E1026" s="293">
        <f t="shared" si="34"/>
        <v>0</v>
      </c>
      <c r="F1026" s="291" t="str">
        <v>Health Care</v>
      </c>
      <c r="G1026" s="293">
        <f t="shared" si="35"/>
        <v>0</v>
      </c>
      <c r="H1026" s="291"/>
      <c r="J1026" s="36"/>
      <c r="X1026" s="291"/>
      <c r="Z1026" s="291" t="s">
        <v>1669</v>
      </c>
    </row>
    <row r="1027" spans="1:26">
      <c r="A1027" s="291" t="s">
        <v>1671</v>
      </c>
      <c r="B1027" s="305" t="s">
        <v>558</v>
      </c>
      <c r="C1027" s="291" t="str">
        <v>Anup Engineering Limited/The</v>
      </c>
      <c r="D1027" s="304">
        <v>0.0585</v>
      </c>
      <c r="E1027" s="293">
        <f t="shared" si="34"/>
        <v>0</v>
      </c>
      <c r="F1027" s="291" t="str">
        <v>Industrials</v>
      </c>
      <c r="G1027" s="293">
        <f t="shared" si="35"/>
        <v>0</v>
      </c>
      <c r="H1027" s="291"/>
      <c r="J1027" s="36"/>
      <c r="X1027" s="291"/>
      <c r="Z1027" s="291" t="s">
        <v>1671</v>
      </c>
    </row>
    <row r="1028" spans="1:26">
      <c r="A1028" s="291" t="s">
        <v>1673</v>
      </c>
      <c r="B1028" s="305" t="s">
        <v>558</v>
      </c>
      <c r="C1028" s="291" t="str">
        <v>Technocraft Industries India L</v>
      </c>
      <c r="D1028" s="304">
        <v>0.0519</v>
      </c>
      <c r="E1028" s="293">
        <f t="shared" si="34"/>
        <v>0</v>
      </c>
      <c r="F1028" s="291" t="str">
        <v>Industrials</v>
      </c>
      <c r="G1028" s="293">
        <f t="shared" si="35"/>
        <v>0</v>
      </c>
      <c r="H1028" s="291"/>
      <c r="J1028" s="36"/>
      <c r="X1028" s="291"/>
      <c r="Z1028" s="291" t="s">
        <v>1673</v>
      </c>
    </row>
    <row r="1029" spans="1:26">
      <c r="A1029" s="291" t="s">
        <v>1655</v>
      </c>
      <c r="B1029" s="305" t="s">
        <v>558</v>
      </c>
      <c r="C1029" s="291" t="str">
        <v>Jindal Stainless Ltd</v>
      </c>
      <c r="D1029" s="304">
        <v>0.0499</v>
      </c>
      <c r="E1029" s="293">
        <f t="shared" si="34"/>
        <v>0</v>
      </c>
      <c r="F1029" s="291" t="str">
        <v>Materials</v>
      </c>
      <c r="G1029" s="293">
        <f t="shared" si="35"/>
        <v>0</v>
      </c>
      <c r="H1029" s="291"/>
      <c r="J1029" s="36"/>
      <c r="X1029" s="291"/>
      <c r="Z1029" s="291" t="s">
        <v>1655</v>
      </c>
    </row>
    <row r="1030" spans="1:26">
      <c r="A1030" s="291" t="s">
        <v>1675</v>
      </c>
      <c r="B1030" s="305" t="s">
        <v>558</v>
      </c>
      <c r="C1030" s="291" t="str">
        <v>Carysil Ltd</v>
      </c>
      <c r="D1030" s="304">
        <v>0.0419</v>
      </c>
      <c r="E1030" s="293">
        <f t="shared" si="34"/>
        <v>0</v>
      </c>
      <c r="F1030" s="291" t="str">
        <v>Industrials</v>
      </c>
      <c r="G1030" s="293">
        <f t="shared" si="35"/>
        <v>0</v>
      </c>
      <c r="H1030" s="291"/>
      <c r="J1030" s="36"/>
      <c r="X1030" s="291"/>
      <c r="Z1030" s="291" t="s">
        <v>1675</v>
      </c>
    </row>
    <row r="1031" spans="1:26">
      <c r="A1031" s="291" t="s">
        <v>1677</v>
      </c>
      <c r="B1031" s="305" t="s">
        <v>558</v>
      </c>
      <c r="C1031" s="291" t="str">
        <v>Dynamatic Technologies Ltd</v>
      </c>
      <c r="D1031" s="304">
        <v>0.0411</v>
      </c>
      <c r="E1031" s="293">
        <f t="shared" si="34"/>
        <v>0</v>
      </c>
      <c r="F1031" s="291" t="str">
        <v>Consumer Discretionary</v>
      </c>
      <c r="G1031" s="293">
        <f t="shared" si="35"/>
        <v>0</v>
      </c>
      <c r="H1031" s="291"/>
      <c r="J1031" s="36"/>
      <c r="X1031" s="291"/>
      <c r="Z1031" s="291" t="s">
        <v>1677</v>
      </c>
    </row>
    <row r="1032" spans="1:26">
      <c r="A1032" s="291" t="s">
        <v>1017</v>
      </c>
      <c r="B1032" s="305" t="s">
        <v>558</v>
      </c>
      <c r="C1032" s="291" t="str">
        <v>Radico Khaitan Ltd</v>
      </c>
      <c r="D1032" s="304">
        <v>0.0409</v>
      </c>
      <c r="E1032" s="293">
        <f t="shared" si="34"/>
        <v>0</v>
      </c>
      <c r="F1032" s="291" t="str">
        <v>Consumer Staples</v>
      </c>
      <c r="G1032" s="293">
        <f t="shared" si="35"/>
        <v>0</v>
      </c>
      <c r="H1032" s="291"/>
      <c r="J1032" s="36"/>
      <c r="X1032" s="291"/>
      <c r="Z1032" s="291" t="s">
        <v>1017</v>
      </c>
    </row>
    <row r="1033" spans="1:26">
      <c r="A1033" s="291" t="s">
        <v>1679</v>
      </c>
      <c r="B1033" s="305" t="s">
        <v>558</v>
      </c>
      <c r="C1033" s="291" t="str">
        <v>ION Exchange India Ltd</v>
      </c>
      <c r="D1033" s="304">
        <v>0.0392</v>
      </c>
      <c r="E1033" s="293">
        <f t="shared" si="34"/>
        <v>0</v>
      </c>
      <c r="F1033" s="291" t="str">
        <v>Industrials</v>
      </c>
      <c r="G1033" s="293">
        <f t="shared" si="35"/>
        <v>0</v>
      </c>
      <c r="H1033" s="291"/>
      <c r="J1033" s="36"/>
      <c r="X1033" s="291"/>
      <c r="Z1033" s="291" t="s">
        <v>1679</v>
      </c>
    </row>
    <row r="1034" spans="1:26">
      <c r="A1034" s="291" t="s">
        <v>1681</v>
      </c>
      <c r="B1034" s="305" t="s">
        <v>558</v>
      </c>
      <c r="C1034" s="291" t="str">
        <v>IIFL Capital Services Ltd</v>
      </c>
      <c r="D1034" s="304">
        <v>0.0385</v>
      </c>
      <c r="E1034" s="293">
        <f t="shared" si="34"/>
        <v>0</v>
      </c>
      <c r="F1034" s="291" t="str">
        <v>Financials</v>
      </c>
      <c r="G1034" s="293">
        <f t="shared" si="35"/>
        <v>0</v>
      </c>
      <c r="H1034" s="291"/>
      <c r="J1034" s="36"/>
      <c r="X1034" s="291"/>
      <c r="Z1034" s="291" t="s">
        <v>1681</v>
      </c>
    </row>
    <row r="1035" spans="1:26">
      <c r="A1035" s="291" t="s">
        <v>1457</v>
      </c>
      <c r="B1035" s="305" t="s">
        <v>558</v>
      </c>
      <c r="C1035" s="291" t="str">
        <v>IIFL Finance Ltd</v>
      </c>
      <c r="D1035" s="304">
        <v>0.0382</v>
      </c>
      <c r="E1035" s="293">
        <f t="shared" si="34"/>
        <v>0</v>
      </c>
      <c r="F1035" s="291" t="str">
        <v>Financials</v>
      </c>
      <c r="G1035" s="293">
        <f t="shared" si="35"/>
        <v>0</v>
      </c>
      <c r="H1035" s="291"/>
      <c r="J1035" s="36"/>
      <c r="X1035" s="291"/>
      <c r="Z1035" s="291" t="s">
        <v>1457</v>
      </c>
    </row>
    <row r="1036" spans="1:26">
      <c r="A1036" s="291" t="s">
        <v>1285</v>
      </c>
      <c r="B1036" s="305" t="s">
        <v>558</v>
      </c>
      <c r="C1036" s="291" t="str">
        <v>Canara Bank</v>
      </c>
      <c r="D1036" s="304">
        <v>0.0378</v>
      </c>
      <c r="E1036" s="293">
        <f t="shared" si="34"/>
        <v>0</v>
      </c>
      <c r="F1036" s="291" t="str">
        <v>Financials</v>
      </c>
      <c r="G1036" s="293">
        <f t="shared" si="35"/>
        <v>0</v>
      </c>
      <c r="H1036" s="291"/>
      <c r="J1036" s="36"/>
      <c r="X1036" s="291"/>
      <c r="Z1036" s="291" t="s">
        <v>1285</v>
      </c>
    </row>
    <row r="1037" spans="1:26">
      <c r="A1037" s="291" t="s">
        <v>1061</v>
      </c>
      <c r="B1037" s="305" t="s">
        <v>558</v>
      </c>
      <c r="C1037" s="291" t="str">
        <v>Federal Bank Ltd</v>
      </c>
      <c r="D1037" s="304">
        <v>0.0366</v>
      </c>
      <c r="E1037" s="293">
        <f t="shared" si="34"/>
        <v>0</v>
      </c>
      <c r="F1037" s="291" t="str">
        <v>Financials</v>
      </c>
      <c r="G1037" s="293">
        <f t="shared" si="35"/>
        <v>0</v>
      </c>
      <c r="H1037" s="291"/>
      <c r="J1037" s="36"/>
      <c r="X1037" s="291"/>
      <c r="Z1037" s="291" t="s">
        <v>1061</v>
      </c>
    </row>
    <row r="1038" spans="1:26">
      <c r="A1038" s="291" t="s">
        <v>1585</v>
      </c>
      <c r="B1038" s="305" t="s">
        <v>558</v>
      </c>
      <c r="C1038" s="291" t="str">
        <v>Shriram Pistons &amp; Rings Ltd</v>
      </c>
      <c r="D1038" s="304">
        <v>0.034</v>
      </c>
      <c r="E1038" s="293">
        <f t="shared" si="34"/>
        <v>0</v>
      </c>
      <c r="F1038" s="291" t="str">
        <v>Consumer Discretionary</v>
      </c>
      <c r="G1038" s="293">
        <f t="shared" si="35"/>
        <v>0</v>
      </c>
      <c r="H1038" s="291"/>
      <c r="J1038" s="36"/>
      <c r="X1038" s="291"/>
      <c r="Z1038" s="291" t="s">
        <v>1585</v>
      </c>
    </row>
    <row r="1039" spans="1:26">
      <c r="A1039" s="291" t="s">
        <v>1638</v>
      </c>
      <c r="B1039" s="305" t="s">
        <v>558</v>
      </c>
      <c r="C1039" s="291" t="str">
        <v>Mastek Ltd</v>
      </c>
      <c r="D1039" s="304">
        <v>0.0318</v>
      </c>
      <c r="E1039" s="293">
        <f t="shared" si="34"/>
        <v>0</v>
      </c>
      <c r="F1039" s="291" t="str">
        <v>Information Technology</v>
      </c>
      <c r="G1039" s="293">
        <f t="shared" si="35"/>
        <v>0</v>
      </c>
      <c r="H1039" s="291"/>
      <c r="J1039" s="36"/>
      <c r="X1039" s="291"/>
      <c r="Z1039" s="291" t="s">
        <v>1638</v>
      </c>
    </row>
    <row r="1040" spans="1:26">
      <c r="A1040" s="291" t="s">
        <v>1684</v>
      </c>
      <c r="B1040" s="305" t="s">
        <v>558</v>
      </c>
      <c r="C1040" s="291" t="str">
        <v>HG Infra Engineering Ltd</v>
      </c>
      <c r="D1040" s="304">
        <v>0.0286</v>
      </c>
      <c r="E1040" s="293">
        <f t="shared" si="34"/>
        <v>0</v>
      </c>
      <c r="F1040" s="291" t="str">
        <v>Industrials</v>
      </c>
      <c r="G1040" s="293">
        <f t="shared" si="35"/>
        <v>0</v>
      </c>
      <c r="H1040" s="291"/>
      <c r="J1040" s="36"/>
      <c r="X1040" s="291"/>
      <c r="Z1040" s="291" t="s">
        <v>1684</v>
      </c>
    </row>
    <row r="1041" spans="1:26">
      <c r="A1041" s="291" t="s">
        <v>1665</v>
      </c>
      <c r="B1041" s="305" t="s">
        <v>558</v>
      </c>
      <c r="C1041" s="291" t="str">
        <v>IDFC First Bank Ltd</v>
      </c>
      <c r="D1041" s="304">
        <v>0.0279</v>
      </c>
      <c r="E1041" s="293">
        <f t="shared" si="34"/>
        <v>0</v>
      </c>
      <c r="F1041" s="291" t="str">
        <v>Financials</v>
      </c>
      <c r="G1041" s="293">
        <f t="shared" si="35"/>
        <v>0</v>
      </c>
      <c r="H1041" s="291"/>
      <c r="J1041" s="36"/>
      <c r="X1041" s="291"/>
      <c r="Z1041" s="291" t="s">
        <v>1665</v>
      </c>
    </row>
    <row r="1042" spans="1:26">
      <c r="A1042" s="291" t="s">
        <v>1686</v>
      </c>
      <c r="B1042" s="305" t="s">
        <v>558</v>
      </c>
      <c r="C1042" s="291" t="str">
        <v>JK Lakshmi Cement Ltd</v>
      </c>
      <c r="D1042" s="304">
        <v>0.0235</v>
      </c>
      <c r="E1042" s="293">
        <f t="shared" si="34"/>
        <v>0</v>
      </c>
      <c r="F1042" s="291" t="str">
        <v>Materials</v>
      </c>
      <c r="G1042" s="293">
        <f t="shared" si="35"/>
        <v>0</v>
      </c>
      <c r="H1042" s="291"/>
      <c r="J1042" s="36"/>
      <c r="X1042" s="291"/>
      <c r="Z1042" s="291" t="s">
        <v>1686</v>
      </c>
    </row>
    <row r="1043" spans="1:26">
      <c r="A1043" s="291" t="s">
        <v>1688</v>
      </c>
      <c r="B1043" s="305" t="s">
        <v>558</v>
      </c>
      <c r="C1043" s="291" t="str">
        <v>Himatsingka Seide Ltd</v>
      </c>
      <c r="D1043" s="304">
        <v>0.0222</v>
      </c>
      <c r="E1043" s="293">
        <f t="shared" si="34"/>
        <v>0</v>
      </c>
      <c r="F1043" s="291" t="str">
        <v>Consumer Discretionary</v>
      </c>
      <c r="G1043" s="293">
        <f t="shared" si="35"/>
        <v>0</v>
      </c>
      <c r="H1043" s="291"/>
      <c r="J1043" s="36"/>
      <c r="X1043" s="291"/>
      <c r="Z1043" s="291" t="s">
        <v>1688</v>
      </c>
    </row>
    <row r="1044" spans="1:26">
      <c r="A1044" s="291" t="s">
        <v>1690</v>
      </c>
      <c r="B1044" s="305" t="s">
        <v>558</v>
      </c>
      <c r="C1044" s="291" t="str">
        <v>Indegene Ltd</v>
      </c>
      <c r="D1044" s="304">
        <v>0.0204</v>
      </c>
      <c r="E1044" s="293">
        <f t="shared" si="34"/>
        <v>0</v>
      </c>
      <c r="F1044" s="291" t="str">
        <v>Health Care</v>
      </c>
      <c r="G1044" s="293">
        <f t="shared" si="35"/>
        <v>0</v>
      </c>
      <c r="H1044" s="291"/>
      <c r="J1044" s="36"/>
      <c r="X1044" s="291"/>
      <c r="Z1044" s="291" t="s">
        <v>1690</v>
      </c>
    </row>
    <row r="1045" spans="1:26">
      <c r="A1045" s="291" t="s">
        <v>1400</v>
      </c>
      <c r="B1045" s="305" t="s">
        <v>558</v>
      </c>
      <c r="C1045" s="291" t="str">
        <v>PNB Housing Finance Ltd</v>
      </c>
      <c r="D1045" s="304">
        <v>0.0199</v>
      </c>
      <c r="E1045" s="293">
        <f t="shared" si="34"/>
        <v>0</v>
      </c>
      <c r="F1045" s="291" t="str">
        <v>Financials</v>
      </c>
      <c r="G1045" s="293">
        <f t="shared" si="35"/>
        <v>0</v>
      </c>
      <c r="H1045" s="291"/>
      <c r="J1045" s="36"/>
      <c r="X1045" s="291"/>
      <c r="Z1045" s="291" t="s">
        <v>1400</v>
      </c>
    </row>
    <row r="1046" spans="1:26">
      <c r="A1046" s="291" t="s">
        <v>1692</v>
      </c>
      <c r="B1046" s="305" t="s">
        <v>558</v>
      </c>
      <c r="C1046" s="291" t="str">
        <v>Saregama India Ltd</v>
      </c>
      <c r="D1046" s="304">
        <v>0.0178</v>
      </c>
      <c r="E1046" s="293">
        <f t="shared" si="34"/>
        <v>0</v>
      </c>
      <c r="F1046" s="291" t="str">
        <v>Communication Services</v>
      </c>
      <c r="G1046" s="293">
        <f t="shared" si="35"/>
        <v>0</v>
      </c>
      <c r="H1046" s="291"/>
      <c r="J1046" s="36"/>
      <c r="X1046" s="291"/>
      <c r="Z1046" s="291" t="s">
        <v>1692</v>
      </c>
    </row>
    <row r="1047" spans="1:26">
      <c r="A1047" s="291" t="s">
        <v>1597</v>
      </c>
      <c r="B1047" s="305" t="s">
        <v>558</v>
      </c>
      <c r="C1047" s="291" t="str">
        <v>Jubilant Ingrevia Ltd</v>
      </c>
      <c r="D1047" s="304">
        <v>0.0172</v>
      </c>
      <c r="E1047" s="293">
        <f t="shared" si="34"/>
        <v>0</v>
      </c>
      <c r="F1047" s="291" t="str">
        <v>Materials</v>
      </c>
      <c r="G1047" s="293">
        <f t="shared" si="35"/>
        <v>0</v>
      </c>
      <c r="H1047" s="291"/>
      <c r="J1047" s="36"/>
      <c r="X1047" s="291"/>
      <c r="Z1047" s="291" t="s">
        <v>1597</v>
      </c>
    </row>
    <row r="1048" spans="1:26">
      <c r="A1048" s="291" t="s">
        <v>1181</v>
      </c>
      <c r="B1048" s="305" t="s">
        <v>558</v>
      </c>
      <c r="C1048" s="291" t="str">
        <v>Max Financial Services Ltd</v>
      </c>
      <c r="D1048" s="304">
        <v>0.0159</v>
      </c>
      <c r="E1048" s="293">
        <f t="shared" si="34"/>
        <v>0</v>
      </c>
      <c r="F1048" s="291" t="str">
        <v>Financials</v>
      </c>
      <c r="G1048" s="293">
        <f t="shared" si="35"/>
        <v>0</v>
      </c>
      <c r="H1048" s="291"/>
      <c r="J1048" s="36"/>
      <c r="X1048" s="291"/>
      <c r="Z1048" s="291" t="s">
        <v>1181</v>
      </c>
    </row>
    <row r="1049" spans="1:26">
      <c r="A1049" s="291" t="s">
        <v>1694</v>
      </c>
      <c r="B1049" s="305" t="s">
        <v>558</v>
      </c>
      <c r="C1049" s="291" t="str">
        <v>Siyaram Silk Mills Ltd</v>
      </c>
      <c r="D1049" s="304">
        <v>0.0142</v>
      </c>
      <c r="E1049" s="293">
        <f t="shared" si="34"/>
        <v>0</v>
      </c>
      <c r="F1049" s="291" t="str">
        <v>Consumer Discretionary</v>
      </c>
      <c r="G1049" s="293">
        <f t="shared" si="35"/>
        <v>0</v>
      </c>
      <c r="H1049" s="291"/>
      <c r="J1049" s="36"/>
      <c r="X1049" s="291"/>
      <c r="Z1049" s="291" t="s">
        <v>1694</v>
      </c>
    </row>
    <row r="1050" spans="1:26">
      <c r="A1050" s="291" t="s">
        <v>1696</v>
      </c>
      <c r="B1050" s="305" t="s">
        <v>558</v>
      </c>
      <c r="C1050" s="291" t="str">
        <v>DCM Shriram Industries Ltd</v>
      </c>
      <c r="D1050" s="304">
        <v>0.013</v>
      </c>
      <c r="E1050" s="293">
        <f t="shared" si="34"/>
        <v>0</v>
      </c>
      <c r="F1050" s="291" t="str">
        <v>Consumer Staples</v>
      </c>
      <c r="G1050" s="293">
        <f t="shared" si="35"/>
        <v>0</v>
      </c>
      <c r="H1050" s="291"/>
      <c r="J1050" s="36"/>
      <c r="X1050" s="291"/>
      <c r="Z1050" s="291" t="s">
        <v>1696</v>
      </c>
    </row>
    <row r="1051" spans="1:26">
      <c r="A1051" s="291" t="s">
        <v>1698</v>
      </c>
      <c r="B1051" s="305" t="s">
        <v>558</v>
      </c>
      <c r="C1051" s="291" t="str">
        <v>Ujjivan Small Finance Bank Ltd</v>
      </c>
      <c r="D1051" s="304">
        <v>0.0125</v>
      </c>
      <c r="E1051" s="293">
        <f t="shared" si="34"/>
        <v>0</v>
      </c>
      <c r="F1051" s="291" t="str">
        <v>Financials</v>
      </c>
      <c r="G1051" s="293">
        <f t="shared" si="35"/>
        <v>0</v>
      </c>
      <c r="H1051" s="291"/>
      <c r="J1051" s="36"/>
      <c r="X1051" s="291"/>
      <c r="Z1051" s="291" t="s">
        <v>1698</v>
      </c>
    </row>
    <row r="1052" spans="1:26">
      <c r="A1052" s="291" t="s">
        <v>1700</v>
      </c>
      <c r="B1052" s="305" t="s">
        <v>558</v>
      </c>
      <c r="C1052" s="291" t="str">
        <v>Rupa &amp; Co Ltd</v>
      </c>
      <c r="D1052" s="304">
        <v>0.0116</v>
      </c>
      <c r="E1052" s="293">
        <f t="shared" si="34"/>
        <v>0</v>
      </c>
      <c r="F1052" s="291" t="str">
        <v>Consumer Discretionary</v>
      </c>
      <c r="G1052" s="293">
        <f t="shared" si="35"/>
        <v>0</v>
      </c>
      <c r="H1052" s="291"/>
      <c r="J1052" s="36"/>
      <c r="X1052" s="291"/>
      <c r="Z1052" s="291" t="s">
        <v>1700</v>
      </c>
    </row>
    <row r="1053" ht="14.4" spans="1:26">
      <c r="A1053" s="306" t="s">
        <v>924</v>
      </c>
      <c r="B1053" s="117" t="s">
        <v>42</v>
      </c>
      <c r="C1053" s="291" t="str">
        <v>HDFC Bank Ltd</v>
      </c>
      <c r="D1053" s="307">
        <v>0.11834000415731</v>
      </c>
      <c r="E1053" s="293">
        <f t="shared" ref="E1053:E1099" si="36">_xlfn.IFNA(D1053*VLOOKUP($B1053,$AK$1:$AM$34,3,FALSE),0)</f>
        <v>0.0493083350655459</v>
      </c>
      <c r="F1053" s="291" t="str">
        <v>Financials</v>
      </c>
      <c r="G1053" s="293">
        <f t="shared" ref="G1053:G1099" si="37">_xlfn.IFNA(D1053*VLOOKUP($B1053,$AK$1:$AM$34,3,FALSE),0)</f>
        <v>0.0493083350655459</v>
      </c>
      <c r="H1053" s="291"/>
      <c r="J1053" s="36"/>
      <c r="X1053" s="291"/>
      <c r="Z1053" s="306" t="s">
        <v>924</v>
      </c>
    </row>
    <row r="1054" ht="14.4" spans="1:26">
      <c r="A1054" s="306" t="s">
        <v>1034</v>
      </c>
      <c r="B1054" s="117" t="s">
        <v>42</v>
      </c>
      <c r="C1054" s="291" t="str">
        <v>Reliance Industries Ltd</v>
      </c>
      <c r="D1054" s="307">
        <v>0.0700946631842296</v>
      </c>
      <c r="E1054" s="293">
        <f t="shared" si="36"/>
        <v>0.0292061096600957</v>
      </c>
      <c r="F1054" s="291" t="str">
        <v>Energy</v>
      </c>
      <c r="G1054" s="293">
        <f t="shared" si="37"/>
        <v>0.0292061096600957</v>
      </c>
      <c r="H1054" s="291"/>
      <c r="J1054" s="36"/>
      <c r="X1054" s="291"/>
      <c r="Z1054" s="306" t="s">
        <v>1034</v>
      </c>
    </row>
    <row r="1055" ht="14.4" spans="1:26">
      <c r="A1055" s="306" t="s">
        <v>1041</v>
      </c>
      <c r="B1055" s="117" t="s">
        <v>42</v>
      </c>
      <c r="C1055" s="291" t="str">
        <v>State Bank of India</v>
      </c>
      <c r="D1055" s="307">
        <v>0.0640986287478061</v>
      </c>
      <c r="E1055" s="293">
        <f t="shared" si="36"/>
        <v>0.0267077619782526</v>
      </c>
      <c r="F1055" s="291" t="str">
        <v>Financials</v>
      </c>
      <c r="G1055" s="293">
        <f t="shared" si="37"/>
        <v>0.0267077619782526</v>
      </c>
      <c r="H1055" s="291"/>
      <c r="J1055" s="36"/>
      <c r="X1055" s="291"/>
      <c r="Z1055" s="306" t="s">
        <v>1041</v>
      </c>
    </row>
    <row r="1056" ht="14.4" spans="1:26">
      <c r="A1056" s="306" t="s">
        <v>936</v>
      </c>
      <c r="B1056" s="117" t="s">
        <v>42</v>
      </c>
      <c r="C1056" s="291" t="str">
        <v>ICICI Bank Ltd</v>
      </c>
      <c r="D1056" s="307">
        <v>0.0618551557799602</v>
      </c>
      <c r="E1056" s="293">
        <f t="shared" si="36"/>
        <v>0.0257729815749834</v>
      </c>
      <c r="F1056" s="291" t="str">
        <v>Financials</v>
      </c>
      <c r="G1056" s="293">
        <f t="shared" si="37"/>
        <v>0.0257729815749834</v>
      </c>
      <c r="H1056" s="291"/>
      <c r="J1056" s="36"/>
      <c r="X1056" s="291"/>
      <c r="Z1056" s="306" t="s">
        <v>936</v>
      </c>
    </row>
    <row r="1057" ht="14.4" spans="1:26">
      <c r="A1057" s="306" t="s">
        <v>1059</v>
      </c>
      <c r="B1057" s="117" t="s">
        <v>42</v>
      </c>
      <c r="C1057" s="291" t="str">
        <v>Tech Mahindra Ltd</v>
      </c>
      <c r="D1057" s="307">
        <v>0.060457166958428</v>
      </c>
      <c r="E1057" s="293">
        <f t="shared" si="36"/>
        <v>0.0251904862326783</v>
      </c>
      <c r="F1057" s="291" t="str">
        <v>Information Technology</v>
      </c>
      <c r="G1057" s="293">
        <f t="shared" si="37"/>
        <v>0.0251904862326783</v>
      </c>
      <c r="H1057" s="291"/>
      <c r="J1057" s="36"/>
      <c r="X1057" s="291"/>
      <c r="Z1057" s="306" t="s">
        <v>1059</v>
      </c>
    </row>
    <row r="1058" ht="14.4" spans="1:26">
      <c r="A1058" s="306" t="s">
        <v>926</v>
      </c>
      <c r="B1058" s="117" t="s">
        <v>42</v>
      </c>
      <c r="C1058" s="291" t="str">
        <v>HDFC Asset Management Co Ltd</v>
      </c>
      <c r="D1058" s="307">
        <v>0.0565937027659655</v>
      </c>
      <c r="E1058" s="293">
        <f t="shared" si="36"/>
        <v>0.0235807094858189</v>
      </c>
      <c r="F1058" s="291" t="str">
        <v>Financials</v>
      </c>
      <c r="G1058" s="293">
        <f t="shared" si="37"/>
        <v>0.0235807094858189</v>
      </c>
      <c r="H1058" s="291"/>
      <c r="J1058" s="36"/>
      <c r="X1058" s="291"/>
      <c r="Z1058" s="306" t="s">
        <v>926</v>
      </c>
    </row>
    <row r="1059" ht="14.4" spans="1:26">
      <c r="A1059" s="306" t="s">
        <v>972</v>
      </c>
      <c r="B1059" s="117" t="s">
        <v>42</v>
      </c>
      <c r="C1059" s="291" t="str">
        <v>Kotak Mahindra Bank Ltd</v>
      </c>
      <c r="D1059" s="307">
        <v>0.0565615596586572</v>
      </c>
      <c r="E1059" s="293">
        <f t="shared" si="36"/>
        <v>0.0235673165244405</v>
      </c>
      <c r="F1059" s="291" t="str">
        <v>Financials</v>
      </c>
      <c r="G1059" s="293">
        <f t="shared" si="37"/>
        <v>0.0235673165244405</v>
      </c>
      <c r="H1059" s="291"/>
      <c r="J1059" s="36"/>
      <c r="X1059" s="291"/>
      <c r="Z1059" s="306" t="s">
        <v>972</v>
      </c>
    </row>
    <row r="1060" ht="14.4" spans="1:26">
      <c r="A1060" s="306" t="s">
        <v>955</v>
      </c>
      <c r="B1060" s="117" t="s">
        <v>42</v>
      </c>
      <c r="C1060" s="291" t="str">
        <v>Infosys Ltd</v>
      </c>
      <c r="D1060" s="307">
        <v>0.0482322181218477</v>
      </c>
      <c r="E1060" s="293">
        <f t="shared" si="36"/>
        <v>0.0200967575507699</v>
      </c>
      <c r="F1060" s="291" t="str">
        <v>Information Technology</v>
      </c>
      <c r="G1060" s="293">
        <f t="shared" si="37"/>
        <v>0.0200967575507699</v>
      </c>
      <c r="H1060" s="291"/>
      <c r="J1060" s="36"/>
      <c r="X1060" s="291"/>
      <c r="Z1060" s="306" t="s">
        <v>955</v>
      </c>
    </row>
    <row r="1061" ht="14.4" spans="1:26">
      <c r="A1061" s="306" t="s">
        <v>1119</v>
      </c>
      <c r="B1061" s="117" t="s">
        <v>42</v>
      </c>
      <c r="C1061" s="291" t="str">
        <v>Info Edge India Ltd</v>
      </c>
      <c r="D1061" s="307">
        <v>0.0430918532351393</v>
      </c>
      <c r="E1061" s="293">
        <f t="shared" si="36"/>
        <v>0.0179549388479747</v>
      </c>
      <c r="F1061" s="291" t="str">
        <v>Communication Services</v>
      </c>
      <c r="G1061" s="293">
        <f t="shared" si="37"/>
        <v>0.0179549388479747</v>
      </c>
      <c r="H1061" s="291"/>
      <c r="J1061" s="36"/>
      <c r="X1061" s="291"/>
      <c r="Z1061" s="306" t="s">
        <v>1119</v>
      </c>
    </row>
    <row r="1062" ht="14.4" spans="1:26">
      <c r="A1062" s="306" t="s">
        <v>1076</v>
      </c>
      <c r="B1062" s="117" t="s">
        <v>42</v>
      </c>
      <c r="C1062" s="291" t="str">
        <v>United Spirits Ltd</v>
      </c>
      <c r="D1062" s="307">
        <v>0.0408760159115494</v>
      </c>
      <c r="E1062" s="293">
        <f t="shared" si="36"/>
        <v>0.0170316732964789</v>
      </c>
      <c r="F1062" s="291" t="str">
        <v>Consumer Staples</v>
      </c>
      <c r="G1062" s="293">
        <f t="shared" si="37"/>
        <v>0.0170316732964789</v>
      </c>
      <c r="H1062" s="291"/>
      <c r="J1062" s="36"/>
      <c r="X1062" s="291"/>
      <c r="Z1062" s="306" t="s">
        <v>1076</v>
      </c>
    </row>
    <row r="1063" ht="14.4" spans="1:26">
      <c r="A1063" s="306" t="s">
        <v>1350</v>
      </c>
      <c r="B1063" s="117" t="s">
        <v>42</v>
      </c>
      <c r="C1063" s="291" t="str">
        <v>Jubilant Foodworks Ltd</v>
      </c>
      <c r="D1063" s="307">
        <v>0.0347474755668998</v>
      </c>
      <c r="E1063" s="293">
        <f t="shared" si="36"/>
        <v>0.0144781148195416</v>
      </c>
      <c r="F1063" s="291" t="str">
        <v>Consumer Discretionary</v>
      </c>
      <c r="G1063" s="293">
        <f t="shared" si="37"/>
        <v>0.0144781148195416</v>
      </c>
      <c r="H1063" s="291"/>
      <c r="J1063" s="36"/>
      <c r="X1063" s="291"/>
      <c r="Z1063" s="306" t="s">
        <v>1350</v>
      </c>
    </row>
    <row r="1064" ht="14.4" spans="1:26">
      <c r="A1064" s="306" t="s">
        <v>1056</v>
      </c>
      <c r="B1064" s="117" t="s">
        <v>42</v>
      </c>
      <c r="C1064" s="291" t="str">
        <v>Tata Steel Ltd</v>
      </c>
      <c r="D1064" s="307">
        <v>0.0331157536837582</v>
      </c>
      <c r="E1064" s="293">
        <f t="shared" si="36"/>
        <v>0.0137982307015659</v>
      </c>
      <c r="F1064" s="291" t="str">
        <v>Materials</v>
      </c>
      <c r="G1064" s="293">
        <f t="shared" si="37"/>
        <v>0.0137982307015659</v>
      </c>
      <c r="H1064" s="291"/>
      <c r="J1064" s="36"/>
      <c r="X1064" s="291"/>
      <c r="Z1064" s="306" t="s">
        <v>1056</v>
      </c>
    </row>
    <row r="1065" ht="14.4" spans="1:26">
      <c r="A1065" s="306" t="s">
        <v>1061</v>
      </c>
      <c r="B1065" s="117" t="s">
        <v>42</v>
      </c>
      <c r="C1065" s="291" t="str">
        <v>Federal Bank Ltd</v>
      </c>
      <c r="D1065" s="307">
        <v>0.0278859823389067</v>
      </c>
      <c r="E1065" s="293">
        <f t="shared" si="36"/>
        <v>0.0116191593078778</v>
      </c>
      <c r="F1065" s="291" t="str">
        <v>Financials</v>
      </c>
      <c r="G1065" s="293">
        <f t="shared" si="37"/>
        <v>0.0116191593078778</v>
      </c>
      <c r="H1065" s="291"/>
      <c r="J1065" s="36"/>
      <c r="X1065" s="291"/>
      <c r="Z1065" s="306" t="s">
        <v>1061</v>
      </c>
    </row>
    <row r="1066" ht="14.4" spans="1:26">
      <c r="A1066" s="306" t="s">
        <v>1702</v>
      </c>
      <c r="B1066" s="117" t="s">
        <v>42</v>
      </c>
      <c r="C1066" s="291" t="str">
        <v>Alembic Pharmaceuticals Ltd</v>
      </c>
      <c r="D1066" s="307">
        <v>0.0277347746794851</v>
      </c>
      <c r="E1066" s="293">
        <f t="shared" si="36"/>
        <v>0.0115561561164521</v>
      </c>
      <c r="F1066" s="291" t="str">
        <v>Health Care</v>
      </c>
      <c r="G1066" s="293">
        <f t="shared" si="37"/>
        <v>0.0115561561164521</v>
      </c>
      <c r="H1066" s="291"/>
      <c r="I1066" s="34"/>
      <c r="J1066" s="36"/>
      <c r="X1066" s="291"/>
      <c r="Z1066" s="306" t="s">
        <v>1702</v>
      </c>
    </row>
    <row r="1067" ht="14.4" spans="1:26">
      <c r="A1067" s="306" t="s">
        <v>1044</v>
      </c>
      <c r="B1067" s="117" t="s">
        <v>42</v>
      </c>
      <c r="C1067" s="291" t="str">
        <v>Sun Pharmaceutical Industries</v>
      </c>
      <c r="D1067" s="307">
        <v>0.0236260954933137</v>
      </c>
      <c r="E1067" s="293">
        <f t="shared" si="36"/>
        <v>0.00984420645554739</v>
      </c>
      <c r="F1067" s="291" t="str">
        <v>Health Care</v>
      </c>
      <c r="G1067" s="293">
        <f t="shared" si="37"/>
        <v>0.00984420645554739</v>
      </c>
      <c r="H1067" s="291"/>
      <c r="J1067" s="36"/>
      <c r="X1067" s="291"/>
      <c r="Z1067" s="306" t="s">
        <v>1044</v>
      </c>
    </row>
    <row r="1068" ht="14.4" spans="1:26">
      <c r="A1068" s="306" t="s">
        <v>814</v>
      </c>
      <c r="B1068" s="117" t="s">
        <v>42</v>
      </c>
      <c r="C1068" s="291" t="str">
        <v>ABB India Ltd</v>
      </c>
      <c r="D1068" s="307">
        <v>0.0223246035212427</v>
      </c>
      <c r="E1068" s="293">
        <f t="shared" si="36"/>
        <v>0.00930191813385114</v>
      </c>
      <c r="F1068" s="291" t="str">
        <v>Industrials</v>
      </c>
      <c r="G1068" s="293">
        <f t="shared" si="37"/>
        <v>0.00930191813385114</v>
      </c>
      <c r="H1068" s="291"/>
      <c r="J1068" s="36"/>
      <c r="X1068" s="291"/>
      <c r="Z1068" s="306" t="s">
        <v>814</v>
      </c>
    </row>
    <row r="1069" ht="14.4" spans="1:26">
      <c r="A1069" s="306" t="s">
        <v>1704</v>
      </c>
      <c r="B1069" s="117" t="s">
        <v>42</v>
      </c>
      <c r="C1069" s="291" t="str">
        <v>Natco Pharma Ltd</v>
      </c>
      <c r="D1069" s="307">
        <v>0.0214602510558105</v>
      </c>
      <c r="E1069" s="293">
        <f t="shared" si="36"/>
        <v>0.00894177127325436</v>
      </c>
      <c r="F1069" s="291" t="str">
        <v>Health Care</v>
      </c>
      <c r="G1069" s="293">
        <f t="shared" si="37"/>
        <v>0.00894177127325436</v>
      </c>
      <c r="H1069" s="291"/>
      <c r="J1069" s="36"/>
      <c r="X1069" s="291"/>
      <c r="Z1069" s="306" t="s">
        <v>1704</v>
      </c>
    </row>
    <row r="1070" ht="14.4" spans="1:26">
      <c r="A1070" s="306" t="s">
        <v>1303</v>
      </c>
      <c r="B1070" s="117" t="s">
        <v>42</v>
      </c>
      <c r="C1070" s="291" t="str">
        <v>Godrej Consumer Products Ltd</v>
      </c>
      <c r="D1070" s="307">
        <v>0.0212542920699067</v>
      </c>
      <c r="E1070" s="293">
        <f t="shared" si="36"/>
        <v>0.00885595502912779</v>
      </c>
      <c r="F1070" s="291" t="str">
        <v>Consumer Staples</v>
      </c>
      <c r="G1070" s="293">
        <f t="shared" si="37"/>
        <v>0.00885595502912779</v>
      </c>
      <c r="H1070" s="291"/>
      <c r="J1070" s="36"/>
      <c r="X1070" s="291"/>
      <c r="Z1070" s="306" t="s">
        <v>1303</v>
      </c>
    </row>
    <row r="1071" ht="14.4" spans="1:26">
      <c r="A1071" s="306" t="s">
        <v>1058</v>
      </c>
      <c r="B1071" s="117" t="s">
        <v>42</v>
      </c>
      <c r="C1071" s="291" t="str">
        <v>Tata Consumer Products Ltd</v>
      </c>
      <c r="D1071" s="307">
        <v>0.0208956758334675</v>
      </c>
      <c r="E1071" s="293">
        <f t="shared" si="36"/>
        <v>0.00870653159727811</v>
      </c>
      <c r="F1071" s="291" t="str">
        <v>Consumer Staples</v>
      </c>
      <c r="G1071" s="293">
        <f t="shared" si="37"/>
        <v>0.00870653159727811</v>
      </c>
      <c r="H1071" s="291"/>
      <c r="J1071" s="36"/>
      <c r="X1071" s="291"/>
      <c r="Z1071" s="306" t="s">
        <v>1058</v>
      </c>
    </row>
    <row r="1072" ht="14.4" spans="1:26">
      <c r="A1072" s="306" t="s">
        <v>975</v>
      </c>
      <c r="B1072" s="117" t="s">
        <v>42</v>
      </c>
      <c r="C1072" s="291" t="str">
        <v>Larsen &amp; Toubro Ltd</v>
      </c>
      <c r="D1072" s="307">
        <v>0.0204636571650028</v>
      </c>
      <c r="E1072" s="293">
        <f t="shared" si="36"/>
        <v>0.00852652381875118</v>
      </c>
      <c r="F1072" s="291" t="str">
        <v>Industrials</v>
      </c>
      <c r="G1072" s="293">
        <f t="shared" si="37"/>
        <v>0.00852652381875118</v>
      </c>
      <c r="H1072" s="291"/>
      <c r="J1072" s="36"/>
      <c r="X1072" s="291"/>
      <c r="Z1072" s="306" t="s">
        <v>975</v>
      </c>
    </row>
    <row r="1073" ht="14.4" spans="1:26">
      <c r="A1073" s="306" t="s">
        <v>1117</v>
      </c>
      <c r="B1073" s="117" t="s">
        <v>42</v>
      </c>
      <c r="C1073" s="291" t="str">
        <v>ICICI Lombard General Insuranc</v>
      </c>
      <c r="D1073" s="307">
        <v>0.0201694621982528</v>
      </c>
      <c r="E1073" s="293">
        <f t="shared" si="36"/>
        <v>0.00840394258260535</v>
      </c>
      <c r="F1073" s="291" t="str">
        <v>Financials</v>
      </c>
      <c r="G1073" s="293">
        <f t="shared" si="37"/>
        <v>0.00840394258260535</v>
      </c>
      <c r="H1073" s="291"/>
      <c r="J1073" s="36"/>
      <c r="X1073" s="291"/>
      <c r="Z1073" s="306" t="s">
        <v>1117</v>
      </c>
    </row>
    <row r="1074" ht="14.4" spans="1:26">
      <c r="A1074" s="306" t="s">
        <v>894</v>
      </c>
      <c r="B1074" s="117" t="s">
        <v>42</v>
      </c>
      <c r="C1074" s="291" t="str">
        <v>Crompton Greaves Consumer Elec</v>
      </c>
      <c r="D1074" s="307">
        <v>0.0195575501729201</v>
      </c>
      <c r="E1074" s="293">
        <f t="shared" si="36"/>
        <v>0.00814897923871672</v>
      </c>
      <c r="F1074" s="291" t="str">
        <v>Consumer Discretionary</v>
      </c>
      <c r="G1074" s="293">
        <f t="shared" si="37"/>
        <v>0.00814897923871672</v>
      </c>
      <c r="H1074" s="291"/>
      <c r="J1074" s="36"/>
      <c r="X1074" s="291"/>
      <c r="Z1074" s="306" t="s">
        <v>894</v>
      </c>
    </row>
    <row r="1075" ht="14.4" spans="1:26">
      <c r="A1075" s="306" t="s">
        <v>1054</v>
      </c>
      <c r="B1075" s="117" t="s">
        <v>42</v>
      </c>
      <c r="C1075" s="291" t="str">
        <v>Tata Motors Ltd</v>
      </c>
      <c r="D1075" s="307">
        <v>0.0192621340832209</v>
      </c>
      <c r="E1075" s="293">
        <f t="shared" si="36"/>
        <v>0.00802588920134205</v>
      </c>
      <c r="F1075" s="291" t="str">
        <v>Consumer Discretionary</v>
      </c>
      <c r="G1075" s="293">
        <f t="shared" si="37"/>
        <v>0.00802588920134205</v>
      </c>
      <c r="H1075" s="291"/>
      <c r="J1075" s="36"/>
      <c r="X1075" s="291"/>
      <c r="Z1075" s="306" t="s">
        <v>1054</v>
      </c>
    </row>
    <row r="1076" ht="14.4" spans="1:26">
      <c r="A1076" s="306" t="s">
        <v>992</v>
      </c>
      <c r="B1076" s="117" t="s">
        <v>42</v>
      </c>
      <c r="C1076" s="291" t="str">
        <v>NTPC Ltd</v>
      </c>
      <c r="D1076" s="307">
        <v>0.0179816262930744</v>
      </c>
      <c r="E1076" s="293">
        <f t="shared" si="36"/>
        <v>0.00749234428878099</v>
      </c>
      <c r="F1076" s="291" t="str">
        <v>Utilities</v>
      </c>
      <c r="G1076" s="293">
        <f t="shared" si="37"/>
        <v>0.00749234428878099</v>
      </c>
      <c r="H1076" s="291"/>
      <c r="J1076" s="36"/>
      <c r="X1076" s="291"/>
      <c r="Z1076" s="306" t="s">
        <v>992</v>
      </c>
    </row>
    <row r="1077" ht="14.4" spans="1:26">
      <c r="A1077" s="306" t="s">
        <v>855</v>
      </c>
      <c r="B1077" s="117" t="s">
        <v>42</v>
      </c>
      <c r="C1077" s="291" t="str">
        <v>Bharti Airtel Ltd</v>
      </c>
      <c r="D1077" s="307">
        <v>0.0170202817762476</v>
      </c>
      <c r="E1077" s="293">
        <f t="shared" si="36"/>
        <v>0.00709178407343652</v>
      </c>
      <c r="F1077" s="291" t="str">
        <v>Communication Services</v>
      </c>
      <c r="G1077" s="293">
        <f t="shared" si="37"/>
        <v>0.00709178407343652</v>
      </c>
      <c r="H1077" s="291"/>
      <c r="J1077" s="36"/>
      <c r="X1077" s="291"/>
      <c r="Z1077" s="306" t="s">
        <v>855</v>
      </c>
    </row>
    <row r="1078" ht="14.4" spans="1:26">
      <c r="A1078" s="306" t="s">
        <v>1287</v>
      </c>
      <c r="B1078" s="117" t="s">
        <v>42</v>
      </c>
      <c r="C1078" s="291" t="str">
        <v>Wipro Ltd</v>
      </c>
      <c r="D1078" s="307">
        <v>0.0160405134965835</v>
      </c>
      <c r="E1078" s="293">
        <f t="shared" si="36"/>
        <v>0.00668354729024313</v>
      </c>
      <c r="F1078" s="291" t="str">
        <v>Information Technology</v>
      </c>
      <c r="G1078" s="293">
        <f t="shared" si="37"/>
        <v>0.00668354729024313</v>
      </c>
      <c r="H1078" s="291"/>
      <c r="J1078" s="36"/>
      <c r="X1078" s="291"/>
      <c r="Z1078" s="306" t="s">
        <v>1287</v>
      </c>
    </row>
    <row r="1079" ht="14.4" spans="1:26">
      <c r="A1079" s="306" t="s">
        <v>924</v>
      </c>
      <c r="B1079" s="117" t="s">
        <v>56</v>
      </c>
      <c r="C1079" s="291" t="str">
        <v>HDFC Bank Ltd</v>
      </c>
      <c r="D1079" s="308">
        <v>0.0954968421028572</v>
      </c>
      <c r="E1079" s="293">
        <f t="shared" si="36"/>
        <v>0</v>
      </c>
      <c r="F1079" s="291" t="str">
        <v>Financials</v>
      </c>
      <c r="G1079" s="293">
        <f t="shared" si="37"/>
        <v>0</v>
      </c>
      <c r="H1079" s="291"/>
      <c r="J1079" s="36"/>
      <c r="X1079" s="291"/>
      <c r="Z1079" s="306" t="s">
        <v>924</v>
      </c>
    </row>
    <row r="1080" ht="14.4" spans="1:26">
      <c r="A1080" s="306" t="s">
        <v>926</v>
      </c>
      <c r="B1080" s="117" t="s">
        <v>56</v>
      </c>
      <c r="C1080" s="291" t="str">
        <v>HDFC Asset Management Co Ltd</v>
      </c>
      <c r="D1080" s="308">
        <v>0.0604319592507508</v>
      </c>
      <c r="E1080" s="293">
        <f t="shared" si="36"/>
        <v>0</v>
      </c>
      <c r="F1080" s="291" t="str">
        <v>Financials</v>
      </c>
      <c r="G1080" s="293">
        <f t="shared" si="37"/>
        <v>0</v>
      </c>
      <c r="H1080" s="291"/>
      <c r="J1080" s="36"/>
      <c r="X1080" s="291"/>
      <c r="Z1080" s="306" t="s">
        <v>926</v>
      </c>
    </row>
    <row r="1081" ht="14.4" spans="1:26">
      <c r="A1081" s="306" t="s">
        <v>1059</v>
      </c>
      <c r="B1081" s="117" t="s">
        <v>56</v>
      </c>
      <c r="C1081" s="291" t="str">
        <v>Tech Mahindra Ltd</v>
      </c>
      <c r="D1081" s="308">
        <v>0.0581980694388626</v>
      </c>
      <c r="E1081" s="293">
        <f t="shared" si="36"/>
        <v>0</v>
      </c>
      <c r="F1081" s="291" t="str">
        <v>Information Technology</v>
      </c>
      <c r="G1081" s="293">
        <f t="shared" si="37"/>
        <v>0</v>
      </c>
      <c r="H1081" s="291"/>
      <c r="J1081" s="36"/>
      <c r="X1081" s="291"/>
      <c r="Z1081" s="306" t="s">
        <v>1059</v>
      </c>
    </row>
    <row r="1082" ht="14.4" spans="1:26">
      <c r="A1082" s="306" t="s">
        <v>1034</v>
      </c>
      <c r="B1082" s="117" t="s">
        <v>56</v>
      </c>
      <c r="C1082" s="291" t="str">
        <v>Reliance Industries Ltd</v>
      </c>
      <c r="D1082" s="308">
        <v>0.0538210191359775</v>
      </c>
      <c r="E1082" s="293">
        <f t="shared" si="36"/>
        <v>0</v>
      </c>
      <c r="F1082" s="291" t="str">
        <v>Energy</v>
      </c>
      <c r="G1082" s="293">
        <f t="shared" si="37"/>
        <v>0</v>
      </c>
      <c r="H1082" s="291"/>
      <c r="J1082" s="36"/>
      <c r="X1082" s="291"/>
      <c r="Z1082" s="306" t="s">
        <v>1034</v>
      </c>
    </row>
    <row r="1083" ht="14.4" spans="1:26">
      <c r="A1083" s="306" t="s">
        <v>955</v>
      </c>
      <c r="B1083" s="117" t="s">
        <v>56</v>
      </c>
      <c r="C1083" s="291" t="str">
        <v>Infosys Ltd</v>
      </c>
      <c r="D1083" s="308">
        <v>0.0466660751279259</v>
      </c>
      <c r="E1083" s="293">
        <f t="shared" si="36"/>
        <v>0</v>
      </c>
      <c r="F1083" s="291" t="str">
        <v>Information Technology</v>
      </c>
      <c r="G1083" s="293">
        <f t="shared" si="37"/>
        <v>0</v>
      </c>
      <c r="H1083" s="291"/>
      <c r="J1083" s="36"/>
      <c r="X1083" s="291"/>
      <c r="Z1083" s="306" t="s">
        <v>955</v>
      </c>
    </row>
    <row r="1084" ht="14.4" spans="1:26">
      <c r="A1084" s="306" t="s">
        <v>1321</v>
      </c>
      <c r="B1084" s="117" t="s">
        <v>56</v>
      </c>
      <c r="C1084" s="291" t="str">
        <v>One 97 Communications Ltd</v>
      </c>
      <c r="D1084" s="308">
        <v>0.0455932276481915</v>
      </c>
      <c r="E1084" s="293">
        <f t="shared" si="36"/>
        <v>0</v>
      </c>
      <c r="F1084" s="291" t="str">
        <v>Financials</v>
      </c>
      <c r="G1084" s="293">
        <f t="shared" si="37"/>
        <v>0</v>
      </c>
      <c r="H1084" s="291"/>
      <c r="J1084" s="36"/>
      <c r="X1084" s="291"/>
      <c r="Z1084" s="306" t="s">
        <v>1321</v>
      </c>
    </row>
    <row r="1085" ht="14.4" spans="1:26">
      <c r="A1085" s="306" t="s">
        <v>1041</v>
      </c>
      <c r="B1085" s="117" t="s">
        <v>56</v>
      </c>
      <c r="C1085" s="291" t="str">
        <v>State Bank of India</v>
      </c>
      <c r="D1085" s="308">
        <v>0.0425065763905428</v>
      </c>
      <c r="E1085" s="293">
        <f t="shared" si="36"/>
        <v>0</v>
      </c>
      <c r="F1085" s="291" t="str">
        <v>Financials</v>
      </c>
      <c r="G1085" s="293">
        <f t="shared" si="37"/>
        <v>0</v>
      </c>
      <c r="H1085" s="291"/>
      <c r="J1085" s="36"/>
      <c r="X1085" s="291"/>
      <c r="Z1085" s="306" t="s">
        <v>1041</v>
      </c>
    </row>
    <row r="1086" ht="14.4" spans="1:26">
      <c r="A1086" s="306" t="s">
        <v>1473</v>
      </c>
      <c r="B1086" s="117" t="s">
        <v>56</v>
      </c>
      <c r="C1086" s="291" t="str">
        <v>Motilal Oswal Financial Servic</v>
      </c>
      <c r="D1086" s="308">
        <v>0.0412001102103152</v>
      </c>
      <c r="E1086" s="293">
        <f t="shared" si="36"/>
        <v>0</v>
      </c>
      <c r="F1086" s="291" t="str">
        <v>Financials</v>
      </c>
      <c r="G1086" s="293">
        <f t="shared" si="37"/>
        <v>0</v>
      </c>
      <c r="H1086" s="291"/>
      <c r="J1086" s="36"/>
      <c r="X1086" s="291"/>
      <c r="Z1086" s="306" t="s">
        <v>1473</v>
      </c>
    </row>
    <row r="1087" ht="14.4" spans="1:26">
      <c r="A1087" s="306" t="s">
        <v>972</v>
      </c>
      <c r="B1087" s="117" t="s">
        <v>56</v>
      </c>
      <c r="C1087" s="291" t="str">
        <v>Kotak Mahindra Bank Ltd</v>
      </c>
      <c r="D1087" s="308">
        <v>0.0377252609273948</v>
      </c>
      <c r="E1087" s="293">
        <f t="shared" si="36"/>
        <v>0</v>
      </c>
      <c r="F1087" s="291" t="str">
        <v>Financials</v>
      </c>
      <c r="G1087" s="293">
        <f t="shared" si="37"/>
        <v>0</v>
      </c>
      <c r="H1087" s="291"/>
      <c r="J1087" s="36"/>
      <c r="X1087" s="291"/>
      <c r="Z1087" s="306" t="s">
        <v>972</v>
      </c>
    </row>
    <row r="1088" ht="14.4" spans="1:26">
      <c r="A1088" s="306" t="s">
        <v>1706</v>
      </c>
      <c r="B1088" s="117" t="s">
        <v>56</v>
      </c>
      <c r="C1088" s="291" t="str">
        <v>Balrampur Chini Mills Ltd</v>
      </c>
      <c r="D1088" s="308">
        <v>0.0366504893443022</v>
      </c>
      <c r="E1088" s="293">
        <f t="shared" si="36"/>
        <v>0</v>
      </c>
      <c r="F1088" s="291" t="str">
        <v>Consumer Staples</v>
      </c>
      <c r="G1088" s="293">
        <f t="shared" si="37"/>
        <v>0</v>
      </c>
      <c r="H1088" s="291"/>
      <c r="J1088" s="36"/>
      <c r="X1088" s="291"/>
      <c r="Z1088" s="306" t="s">
        <v>1706</v>
      </c>
    </row>
    <row r="1089" ht="14.4" spans="1:26">
      <c r="A1089" s="306" t="s">
        <v>1702</v>
      </c>
      <c r="B1089" s="117" t="s">
        <v>56</v>
      </c>
      <c r="C1089" s="291" t="str">
        <v>Alembic Pharmaceuticals Ltd</v>
      </c>
      <c r="D1089" s="308">
        <v>0.034334583900145</v>
      </c>
      <c r="E1089" s="293">
        <f t="shared" si="36"/>
        <v>0</v>
      </c>
      <c r="F1089" s="291" t="str">
        <v>Health Care</v>
      </c>
      <c r="G1089" s="293">
        <f t="shared" si="37"/>
        <v>0</v>
      </c>
      <c r="H1089" s="291"/>
      <c r="J1089" s="36"/>
      <c r="X1089" s="291"/>
      <c r="Z1089" s="306" t="s">
        <v>1702</v>
      </c>
    </row>
    <row r="1090" ht="14.4" spans="1:26">
      <c r="A1090" s="306" t="s">
        <v>1350</v>
      </c>
      <c r="B1090" s="117" t="s">
        <v>56</v>
      </c>
      <c r="C1090" s="291" t="str">
        <v>Jubilant Foodworks Ltd</v>
      </c>
      <c r="D1090" s="308">
        <v>0.0320075465589154</v>
      </c>
      <c r="E1090" s="293">
        <f t="shared" si="36"/>
        <v>0</v>
      </c>
      <c r="F1090" s="291" t="str">
        <v>Consumer Discretionary</v>
      </c>
      <c r="G1090" s="293">
        <f t="shared" si="37"/>
        <v>0</v>
      </c>
      <c r="H1090" s="291"/>
      <c r="J1090" s="36"/>
      <c r="X1090" s="291"/>
      <c r="Z1090" s="306" t="s">
        <v>1350</v>
      </c>
    </row>
    <row r="1091" ht="14.4" spans="1:26">
      <c r="A1091" s="306" t="s">
        <v>936</v>
      </c>
      <c r="B1091" s="117" t="s">
        <v>56</v>
      </c>
      <c r="C1091" s="291" t="str">
        <v>ICICI Bank Ltd</v>
      </c>
      <c r="D1091" s="308">
        <v>0.0318621052718382</v>
      </c>
      <c r="E1091" s="293">
        <f t="shared" si="36"/>
        <v>0</v>
      </c>
      <c r="F1091" s="291" t="str">
        <v>Financials</v>
      </c>
      <c r="G1091" s="293">
        <f t="shared" si="37"/>
        <v>0</v>
      </c>
      <c r="H1091" s="291"/>
      <c r="J1091" s="36"/>
      <c r="X1091" s="291"/>
      <c r="Z1091" s="306" t="s">
        <v>936</v>
      </c>
    </row>
    <row r="1092" ht="14.4" spans="1:26">
      <c r="A1092" s="306" t="s">
        <v>1119</v>
      </c>
      <c r="B1092" s="117" t="s">
        <v>56</v>
      </c>
      <c r="C1092" s="291" t="str">
        <v>Info Edge India Ltd</v>
      </c>
      <c r="D1092" s="308">
        <v>0.0291363890643857</v>
      </c>
      <c r="E1092" s="293">
        <f t="shared" si="36"/>
        <v>0</v>
      </c>
      <c r="F1092" s="291" t="str">
        <v>Communication Services</v>
      </c>
      <c r="G1092" s="293">
        <f t="shared" si="37"/>
        <v>0</v>
      </c>
      <c r="H1092" s="291"/>
      <c r="J1092" s="36"/>
      <c r="X1092" s="291"/>
      <c r="Z1092" s="306" t="s">
        <v>1119</v>
      </c>
    </row>
    <row r="1093" ht="14.4" spans="1:26">
      <c r="A1093" s="306" t="s">
        <v>1061</v>
      </c>
      <c r="B1093" s="117" t="s">
        <v>56</v>
      </c>
      <c r="C1093" s="291" t="str">
        <v>Federal Bank Ltd</v>
      </c>
      <c r="D1093" s="308">
        <v>0.0289709894193928</v>
      </c>
      <c r="E1093" s="293">
        <f t="shared" si="36"/>
        <v>0</v>
      </c>
      <c r="F1093" s="291" t="str">
        <v>Financials</v>
      </c>
      <c r="G1093" s="293">
        <f t="shared" si="37"/>
        <v>0</v>
      </c>
      <c r="H1093" s="291"/>
      <c r="J1093" s="36"/>
      <c r="X1093" s="291"/>
      <c r="Z1093" s="306" t="s">
        <v>1061</v>
      </c>
    </row>
    <row r="1094" ht="14.4" spans="1:26">
      <c r="A1094" s="306" t="s">
        <v>1303</v>
      </c>
      <c r="B1094" s="117" t="s">
        <v>56</v>
      </c>
      <c r="C1094" s="291" t="str">
        <v>Godrej Consumer Products Ltd</v>
      </c>
      <c r="D1094" s="308">
        <v>0.0283960452465542</v>
      </c>
      <c r="E1094" s="293">
        <f t="shared" si="36"/>
        <v>0</v>
      </c>
      <c r="F1094" s="291" t="str">
        <v>Consumer Staples</v>
      </c>
      <c r="G1094" s="293">
        <f t="shared" si="37"/>
        <v>0</v>
      </c>
      <c r="H1094" s="291"/>
      <c r="J1094" s="36"/>
      <c r="X1094" s="291"/>
      <c r="Z1094" s="306" t="s">
        <v>1303</v>
      </c>
    </row>
    <row r="1095" ht="14.4" spans="1:26">
      <c r="A1095" s="306" t="s">
        <v>1400</v>
      </c>
      <c r="B1095" s="117" t="s">
        <v>56</v>
      </c>
      <c r="C1095" s="291" t="str">
        <v>PNB Housing Finance Ltd</v>
      </c>
      <c r="D1095" s="308">
        <v>0.0283199414363858</v>
      </c>
      <c r="E1095" s="293">
        <f t="shared" si="36"/>
        <v>0</v>
      </c>
      <c r="F1095" s="291" t="str">
        <v>Financials</v>
      </c>
      <c r="G1095" s="293">
        <f t="shared" si="37"/>
        <v>0</v>
      </c>
      <c r="H1095" s="291"/>
      <c r="J1095" s="36"/>
      <c r="X1095" s="291"/>
      <c r="Z1095" s="306" t="s">
        <v>1400</v>
      </c>
    </row>
    <row r="1096" ht="14.4" spans="1:26">
      <c r="A1096" s="306" t="s">
        <v>1076</v>
      </c>
      <c r="B1096" s="117" t="s">
        <v>56</v>
      </c>
      <c r="C1096" s="291" t="str">
        <v>United Spirits Ltd</v>
      </c>
      <c r="D1096" s="308">
        <v>0.025397304004272</v>
      </c>
      <c r="E1096" s="293">
        <f t="shared" si="36"/>
        <v>0</v>
      </c>
      <c r="F1096" s="291" t="str">
        <v>Consumer Staples</v>
      </c>
      <c r="G1096" s="293">
        <f t="shared" si="37"/>
        <v>0</v>
      </c>
      <c r="H1096" s="291"/>
      <c r="J1096" s="36"/>
      <c r="X1096" s="291"/>
      <c r="Z1096" s="306" t="s">
        <v>1076</v>
      </c>
    </row>
    <row r="1097" ht="14.4" spans="1:26">
      <c r="A1097" s="306" t="s">
        <v>894</v>
      </c>
      <c r="B1097" s="117" t="s">
        <v>56</v>
      </c>
      <c r="C1097" s="291" t="str">
        <v>Crompton Greaves Consumer Elec</v>
      </c>
      <c r="D1097" s="308">
        <v>0.0247843114141498</v>
      </c>
      <c r="E1097" s="293">
        <f t="shared" si="36"/>
        <v>0</v>
      </c>
      <c r="F1097" s="291" t="str">
        <v>Consumer Discretionary</v>
      </c>
      <c r="G1097" s="293">
        <f t="shared" si="37"/>
        <v>0</v>
      </c>
      <c r="H1097" s="291"/>
      <c r="J1097" s="36"/>
      <c r="X1097" s="291"/>
      <c r="Z1097" s="306" t="s">
        <v>894</v>
      </c>
    </row>
    <row r="1098" ht="14.4" spans="1:26">
      <c r="A1098" s="306" t="s">
        <v>1050</v>
      </c>
      <c r="B1098" s="117" t="s">
        <v>56</v>
      </c>
      <c r="C1098" s="291" t="str">
        <v>Syngene International Ltd</v>
      </c>
      <c r="D1098" s="308">
        <v>0.0244048387035025</v>
      </c>
      <c r="E1098" s="293">
        <f t="shared" si="36"/>
        <v>0</v>
      </c>
      <c r="F1098" s="291" t="str">
        <v>Health Care</v>
      </c>
      <c r="G1098" s="293">
        <f t="shared" si="37"/>
        <v>0</v>
      </c>
      <c r="H1098" s="291"/>
      <c r="J1098" s="36"/>
      <c r="X1098" s="291"/>
      <c r="Z1098" s="306" t="s">
        <v>1050</v>
      </c>
    </row>
    <row r="1099" ht="14.4" spans="1:26">
      <c r="A1099" s="306" t="s">
        <v>1044</v>
      </c>
      <c r="B1099" s="117" t="s">
        <v>56</v>
      </c>
      <c r="C1099" s="291" t="str">
        <v>Sun Pharmaceutical Industries</v>
      </c>
      <c r="D1099" s="308">
        <v>0.0240089384517969</v>
      </c>
      <c r="E1099" s="293">
        <f t="shared" si="36"/>
        <v>0</v>
      </c>
      <c r="F1099" s="291" t="str">
        <v>Health Care</v>
      </c>
      <c r="G1099" s="293">
        <f t="shared" si="37"/>
        <v>0</v>
      </c>
      <c r="H1099" s="291"/>
      <c r="J1099" s="36"/>
      <c r="X1099" s="291"/>
      <c r="Z1099" s="306" t="s">
        <v>1044</v>
      </c>
    </row>
    <row r="1100" ht="14.4" spans="1:26">
      <c r="A1100" s="306" t="s">
        <v>814</v>
      </c>
      <c r="B1100" s="117" t="s">
        <v>56</v>
      </c>
      <c r="C1100" s="291" t="str">
        <v>ABB India Ltd</v>
      </c>
      <c r="D1100" s="308">
        <v>0.0237019306126406</v>
      </c>
      <c r="E1100" s="293">
        <f t="shared" ref="E1100:E1163" si="38">_xlfn.IFNA(D1100*VLOOKUP($B1100,$AK$1:$AM$34,3,FALSE),0)</f>
        <v>0</v>
      </c>
      <c r="F1100" s="291" t="str">
        <v>Industrials</v>
      </c>
      <c r="G1100" s="293">
        <f t="shared" ref="G1100:G1163" si="39">_xlfn.IFNA(D1100*VLOOKUP($B1100,$AK$1:$AM$34,3,FALSE),0)</f>
        <v>0</v>
      </c>
      <c r="H1100" s="291"/>
      <c r="J1100" s="36"/>
      <c r="X1100" s="291"/>
      <c r="Z1100" s="306" t="s">
        <v>814</v>
      </c>
    </row>
    <row r="1101" ht="14.4" spans="1:26">
      <c r="A1101" s="306" t="s">
        <v>1708</v>
      </c>
      <c r="B1101" s="117" t="s">
        <v>56</v>
      </c>
      <c r="C1101" s="291" t="str">
        <v>Varroc Engineering Ltd</v>
      </c>
      <c r="D1101" s="308">
        <v>0.02334725616461</v>
      </c>
      <c r="E1101" s="293">
        <f t="shared" si="38"/>
        <v>0</v>
      </c>
      <c r="F1101" s="291" t="str">
        <v>Consumer Discretionary</v>
      </c>
      <c r="G1101" s="293">
        <f t="shared" si="39"/>
        <v>0</v>
      </c>
      <c r="H1101" s="291"/>
      <c r="J1101" s="36"/>
      <c r="X1101" s="291"/>
      <c r="Z1101" s="306" t="s">
        <v>1708</v>
      </c>
    </row>
    <row r="1102" ht="14.4" spans="1:26">
      <c r="A1102" s="306" t="s">
        <v>1054</v>
      </c>
      <c r="B1102" s="117" t="s">
        <v>56</v>
      </c>
      <c r="C1102" s="291" t="str">
        <v>Tata Motors Ltd</v>
      </c>
      <c r="D1102" s="308">
        <v>0.022994738339981</v>
      </c>
      <c r="E1102" s="293">
        <f t="shared" si="38"/>
        <v>0</v>
      </c>
      <c r="F1102" s="291" t="str">
        <v>Consumer Discretionary</v>
      </c>
      <c r="G1102" s="293">
        <f t="shared" si="39"/>
        <v>0</v>
      </c>
      <c r="H1102" s="291"/>
      <c r="J1102" s="36"/>
      <c r="X1102" s="291"/>
      <c r="Z1102" s="306" t="s">
        <v>1054</v>
      </c>
    </row>
    <row r="1103" ht="14.4" spans="1:26">
      <c r="A1103" s="306" t="s">
        <v>1630</v>
      </c>
      <c r="B1103" s="117" t="s">
        <v>56</v>
      </c>
      <c r="C1103" s="291" t="str">
        <v>Onesource Specialty Pharma Ltd</v>
      </c>
      <c r="D1103" s="308">
        <v>0.0204252581626152</v>
      </c>
      <c r="E1103" s="293">
        <f t="shared" si="38"/>
        <v>0</v>
      </c>
      <c r="F1103" s="291" t="str">
        <v>Health Care</v>
      </c>
      <c r="G1103" s="293">
        <f t="shared" si="39"/>
        <v>0</v>
      </c>
      <c r="H1103" s="291"/>
      <c r="J1103" s="36"/>
      <c r="X1103" s="291"/>
      <c r="Z1103" s="306" t="s">
        <v>1630</v>
      </c>
    </row>
    <row r="1104" ht="14.4" spans="1:26">
      <c r="A1104" s="306" t="s">
        <v>975</v>
      </c>
      <c r="B1104" s="117" t="s">
        <v>56</v>
      </c>
      <c r="C1104" s="291" t="str">
        <v>Larsen &amp; Toubro Ltd</v>
      </c>
      <c r="D1104" s="308">
        <v>0.0202934192980705</v>
      </c>
      <c r="E1104" s="293">
        <f t="shared" si="38"/>
        <v>0</v>
      </c>
      <c r="F1104" s="291" t="str">
        <v>Industrials</v>
      </c>
      <c r="G1104" s="293">
        <f t="shared" si="39"/>
        <v>0</v>
      </c>
      <c r="H1104" s="291"/>
      <c r="J1104" s="36"/>
      <c r="X1104" s="291"/>
      <c r="Z1104" s="306" t="s">
        <v>975</v>
      </c>
    </row>
    <row r="1105" ht="14.4" spans="1:26">
      <c r="A1105" s="306" t="s">
        <v>1365</v>
      </c>
      <c r="B1105" s="117" t="s">
        <v>56</v>
      </c>
      <c r="C1105" s="291" t="str">
        <v>Exide Industries Ltd</v>
      </c>
      <c r="D1105" s="308">
        <v>0.019792675758846</v>
      </c>
      <c r="E1105" s="293">
        <f t="shared" si="38"/>
        <v>0</v>
      </c>
      <c r="F1105" s="291" t="str">
        <v>Consumer Discretionary</v>
      </c>
      <c r="G1105" s="293">
        <f t="shared" si="39"/>
        <v>0</v>
      </c>
      <c r="H1105" s="291"/>
      <c r="J1105" s="36"/>
      <c r="X1105" s="291"/>
      <c r="Z1105" s="306" t="s">
        <v>1365</v>
      </c>
    </row>
    <row r="1106" ht="14.4" spans="1:26">
      <c r="A1106" s="306" t="s">
        <v>1710</v>
      </c>
      <c r="B1106" s="117" t="s">
        <v>56</v>
      </c>
      <c r="C1106" s="291" t="str">
        <v>Strides Pharma Science Ltd</v>
      </c>
      <c r="D1106" s="308">
        <v>0.0180888735156454</v>
      </c>
      <c r="E1106" s="293">
        <f t="shared" si="38"/>
        <v>0</v>
      </c>
      <c r="F1106" s="291" t="str">
        <v>Health Care</v>
      </c>
      <c r="G1106" s="293">
        <f t="shared" si="39"/>
        <v>0</v>
      </c>
      <c r="H1106" s="291"/>
      <c r="J1106" s="36"/>
      <c r="X1106" s="291"/>
      <c r="Z1106" s="306" t="s">
        <v>1710</v>
      </c>
    </row>
    <row r="1107" ht="14.4" spans="1:26">
      <c r="A1107" s="306" t="s">
        <v>1712</v>
      </c>
      <c r="B1107" s="117" t="s">
        <v>56</v>
      </c>
      <c r="C1107" s="291" t="str">
        <v>Sunteck Realty Ltd</v>
      </c>
      <c r="D1107" s="308">
        <v>0.018043032189111</v>
      </c>
      <c r="E1107" s="293">
        <f t="shared" si="38"/>
        <v>0</v>
      </c>
      <c r="F1107" s="291" t="str">
        <v>Real Estate</v>
      </c>
      <c r="G1107" s="293">
        <f t="shared" si="39"/>
        <v>0</v>
      </c>
      <c r="H1107" s="291"/>
      <c r="J1107" s="36"/>
      <c r="X1107" s="291"/>
      <c r="Z1107" s="306" t="s">
        <v>1712</v>
      </c>
    </row>
    <row r="1108" spans="1:26">
      <c r="A1108" s="291" t="s">
        <v>843</v>
      </c>
      <c r="B1108" s="117" t="s">
        <v>58</v>
      </c>
      <c r="C1108" s="291" t="str">
        <v>Axis Bank Ltd</v>
      </c>
      <c r="D1108" s="309">
        <v>0.051</v>
      </c>
      <c r="E1108" s="293">
        <f t="shared" si="38"/>
        <v>0</v>
      </c>
      <c r="F1108" s="291" t="str">
        <v>Financials</v>
      </c>
      <c r="G1108" s="293">
        <f t="shared" si="39"/>
        <v>0</v>
      </c>
      <c r="H1108" s="291"/>
      <c r="J1108" s="36"/>
      <c r="X1108" s="291"/>
      <c r="Z1108" s="291" t="s">
        <v>843</v>
      </c>
    </row>
    <row r="1109" spans="1:26">
      <c r="A1109" s="291" t="s">
        <v>1041</v>
      </c>
      <c r="B1109" s="117" t="s">
        <v>58</v>
      </c>
      <c r="C1109" s="291" t="str">
        <v>State Bank of India</v>
      </c>
      <c r="D1109" s="309">
        <v>0.046</v>
      </c>
      <c r="E1109" s="293">
        <f t="shared" si="38"/>
        <v>0</v>
      </c>
      <c r="F1109" s="291" t="str">
        <v>Financials</v>
      </c>
      <c r="G1109" s="293">
        <f t="shared" si="39"/>
        <v>0</v>
      </c>
      <c r="H1109" s="291"/>
      <c r="J1109" s="36"/>
      <c r="X1109" s="291"/>
      <c r="Z1109" s="291" t="s">
        <v>1041</v>
      </c>
    </row>
    <row r="1110" spans="1:26">
      <c r="A1110" s="291" t="s">
        <v>936</v>
      </c>
      <c r="B1110" s="117" t="s">
        <v>58</v>
      </c>
      <c r="C1110" s="291" t="str">
        <v>ICICI Bank Ltd</v>
      </c>
      <c r="D1110" s="309">
        <v>0.046</v>
      </c>
      <c r="E1110" s="293">
        <f t="shared" si="38"/>
        <v>0</v>
      </c>
      <c r="F1110" s="291" t="str">
        <v>Financials</v>
      </c>
      <c r="G1110" s="293">
        <f t="shared" si="39"/>
        <v>0</v>
      </c>
      <c r="H1110" s="291"/>
      <c r="J1110" s="36"/>
      <c r="X1110" s="291"/>
      <c r="Z1110" s="291" t="s">
        <v>936</v>
      </c>
    </row>
    <row r="1111" spans="1:26">
      <c r="A1111" s="291" t="s">
        <v>1321</v>
      </c>
      <c r="B1111" s="117" t="s">
        <v>58</v>
      </c>
      <c r="C1111" s="291" t="str">
        <v>One 97 Communications Ltd</v>
      </c>
      <c r="D1111" s="309">
        <v>0.04</v>
      </c>
      <c r="E1111" s="293">
        <f t="shared" si="38"/>
        <v>0</v>
      </c>
      <c r="F1111" s="291" t="str">
        <v>Financials</v>
      </c>
      <c r="G1111" s="293">
        <f t="shared" si="39"/>
        <v>0</v>
      </c>
      <c r="H1111" s="291"/>
      <c r="J1111" s="36"/>
      <c r="X1111" s="291"/>
      <c r="Z1111" s="291" t="s">
        <v>1321</v>
      </c>
    </row>
    <row r="1112" spans="1:26">
      <c r="A1112" s="291" t="s">
        <v>1181</v>
      </c>
      <c r="B1112" s="117" t="s">
        <v>58</v>
      </c>
      <c r="C1112" s="291" t="str">
        <v>Max Financial Services Ltd</v>
      </c>
      <c r="D1112" s="309">
        <v>0.035</v>
      </c>
      <c r="E1112" s="293">
        <f t="shared" si="38"/>
        <v>0</v>
      </c>
      <c r="F1112" s="291" t="str">
        <v>Financials</v>
      </c>
      <c r="G1112" s="293">
        <f t="shared" si="39"/>
        <v>0</v>
      </c>
      <c r="H1112" s="291"/>
      <c r="J1112" s="36"/>
      <c r="X1112" s="291"/>
      <c r="Z1112" s="291" t="s">
        <v>1181</v>
      </c>
    </row>
    <row r="1113" spans="1:26">
      <c r="A1113" s="291" t="s">
        <v>924</v>
      </c>
      <c r="B1113" s="117" t="s">
        <v>58</v>
      </c>
      <c r="C1113" s="291" t="str">
        <v>HDFC Bank Ltd</v>
      </c>
      <c r="D1113" s="309">
        <v>0.034</v>
      </c>
      <c r="E1113" s="293">
        <f t="shared" si="38"/>
        <v>0</v>
      </c>
      <c r="F1113" s="291" t="str">
        <v>Financials</v>
      </c>
      <c r="G1113" s="293">
        <f t="shared" si="39"/>
        <v>0</v>
      </c>
      <c r="H1113" s="291"/>
      <c r="J1113" s="36"/>
      <c r="X1113" s="291"/>
      <c r="Z1113" s="291" t="s">
        <v>924</v>
      </c>
    </row>
    <row r="1114" spans="1:26">
      <c r="A1114" s="291" t="s">
        <v>1245</v>
      </c>
      <c r="B1114" s="117" t="s">
        <v>58</v>
      </c>
      <c r="C1114" s="291" t="str">
        <v>Vedanta Ltd</v>
      </c>
      <c r="D1114" s="309">
        <v>0.031</v>
      </c>
      <c r="E1114" s="293">
        <f t="shared" si="38"/>
        <v>0</v>
      </c>
      <c r="F1114" s="291" t="str">
        <v>Materials</v>
      </c>
      <c r="G1114" s="293">
        <f t="shared" si="39"/>
        <v>0</v>
      </c>
      <c r="H1114" s="291"/>
      <c r="J1114" s="36"/>
      <c r="X1114" s="291"/>
      <c r="Z1114" s="291" t="s">
        <v>1245</v>
      </c>
    </row>
    <row r="1115" spans="1:26">
      <c r="A1115" s="291" t="s">
        <v>961</v>
      </c>
      <c r="B1115" s="117" t="s">
        <v>58</v>
      </c>
      <c r="C1115" s="291" t="str">
        <v>ITC Ltd</v>
      </c>
      <c r="D1115" s="309">
        <v>0.03</v>
      </c>
      <c r="E1115" s="293">
        <f t="shared" si="38"/>
        <v>0</v>
      </c>
      <c r="F1115" s="291" t="str">
        <v>Consumer Staples</v>
      </c>
      <c r="G1115" s="293">
        <f t="shared" si="39"/>
        <v>0</v>
      </c>
      <c r="H1115" s="291"/>
      <c r="J1115" s="36"/>
      <c r="X1115" s="291"/>
      <c r="Z1115" s="291" t="s">
        <v>961</v>
      </c>
    </row>
    <row r="1116" spans="1:26">
      <c r="A1116" s="291" t="s">
        <v>853</v>
      </c>
      <c r="B1116" s="117" t="s">
        <v>58</v>
      </c>
      <c r="C1116" s="291" t="str">
        <v>Bharat Petroleum Corp Ltd</v>
      </c>
      <c r="D1116" s="309">
        <v>0.029</v>
      </c>
      <c r="E1116" s="293">
        <f t="shared" si="38"/>
        <v>0</v>
      </c>
      <c r="F1116" s="291" t="str">
        <v>Energy</v>
      </c>
      <c r="G1116" s="293">
        <f t="shared" si="39"/>
        <v>0</v>
      </c>
      <c r="H1116" s="291"/>
      <c r="J1116" s="36"/>
      <c r="X1116" s="291"/>
      <c r="Z1116" s="291" t="s">
        <v>853</v>
      </c>
    </row>
    <row r="1117" spans="1:26">
      <c r="A1117" s="291" t="s">
        <v>1295</v>
      </c>
      <c r="B1117" s="117" t="s">
        <v>58</v>
      </c>
      <c r="C1117" s="291" t="str">
        <v>Dalmia Bharat Ltd</v>
      </c>
      <c r="D1117" s="309">
        <v>0.029</v>
      </c>
      <c r="E1117" s="293">
        <f t="shared" si="38"/>
        <v>0</v>
      </c>
      <c r="F1117" s="291" t="str">
        <v>Materials</v>
      </c>
      <c r="G1117" s="293">
        <f t="shared" si="39"/>
        <v>0</v>
      </c>
      <c r="H1117" s="291"/>
      <c r="J1117" s="36"/>
      <c r="X1117" s="291"/>
      <c r="Z1117" s="291" t="s">
        <v>1295</v>
      </c>
    </row>
    <row r="1118" spans="1:26">
      <c r="A1118" s="291" t="s">
        <v>986</v>
      </c>
      <c r="B1118" s="117" t="s">
        <v>58</v>
      </c>
      <c r="C1118" s="291" t="str">
        <v>Navin Fluorine International L</v>
      </c>
      <c r="D1118" s="309">
        <v>0.029</v>
      </c>
      <c r="E1118" s="293">
        <f t="shared" si="38"/>
        <v>0</v>
      </c>
      <c r="F1118" s="291" t="str">
        <v>Materials</v>
      </c>
      <c r="G1118" s="293">
        <f t="shared" si="39"/>
        <v>0</v>
      </c>
      <c r="H1118" s="291"/>
      <c r="J1118" s="36"/>
      <c r="X1118" s="291"/>
      <c r="Z1118" s="291" t="s">
        <v>986</v>
      </c>
    </row>
    <row r="1119" spans="1:26">
      <c r="A1119" s="291" t="s">
        <v>1117</v>
      </c>
      <c r="B1119" s="117" t="s">
        <v>58</v>
      </c>
      <c r="C1119" s="291" t="str">
        <v>ICICI Lombard General Insuranc</v>
      </c>
      <c r="D1119" s="309">
        <v>0.028</v>
      </c>
      <c r="E1119" s="293">
        <f t="shared" si="38"/>
        <v>0</v>
      </c>
      <c r="F1119" s="291" t="str">
        <v>Financials</v>
      </c>
      <c r="G1119" s="293">
        <f t="shared" si="39"/>
        <v>0</v>
      </c>
      <c r="H1119" s="291"/>
      <c r="J1119" s="36"/>
      <c r="X1119" s="291"/>
      <c r="Z1119" s="291" t="s">
        <v>1117</v>
      </c>
    </row>
    <row r="1120" spans="1:26">
      <c r="A1120" s="291" t="s">
        <v>952</v>
      </c>
      <c r="B1120" s="117" t="s">
        <v>58</v>
      </c>
      <c r="C1120" s="291" t="str">
        <v>Indus Towers Ltd</v>
      </c>
      <c r="D1120" s="309">
        <v>0.028</v>
      </c>
      <c r="E1120" s="293">
        <f t="shared" si="38"/>
        <v>0</v>
      </c>
      <c r="F1120" s="291" t="str">
        <v>Communication Services</v>
      </c>
      <c r="G1120" s="293">
        <f t="shared" si="39"/>
        <v>0</v>
      </c>
      <c r="H1120" s="291"/>
      <c r="J1120" s="36"/>
      <c r="X1120" s="291"/>
      <c r="Z1120" s="291" t="s">
        <v>952</v>
      </c>
    </row>
    <row r="1121" spans="1:26">
      <c r="A1121" s="291" t="s">
        <v>1071</v>
      </c>
      <c r="B1121" s="117" t="s">
        <v>58</v>
      </c>
      <c r="C1121" s="291" t="str">
        <v>UltraTech Cement Ltd</v>
      </c>
      <c r="D1121" s="309">
        <v>0.027</v>
      </c>
      <c r="E1121" s="293">
        <f t="shared" si="38"/>
        <v>0</v>
      </c>
      <c r="F1121" s="291" t="str">
        <v>Materials</v>
      </c>
      <c r="G1121" s="293">
        <f t="shared" si="39"/>
        <v>0</v>
      </c>
      <c r="H1121" s="291"/>
      <c r="J1121" s="36"/>
      <c r="X1121" s="291"/>
      <c r="Z1121" s="291" t="s">
        <v>1071</v>
      </c>
    </row>
    <row r="1122" spans="1:26">
      <c r="A1122" s="291" t="s">
        <v>915</v>
      </c>
      <c r="B1122" s="117" t="s">
        <v>58</v>
      </c>
      <c r="C1122" s="291" t="str">
        <v>Glenmark Pharmaceuticals Ltd</v>
      </c>
      <c r="D1122" s="309">
        <v>0.025</v>
      </c>
      <c r="E1122" s="293">
        <f t="shared" si="38"/>
        <v>0</v>
      </c>
      <c r="F1122" s="291" t="str">
        <v>Health Care</v>
      </c>
      <c r="G1122" s="293">
        <f t="shared" si="39"/>
        <v>0</v>
      </c>
      <c r="H1122" s="291"/>
      <c r="J1122" s="36"/>
      <c r="X1122" s="291"/>
      <c r="Z1122" s="291" t="s">
        <v>915</v>
      </c>
    </row>
    <row r="1123" spans="1:26">
      <c r="A1123" s="291" t="s">
        <v>1690</v>
      </c>
      <c r="B1123" s="117" t="s">
        <v>58</v>
      </c>
      <c r="C1123" s="291" t="str">
        <v>Indegene Ltd</v>
      </c>
      <c r="D1123" s="309">
        <v>0.024</v>
      </c>
      <c r="E1123" s="293">
        <f t="shared" si="38"/>
        <v>0</v>
      </c>
      <c r="F1123" s="291" t="str">
        <v>Health Care</v>
      </c>
      <c r="G1123" s="293">
        <f t="shared" si="39"/>
        <v>0</v>
      </c>
      <c r="H1123" s="291"/>
      <c r="J1123" s="36"/>
      <c r="X1123" s="291"/>
      <c r="Z1123" s="291" t="s">
        <v>1690</v>
      </c>
    </row>
    <row r="1124" spans="1:26">
      <c r="A1124" s="291" t="s">
        <v>975</v>
      </c>
      <c r="B1124" s="117" t="s">
        <v>58</v>
      </c>
      <c r="C1124" s="291" t="str">
        <v>Larsen &amp; Toubro Ltd</v>
      </c>
      <c r="D1124" s="309">
        <v>0.024</v>
      </c>
      <c r="E1124" s="293">
        <f t="shared" si="38"/>
        <v>0</v>
      </c>
      <c r="F1124" s="291" t="str">
        <v>Industrials</v>
      </c>
      <c r="G1124" s="293">
        <f t="shared" si="39"/>
        <v>0</v>
      </c>
      <c r="H1124" s="291"/>
      <c r="J1124" s="36"/>
      <c r="X1124" s="291"/>
      <c r="Z1124" s="291" t="s">
        <v>975</v>
      </c>
    </row>
    <row r="1125" spans="1:26">
      <c r="A1125" s="291" t="s">
        <v>1172</v>
      </c>
      <c r="B1125" s="117" t="s">
        <v>58</v>
      </c>
      <c r="C1125" s="291" t="str">
        <v>LIC Housing Finance Ltd</v>
      </c>
      <c r="D1125" s="309">
        <v>0.024</v>
      </c>
      <c r="E1125" s="293">
        <f t="shared" si="38"/>
        <v>0</v>
      </c>
      <c r="F1125" s="291" t="str">
        <v>Financials</v>
      </c>
      <c r="G1125" s="293">
        <f t="shared" si="39"/>
        <v>0</v>
      </c>
      <c r="H1125" s="291"/>
      <c r="J1125" s="36"/>
      <c r="X1125" s="291"/>
      <c r="Z1125" s="291" t="s">
        <v>1172</v>
      </c>
    </row>
    <row r="1126" spans="1:26">
      <c r="A1126" s="291" t="s">
        <v>1665</v>
      </c>
      <c r="B1126" s="117" t="s">
        <v>58</v>
      </c>
      <c r="C1126" s="291" t="str">
        <v>IDFC First Bank Ltd</v>
      </c>
      <c r="D1126" s="309">
        <v>0.022</v>
      </c>
      <c r="E1126" s="293">
        <f t="shared" si="38"/>
        <v>0</v>
      </c>
      <c r="F1126" s="291" t="str">
        <v>Financials</v>
      </c>
      <c r="G1126" s="293">
        <f t="shared" si="39"/>
        <v>0</v>
      </c>
      <c r="H1126" s="291"/>
      <c r="J1126" s="36"/>
      <c r="X1126" s="291"/>
      <c r="Z1126" s="291" t="s">
        <v>1665</v>
      </c>
    </row>
    <row r="1127" spans="1:26">
      <c r="A1127" s="291" t="s">
        <v>1112</v>
      </c>
      <c r="B1127" s="117" t="s">
        <v>58</v>
      </c>
      <c r="C1127" s="291" t="str">
        <v>Divi's Laboratories Ltd</v>
      </c>
      <c r="D1127" s="309">
        <v>0.021</v>
      </c>
      <c r="E1127" s="293">
        <f t="shared" si="38"/>
        <v>0</v>
      </c>
      <c r="F1127" s="291" t="str">
        <v>Health Care</v>
      </c>
      <c r="G1127" s="293">
        <f t="shared" si="39"/>
        <v>0</v>
      </c>
      <c r="H1127" s="291"/>
      <c r="J1127" s="36"/>
      <c r="X1127" s="291"/>
      <c r="Z1127" s="291" t="s">
        <v>1112</v>
      </c>
    </row>
    <row r="1128" spans="1:26">
      <c r="A1128" s="291" t="s">
        <v>1595</v>
      </c>
      <c r="B1128" s="117" t="s">
        <v>58</v>
      </c>
      <c r="C1128" s="291" t="str">
        <v>Camlin Fine Sciences Ltd</v>
      </c>
      <c r="D1128" s="309">
        <v>0.021</v>
      </c>
      <c r="E1128" s="293">
        <f t="shared" si="38"/>
        <v>0</v>
      </c>
      <c r="F1128" s="291" t="str">
        <v>Materials</v>
      </c>
      <c r="G1128" s="293">
        <f t="shared" si="39"/>
        <v>0</v>
      </c>
      <c r="H1128" s="291"/>
      <c r="J1128" s="36"/>
      <c r="X1128" s="291"/>
      <c r="Z1128" s="291" t="s">
        <v>1595</v>
      </c>
    </row>
    <row r="1129" spans="1:26">
      <c r="A1129" s="291" t="s">
        <v>1323</v>
      </c>
      <c r="B1129" s="117" t="s">
        <v>58</v>
      </c>
      <c r="C1129" s="291" t="str">
        <v>PVR Inox Ltd</v>
      </c>
      <c r="D1129" s="309">
        <v>0.02</v>
      </c>
      <c r="E1129" s="293">
        <f t="shared" si="38"/>
        <v>0</v>
      </c>
      <c r="F1129" s="291" t="str">
        <v>Communication Services</v>
      </c>
      <c r="G1129" s="293">
        <f t="shared" si="39"/>
        <v>0</v>
      </c>
      <c r="H1129" s="291"/>
      <c r="J1129" s="36"/>
      <c r="X1129" s="291"/>
      <c r="Z1129" s="291" t="s">
        <v>1323</v>
      </c>
    </row>
    <row r="1130" spans="1:26">
      <c r="A1130" s="291" t="s">
        <v>1311</v>
      </c>
      <c r="B1130" s="117" t="s">
        <v>58</v>
      </c>
      <c r="C1130" s="291" t="str">
        <v>Shriram Finance Ltd</v>
      </c>
      <c r="D1130" s="309">
        <v>0.015</v>
      </c>
      <c r="E1130" s="293">
        <f t="shared" si="38"/>
        <v>0</v>
      </c>
      <c r="F1130" s="291" t="str">
        <v>Financials</v>
      </c>
      <c r="G1130" s="293">
        <f t="shared" si="39"/>
        <v>0</v>
      </c>
      <c r="H1130" s="291"/>
      <c r="J1130" s="36"/>
      <c r="X1130" s="291"/>
      <c r="Z1130" s="291" t="s">
        <v>1311</v>
      </c>
    </row>
    <row r="1131" spans="1:26">
      <c r="A1131" s="291" t="s">
        <v>1138</v>
      </c>
      <c r="B1131" s="117" t="s">
        <v>58</v>
      </c>
      <c r="C1131" s="291" t="str">
        <v>SBI Life Insurance Co Ltd</v>
      </c>
      <c r="D1131" s="309">
        <v>0.014</v>
      </c>
      <c r="E1131" s="293">
        <f t="shared" si="38"/>
        <v>0</v>
      </c>
      <c r="F1131" s="291" t="str">
        <v>Financials</v>
      </c>
      <c r="G1131" s="293">
        <f t="shared" si="39"/>
        <v>0</v>
      </c>
      <c r="H1131" s="291"/>
      <c r="J1131" s="36"/>
      <c r="X1131" s="291"/>
      <c r="Z1131" s="291" t="s">
        <v>1138</v>
      </c>
    </row>
    <row r="1132" spans="1:26">
      <c r="A1132" s="291" t="s">
        <v>1153</v>
      </c>
      <c r="B1132" s="117" t="s">
        <v>58</v>
      </c>
      <c r="C1132" s="291" t="str">
        <v>AWL Agri Business Ltd</v>
      </c>
      <c r="D1132" s="309">
        <v>0.014</v>
      </c>
      <c r="E1132" s="293">
        <f t="shared" si="38"/>
        <v>0</v>
      </c>
      <c r="F1132" s="291" t="str">
        <v>Consumer Staples</v>
      </c>
      <c r="G1132" s="293">
        <f t="shared" si="39"/>
        <v>0</v>
      </c>
      <c r="H1132" s="291"/>
      <c r="J1132" s="36"/>
      <c r="X1132" s="291"/>
      <c r="Z1132" s="291" t="s">
        <v>1153</v>
      </c>
    </row>
    <row r="1133" spans="1:26">
      <c r="A1133" s="291" t="s">
        <v>1715</v>
      </c>
      <c r="B1133" s="117" t="s">
        <v>58</v>
      </c>
      <c r="C1133" s="291" t="str">
        <v>Campus Activewear Ltd</v>
      </c>
      <c r="D1133" s="309">
        <v>0.012</v>
      </c>
      <c r="E1133" s="293">
        <f t="shared" si="38"/>
        <v>0</v>
      </c>
      <c r="F1133" s="291" t="str">
        <v>Consumer Discretionary</v>
      </c>
      <c r="G1133" s="293">
        <f t="shared" si="39"/>
        <v>0</v>
      </c>
      <c r="H1133" s="291"/>
      <c r="J1133" s="36"/>
      <c r="X1133" s="291"/>
      <c r="Z1133" s="291" t="s">
        <v>1715</v>
      </c>
    </row>
    <row r="1134" spans="1:26">
      <c r="A1134" s="291" t="s">
        <v>1717</v>
      </c>
      <c r="B1134" s="117" t="s">
        <v>58</v>
      </c>
      <c r="C1134" s="291" t="str">
        <v>Ramkrishna Forgings Ltd</v>
      </c>
      <c r="D1134" s="309">
        <v>0.011</v>
      </c>
      <c r="E1134" s="293">
        <f t="shared" si="38"/>
        <v>0</v>
      </c>
      <c r="F1134" s="291" t="str">
        <v>Materials</v>
      </c>
      <c r="G1134" s="293">
        <f t="shared" si="39"/>
        <v>0</v>
      </c>
      <c r="H1134" s="291"/>
      <c r="J1134" s="36"/>
      <c r="X1134" s="291"/>
      <c r="Z1134" s="291" t="s">
        <v>1717</v>
      </c>
    </row>
    <row r="1135" spans="1:26">
      <c r="A1135" s="291" t="s">
        <v>1719</v>
      </c>
      <c r="B1135" s="117" t="s">
        <v>58</v>
      </c>
      <c r="C1135" s="291" t="str">
        <v>Manappuram Finance Ltd</v>
      </c>
      <c r="D1135" s="309">
        <v>0.011</v>
      </c>
      <c r="E1135" s="293">
        <f t="shared" si="38"/>
        <v>0</v>
      </c>
      <c r="F1135" s="291" t="str">
        <v>Financials</v>
      </c>
      <c r="G1135" s="293">
        <f t="shared" si="39"/>
        <v>0</v>
      </c>
      <c r="H1135" s="291"/>
      <c r="J1135" s="36"/>
      <c r="X1135" s="291"/>
      <c r="Z1135" s="291" t="s">
        <v>1719</v>
      </c>
    </row>
    <row r="1136" spans="1:26">
      <c r="A1136" s="291" t="s">
        <v>1600</v>
      </c>
      <c r="B1136" s="117" t="s">
        <v>58</v>
      </c>
      <c r="C1136" s="291" t="str">
        <v>V2 Retail Ltd</v>
      </c>
      <c r="D1136" s="309">
        <v>0.011</v>
      </c>
      <c r="E1136" s="293">
        <f t="shared" si="38"/>
        <v>0</v>
      </c>
      <c r="F1136" s="291" t="str">
        <v>Consumer Discretionary</v>
      </c>
      <c r="G1136" s="293">
        <f t="shared" si="39"/>
        <v>0</v>
      </c>
      <c r="H1136" s="291"/>
      <c r="J1136" s="36"/>
      <c r="X1136" s="291"/>
      <c r="Z1136" s="291" t="s">
        <v>1600</v>
      </c>
    </row>
    <row r="1137" spans="1:26">
      <c r="A1137" s="291" t="s">
        <v>958</v>
      </c>
      <c r="B1137" s="117" t="s">
        <v>58</v>
      </c>
      <c r="C1137" s="291" t="str">
        <v>InterGlobe Aviation Ltd</v>
      </c>
      <c r="D1137" s="309">
        <v>0.01</v>
      </c>
      <c r="E1137" s="293">
        <f t="shared" si="38"/>
        <v>0</v>
      </c>
      <c r="F1137" s="291" t="str">
        <v>Industrials</v>
      </c>
      <c r="G1137" s="293">
        <f t="shared" si="39"/>
        <v>0</v>
      </c>
      <c r="H1137" s="291"/>
      <c r="J1137" s="36"/>
      <c r="X1137" s="291"/>
      <c r="Z1137" s="291" t="s">
        <v>958</v>
      </c>
    </row>
    <row r="1138" spans="1:26">
      <c r="A1138" s="291" t="s">
        <v>1721</v>
      </c>
      <c r="B1138" s="117" t="s">
        <v>58</v>
      </c>
      <c r="C1138" s="291" t="str">
        <v>Deepak Fertilisers &amp; Petrochem</v>
      </c>
      <c r="D1138" s="309">
        <v>0.01</v>
      </c>
      <c r="E1138" s="293">
        <f t="shared" si="38"/>
        <v>0</v>
      </c>
      <c r="F1138" s="291" t="str">
        <v>Materials</v>
      </c>
      <c r="G1138" s="293">
        <f t="shared" si="39"/>
        <v>0</v>
      </c>
      <c r="H1138" s="291"/>
      <c r="J1138" s="36"/>
      <c r="X1138" s="291"/>
      <c r="Z1138" s="291" t="s">
        <v>1721</v>
      </c>
    </row>
    <row r="1139" spans="1:26">
      <c r="A1139" s="291" t="s">
        <v>1044</v>
      </c>
      <c r="B1139" s="117" t="s">
        <v>58</v>
      </c>
      <c r="C1139" s="291" t="str">
        <v>Sun Pharmaceutical Industries</v>
      </c>
      <c r="D1139" s="309">
        <v>0.009</v>
      </c>
      <c r="E1139" s="293">
        <f t="shared" si="38"/>
        <v>0</v>
      </c>
      <c r="F1139" s="291" t="str">
        <v>Health Care</v>
      </c>
      <c r="G1139" s="293">
        <f t="shared" si="39"/>
        <v>0</v>
      </c>
      <c r="H1139" s="291"/>
      <c r="J1139" s="36"/>
      <c r="X1139" s="291"/>
      <c r="Z1139" s="291" t="s">
        <v>1044</v>
      </c>
    </row>
    <row r="1140" spans="1:26">
      <c r="A1140" s="291" t="s">
        <v>1625</v>
      </c>
      <c r="B1140" s="117" t="s">
        <v>58</v>
      </c>
      <c r="C1140" s="291" t="str">
        <v>Sequent Scientific Ltd</v>
      </c>
      <c r="D1140" s="309">
        <v>0.009</v>
      </c>
      <c r="E1140" s="293">
        <f t="shared" si="38"/>
        <v>0</v>
      </c>
      <c r="F1140" s="291" t="str">
        <v>Health Care</v>
      </c>
      <c r="G1140" s="293">
        <f t="shared" si="39"/>
        <v>0</v>
      </c>
      <c r="H1140" s="291"/>
      <c r="J1140" s="36"/>
      <c r="X1140" s="291"/>
      <c r="Z1140" s="291" t="s">
        <v>1625</v>
      </c>
    </row>
    <row r="1141" spans="1:26">
      <c r="A1141" s="291" t="s">
        <v>1723</v>
      </c>
      <c r="B1141" s="117" t="s">
        <v>58</v>
      </c>
      <c r="C1141" s="291" t="str">
        <v>Chambal Fertilisers and Chemic</v>
      </c>
      <c r="D1141" s="309">
        <v>0.008</v>
      </c>
      <c r="E1141" s="293">
        <f t="shared" si="38"/>
        <v>0</v>
      </c>
      <c r="F1141" s="291" t="str">
        <v>Materials</v>
      </c>
      <c r="G1141" s="293">
        <f t="shared" si="39"/>
        <v>0</v>
      </c>
      <c r="H1141" s="291"/>
      <c r="J1141" s="36"/>
      <c r="X1141" s="291"/>
      <c r="Z1141" s="291" t="s">
        <v>1723</v>
      </c>
    </row>
    <row r="1142" spans="1:26">
      <c r="A1142" s="291" t="s">
        <v>1725</v>
      </c>
      <c r="B1142" s="117" t="s">
        <v>58</v>
      </c>
      <c r="C1142" s="291" t="str">
        <v>Smartworks Coworking Spaces Lt</v>
      </c>
      <c r="D1142" s="309">
        <v>0.007</v>
      </c>
      <c r="E1142" s="293">
        <f t="shared" si="38"/>
        <v>0</v>
      </c>
      <c r="F1142" s="291" t="str">
        <v>Real Estate</v>
      </c>
      <c r="G1142" s="293">
        <f t="shared" si="39"/>
        <v>0</v>
      </c>
      <c r="H1142" s="291"/>
      <c r="J1142" s="36"/>
      <c r="X1142" s="291"/>
      <c r="Z1142" s="291" t="s">
        <v>1725</v>
      </c>
    </row>
    <row r="1143" spans="1:26">
      <c r="A1143" s="291" t="s">
        <v>1727</v>
      </c>
      <c r="B1143" s="117" t="s">
        <v>58</v>
      </c>
      <c r="C1143" s="291" t="str">
        <v>Sai Silks Kalamandir Ltd</v>
      </c>
      <c r="D1143" s="309">
        <v>0.005</v>
      </c>
      <c r="E1143" s="293">
        <f t="shared" si="38"/>
        <v>0</v>
      </c>
      <c r="F1143" s="291" t="str">
        <v>Consumer Discretionary</v>
      </c>
      <c r="G1143" s="293">
        <f t="shared" si="39"/>
        <v>0</v>
      </c>
      <c r="H1143" s="291"/>
      <c r="J1143" s="36"/>
      <c r="X1143" s="291"/>
      <c r="Z1143" s="291" t="s">
        <v>1727</v>
      </c>
    </row>
    <row r="1144" ht="14.4" spans="1:26">
      <c r="A1144" s="310" t="s">
        <v>1034</v>
      </c>
      <c r="B1144" s="135" t="s">
        <v>60</v>
      </c>
      <c r="C1144" s="291" t="str">
        <v>Reliance Industries Ltd</v>
      </c>
      <c r="D1144" s="309">
        <v>0.087</v>
      </c>
      <c r="E1144" s="293">
        <f t="shared" si="38"/>
        <v>0</v>
      </c>
      <c r="F1144" s="291" t="str">
        <v>Energy</v>
      </c>
      <c r="G1144" s="293">
        <f t="shared" si="39"/>
        <v>0</v>
      </c>
      <c r="H1144" s="291"/>
      <c r="J1144" s="36"/>
      <c r="X1144" s="291"/>
      <c r="Z1144" s="310" t="s">
        <v>1034</v>
      </c>
    </row>
    <row r="1145" ht="14.4" spans="1:26">
      <c r="A1145" s="310" t="s">
        <v>972</v>
      </c>
      <c r="B1145" s="135" t="s">
        <v>60</v>
      </c>
      <c r="C1145" s="291" t="str">
        <v>Kotak Mahindra Bank Ltd</v>
      </c>
      <c r="D1145" s="309">
        <v>0.082</v>
      </c>
      <c r="E1145" s="293">
        <f t="shared" si="38"/>
        <v>0</v>
      </c>
      <c r="F1145" s="291" t="str">
        <v>Financials</v>
      </c>
      <c r="G1145" s="293">
        <f t="shared" si="39"/>
        <v>0</v>
      </c>
      <c r="H1145" s="291"/>
      <c r="J1145" s="36"/>
      <c r="X1145" s="291"/>
      <c r="Z1145" s="310" t="s">
        <v>972</v>
      </c>
    </row>
    <row r="1146" ht="14.4" spans="1:26">
      <c r="A1146" s="310" t="s">
        <v>1071</v>
      </c>
      <c r="B1146" s="135" t="s">
        <v>60</v>
      </c>
      <c r="C1146" s="291" t="str">
        <v>UltraTech Cement Ltd</v>
      </c>
      <c r="D1146" s="309">
        <v>0.075</v>
      </c>
      <c r="E1146" s="293">
        <f t="shared" si="38"/>
        <v>0</v>
      </c>
      <c r="F1146" s="291" t="str">
        <v>Materials</v>
      </c>
      <c r="G1146" s="293">
        <f t="shared" si="39"/>
        <v>0</v>
      </c>
      <c r="H1146" s="291"/>
      <c r="J1146" s="36"/>
      <c r="X1146" s="291"/>
      <c r="Z1146" s="310" t="s">
        <v>1071</v>
      </c>
    </row>
    <row r="1147" ht="14.4" spans="1:26">
      <c r="A1147" s="310" t="s">
        <v>958</v>
      </c>
      <c r="B1147" s="135" t="s">
        <v>60</v>
      </c>
      <c r="C1147" s="291" t="str">
        <v>InterGlobe Aviation Ltd</v>
      </c>
      <c r="D1147" s="309">
        <v>0.06</v>
      </c>
      <c r="E1147" s="293">
        <f t="shared" si="38"/>
        <v>0</v>
      </c>
      <c r="F1147" s="291" t="str">
        <v>Industrials</v>
      </c>
      <c r="G1147" s="293">
        <f t="shared" si="39"/>
        <v>0</v>
      </c>
      <c r="H1147" s="291"/>
      <c r="J1147" s="36"/>
      <c r="X1147" s="291"/>
      <c r="Z1147" s="310" t="s">
        <v>958</v>
      </c>
    </row>
    <row r="1148" ht="14.4" spans="1:26">
      <c r="A1148" s="310" t="s">
        <v>848</v>
      </c>
      <c r="B1148" s="135" t="s">
        <v>60</v>
      </c>
      <c r="C1148" s="291" t="str">
        <v>Bajaj Finserv Ltd</v>
      </c>
      <c r="D1148" s="309">
        <v>0.05</v>
      </c>
      <c r="E1148" s="293">
        <f t="shared" si="38"/>
        <v>0</v>
      </c>
      <c r="F1148" s="291" t="str">
        <v>Financials</v>
      </c>
      <c r="G1148" s="293">
        <f t="shared" si="39"/>
        <v>0</v>
      </c>
      <c r="H1148" s="291"/>
      <c r="J1148" s="36"/>
      <c r="X1148" s="291"/>
      <c r="Z1148" s="310" t="s">
        <v>848</v>
      </c>
    </row>
    <row r="1149" ht="14.4" spans="1:26">
      <c r="A1149" s="310" t="s">
        <v>876</v>
      </c>
      <c r="B1149" s="135" t="s">
        <v>60</v>
      </c>
      <c r="C1149" s="291" t="str">
        <v>Cholamandalam Investment and F</v>
      </c>
      <c r="D1149" s="309">
        <v>0.047</v>
      </c>
      <c r="E1149" s="293">
        <f t="shared" si="38"/>
        <v>0</v>
      </c>
      <c r="F1149" s="291" t="str">
        <v>Financials</v>
      </c>
      <c r="G1149" s="293">
        <f t="shared" si="39"/>
        <v>0</v>
      </c>
      <c r="H1149" s="291"/>
      <c r="J1149" s="36"/>
      <c r="X1149" s="291"/>
      <c r="Z1149" s="310" t="s">
        <v>876</v>
      </c>
    </row>
    <row r="1150" ht="14.4" spans="1:26">
      <c r="A1150" s="310" t="s">
        <v>1069</v>
      </c>
      <c r="B1150" s="135" t="s">
        <v>60</v>
      </c>
      <c r="C1150" s="291" t="str">
        <v>TVS Motor Co Ltd</v>
      </c>
      <c r="D1150" s="309">
        <v>0.04</v>
      </c>
      <c r="E1150" s="293">
        <f t="shared" si="38"/>
        <v>0</v>
      </c>
      <c r="F1150" s="291" t="str">
        <v>Consumer Discretionary</v>
      </c>
      <c r="G1150" s="293">
        <f t="shared" si="39"/>
        <v>0</v>
      </c>
      <c r="H1150" s="291"/>
      <c r="J1150" s="36"/>
      <c r="X1150" s="291"/>
      <c r="Z1150" s="310" t="s">
        <v>1069</v>
      </c>
    </row>
    <row r="1151" ht="14.4" spans="1:26">
      <c r="A1151" s="310" t="s">
        <v>839</v>
      </c>
      <c r="B1151" s="135" t="s">
        <v>60</v>
      </c>
      <c r="C1151" s="291" t="str">
        <v>Bajaj Auto Ltd</v>
      </c>
      <c r="D1151" s="309">
        <v>0.039</v>
      </c>
      <c r="E1151" s="293">
        <f t="shared" si="38"/>
        <v>0</v>
      </c>
      <c r="F1151" s="291" t="str">
        <v>Consumer Discretionary</v>
      </c>
      <c r="G1151" s="293">
        <f t="shared" si="39"/>
        <v>0</v>
      </c>
      <c r="H1151" s="291"/>
      <c r="J1151" s="36"/>
      <c r="X1151" s="291"/>
      <c r="Z1151" s="310" t="s">
        <v>839</v>
      </c>
    </row>
    <row r="1152" ht="14.4" spans="1:26">
      <c r="A1152" s="310" t="s">
        <v>832</v>
      </c>
      <c r="B1152" s="135" t="s">
        <v>60</v>
      </c>
      <c r="C1152" s="291" t="str">
        <v>APL Apollo Tubes Ltd</v>
      </c>
      <c r="D1152" s="309">
        <v>0.037</v>
      </c>
      <c r="E1152" s="293">
        <f t="shared" si="38"/>
        <v>0</v>
      </c>
      <c r="F1152" s="291" t="str">
        <v>Materials</v>
      </c>
      <c r="G1152" s="293">
        <f t="shared" si="39"/>
        <v>0</v>
      </c>
      <c r="H1152" s="291"/>
      <c r="J1152" s="36"/>
      <c r="X1152" s="291"/>
      <c r="Z1152" s="310" t="s">
        <v>832</v>
      </c>
    </row>
    <row r="1153" ht="14.4" spans="1:26">
      <c r="A1153" s="310" t="s">
        <v>855</v>
      </c>
      <c r="B1153" s="135" t="s">
        <v>60</v>
      </c>
      <c r="C1153" s="291" t="str">
        <v>Bharti Airtel Ltd</v>
      </c>
      <c r="D1153" s="309">
        <v>0.037</v>
      </c>
      <c r="E1153" s="293">
        <f t="shared" si="38"/>
        <v>0</v>
      </c>
      <c r="F1153" s="291" t="str">
        <v>Communication Services</v>
      </c>
      <c r="G1153" s="293">
        <f t="shared" si="39"/>
        <v>0</v>
      </c>
      <c r="H1153" s="291"/>
      <c r="J1153" s="36"/>
      <c r="X1153" s="291"/>
      <c r="Z1153" s="310" t="s">
        <v>855</v>
      </c>
    </row>
    <row r="1154" ht="14.4" spans="1:26">
      <c r="A1154" s="310" t="s">
        <v>1112</v>
      </c>
      <c r="B1154" s="135" t="s">
        <v>60</v>
      </c>
      <c r="C1154" s="291" t="str">
        <v>Divi's Laboratories Ltd</v>
      </c>
      <c r="D1154" s="309">
        <v>0.036</v>
      </c>
      <c r="E1154" s="293">
        <f t="shared" si="38"/>
        <v>0</v>
      </c>
      <c r="F1154" s="291" t="str">
        <v>Health Care</v>
      </c>
      <c r="G1154" s="293">
        <f t="shared" si="39"/>
        <v>0</v>
      </c>
      <c r="H1154" s="291"/>
      <c r="J1154" s="36"/>
      <c r="X1154" s="291"/>
      <c r="Z1154" s="310" t="s">
        <v>1112</v>
      </c>
    </row>
    <row r="1155" ht="14.4" spans="1:26">
      <c r="A1155" s="310" t="s">
        <v>836</v>
      </c>
      <c r="B1155" s="135" t="s">
        <v>60</v>
      </c>
      <c r="C1155" s="291" t="str">
        <v>AU Small Finance Bank Ltd</v>
      </c>
      <c r="D1155" s="309">
        <v>0.034</v>
      </c>
      <c r="E1155" s="293">
        <f t="shared" si="38"/>
        <v>0</v>
      </c>
      <c r="F1155" s="291" t="str">
        <v>Financials</v>
      </c>
      <c r="G1155" s="293">
        <f t="shared" si="39"/>
        <v>0</v>
      </c>
      <c r="H1155" s="291"/>
      <c r="J1155" s="36"/>
      <c r="X1155" s="291"/>
      <c r="Z1155" s="310" t="s">
        <v>836</v>
      </c>
    </row>
    <row r="1156" ht="14.4" spans="1:26">
      <c r="A1156" s="310" t="s">
        <v>1654</v>
      </c>
      <c r="B1156" s="135" t="s">
        <v>60</v>
      </c>
      <c r="C1156" s="291" t="str">
        <v>Bharti Airtel Ltd</v>
      </c>
      <c r="D1156" s="309">
        <v>0.031</v>
      </c>
      <c r="E1156" s="293">
        <f t="shared" si="38"/>
        <v>0</v>
      </c>
      <c r="F1156" s="291" t="str">
        <v>Communication Services</v>
      </c>
      <c r="G1156" s="293">
        <f t="shared" si="39"/>
        <v>0</v>
      </c>
      <c r="H1156" s="291"/>
      <c r="J1156" s="36"/>
      <c r="X1156" s="291"/>
      <c r="Z1156" s="310" t="s">
        <v>1654</v>
      </c>
    </row>
    <row r="1157" ht="14.4" spans="1:26">
      <c r="A1157" s="310" t="s">
        <v>1555</v>
      </c>
      <c r="B1157" s="135" t="s">
        <v>60</v>
      </c>
      <c r="C1157" s="291" t="str">
        <v>Affle 3i Ltd</v>
      </c>
      <c r="D1157" s="309">
        <v>0.031</v>
      </c>
      <c r="E1157" s="293">
        <f t="shared" si="38"/>
        <v>0</v>
      </c>
      <c r="F1157" s="291" t="str">
        <v>Communication Services</v>
      </c>
      <c r="G1157" s="293">
        <f t="shared" si="39"/>
        <v>0</v>
      </c>
      <c r="H1157" s="291"/>
      <c r="J1157" s="36"/>
      <c r="X1157" s="291"/>
      <c r="Z1157" s="310" t="s">
        <v>1555</v>
      </c>
    </row>
    <row r="1158" ht="14.4" spans="1:26">
      <c r="A1158" s="310" t="s">
        <v>1155</v>
      </c>
      <c r="B1158" s="135" t="s">
        <v>60</v>
      </c>
      <c r="C1158" s="291" t="str">
        <v>IndusInd Bank Ltd</v>
      </c>
      <c r="D1158" s="309">
        <v>0.029</v>
      </c>
      <c r="E1158" s="293">
        <f t="shared" si="38"/>
        <v>0</v>
      </c>
      <c r="F1158" s="291" t="str">
        <v>Financials</v>
      </c>
      <c r="G1158" s="293">
        <f t="shared" si="39"/>
        <v>0</v>
      </c>
      <c r="H1158" s="291"/>
      <c r="J1158" s="36"/>
      <c r="X1158" s="291"/>
      <c r="Z1158" s="310" t="s">
        <v>1155</v>
      </c>
    </row>
    <row r="1159" ht="14.4" spans="1:26">
      <c r="A1159" s="310" t="s">
        <v>1007</v>
      </c>
      <c r="B1159" s="135" t="s">
        <v>60</v>
      </c>
      <c r="C1159" s="291" t="str">
        <v>PI Industries Ltd</v>
      </c>
      <c r="D1159" s="309">
        <v>0.027</v>
      </c>
      <c r="E1159" s="293">
        <f t="shared" si="38"/>
        <v>0</v>
      </c>
      <c r="F1159" s="291" t="str">
        <v>Materials</v>
      </c>
      <c r="G1159" s="293">
        <f t="shared" si="39"/>
        <v>0</v>
      </c>
      <c r="H1159" s="291"/>
      <c r="J1159" s="36"/>
      <c r="X1159" s="291"/>
      <c r="Z1159" s="310" t="s">
        <v>1007</v>
      </c>
    </row>
    <row r="1160" ht="14.4" spans="1:26">
      <c r="A1160" s="310" t="s">
        <v>842</v>
      </c>
      <c r="B1160" s="135" t="s">
        <v>60</v>
      </c>
      <c r="C1160" s="291" t="str">
        <v>Bajaj Finance Ltd</v>
      </c>
      <c r="D1160" s="309">
        <v>0.025</v>
      </c>
      <c r="E1160" s="293">
        <f t="shared" si="38"/>
        <v>0</v>
      </c>
      <c r="F1160" s="291" t="str">
        <v>Financials</v>
      </c>
      <c r="G1160" s="293">
        <f t="shared" si="39"/>
        <v>0</v>
      </c>
      <c r="H1160" s="291"/>
      <c r="J1160" s="36"/>
      <c r="X1160" s="291"/>
      <c r="Z1160" s="310" t="s">
        <v>842</v>
      </c>
    </row>
    <row r="1161" ht="14.4" spans="1:26">
      <c r="A1161" s="310" t="s">
        <v>1119</v>
      </c>
      <c r="B1161" s="135" t="s">
        <v>60</v>
      </c>
      <c r="C1161" s="291" t="str">
        <v>Info Edge India Ltd</v>
      </c>
      <c r="D1161" s="309">
        <v>0.023</v>
      </c>
      <c r="E1161" s="293">
        <f t="shared" si="38"/>
        <v>0</v>
      </c>
      <c r="F1161" s="291" t="str">
        <v>Communication Services</v>
      </c>
      <c r="G1161" s="293">
        <f t="shared" si="39"/>
        <v>0</v>
      </c>
      <c r="H1161" s="291"/>
      <c r="J1161" s="36"/>
      <c r="X1161" s="291"/>
      <c r="Z1161" s="310" t="s">
        <v>1119</v>
      </c>
    </row>
    <row r="1162" ht="14.4" spans="1:26">
      <c r="A1162" s="310" t="s">
        <v>1729</v>
      </c>
      <c r="B1162" s="135" t="s">
        <v>60</v>
      </c>
      <c r="C1162" s="291" t="str">
        <v>Amber Enterprises India Ltd</v>
      </c>
      <c r="D1162" s="309">
        <v>0.023</v>
      </c>
      <c r="E1162" s="293">
        <f t="shared" si="38"/>
        <v>0</v>
      </c>
      <c r="F1162" s="291" t="str">
        <v>Consumer Discretionary</v>
      </c>
      <c r="G1162" s="293">
        <f t="shared" si="39"/>
        <v>0</v>
      </c>
      <c r="H1162" s="291"/>
      <c r="J1162" s="36"/>
      <c r="X1162" s="291"/>
      <c r="Z1162" s="310" t="s">
        <v>1729</v>
      </c>
    </row>
    <row r="1163" ht="14.4" spans="1:26">
      <c r="A1163" s="310" t="s">
        <v>829</v>
      </c>
      <c r="B1163" s="135" t="s">
        <v>60</v>
      </c>
      <c r="C1163" s="291" t="str">
        <v>Apollo Hospitals Enterprise Lt</v>
      </c>
      <c r="D1163" s="309">
        <v>0.021</v>
      </c>
      <c r="E1163" s="293">
        <f t="shared" si="38"/>
        <v>0</v>
      </c>
      <c r="F1163" s="291" t="str">
        <v>Health Care</v>
      </c>
      <c r="G1163" s="293">
        <f t="shared" si="39"/>
        <v>0</v>
      </c>
      <c r="H1163" s="291"/>
      <c r="J1163" s="36"/>
      <c r="X1163" s="291"/>
      <c r="Z1163" s="310" t="s">
        <v>829</v>
      </c>
    </row>
    <row r="1164" ht="14.4" spans="1:26">
      <c r="A1164" s="310" t="s">
        <v>1141</v>
      </c>
      <c r="B1164" s="135" t="s">
        <v>60</v>
      </c>
      <c r="C1164" s="291" t="str">
        <v>Torrent Pharmaceuticals Ltd</v>
      </c>
      <c r="D1164" s="309">
        <v>0.02</v>
      </c>
      <c r="E1164" s="293">
        <f t="shared" ref="E1164:E1175" si="40">_xlfn.IFNA(D1164*VLOOKUP($B1164,$AK$1:$AM$34,3,FALSE),0)</f>
        <v>0</v>
      </c>
      <c r="F1164" s="291" t="str">
        <v>Health Care</v>
      </c>
      <c r="G1164" s="293">
        <f t="shared" ref="G1164:G1175" si="41">_xlfn.IFNA(D1164*VLOOKUP($B1164,$AK$1:$AM$34,3,FALSE),0)</f>
        <v>0</v>
      </c>
      <c r="H1164" s="291"/>
      <c r="J1164" s="36"/>
      <c r="X1164" s="291"/>
      <c r="Z1164" s="310" t="s">
        <v>1141</v>
      </c>
    </row>
    <row r="1165" ht="14.4" spans="1:26">
      <c r="A1165" s="310" t="s">
        <v>1731</v>
      </c>
      <c r="B1165" s="135" t="s">
        <v>60</v>
      </c>
      <c r="C1165" s="291" t="str">
        <v>Gravita India Ltd</v>
      </c>
      <c r="D1165" s="309">
        <v>0.019</v>
      </c>
      <c r="E1165" s="293">
        <f t="shared" si="40"/>
        <v>0</v>
      </c>
      <c r="F1165" s="291" t="str">
        <v>Materials</v>
      </c>
      <c r="G1165" s="293">
        <f t="shared" si="41"/>
        <v>0</v>
      </c>
      <c r="H1165" s="291"/>
      <c r="J1165" s="36"/>
      <c r="X1165" s="291"/>
      <c r="Z1165" s="310" t="s">
        <v>1731</v>
      </c>
    </row>
    <row r="1166" ht="14.4" spans="1:26">
      <c r="A1166" s="310" t="s">
        <v>1220</v>
      </c>
      <c r="B1166" s="135" t="s">
        <v>60</v>
      </c>
      <c r="C1166" s="291" t="str">
        <v>Ratnamani Metals &amp; Tubes Ltd</v>
      </c>
      <c r="D1166" s="309">
        <v>0.019</v>
      </c>
      <c r="E1166" s="293">
        <f t="shared" si="40"/>
        <v>0</v>
      </c>
      <c r="F1166" s="291" t="str">
        <v>Materials</v>
      </c>
      <c r="G1166" s="293">
        <f t="shared" si="41"/>
        <v>0</v>
      </c>
      <c r="H1166" s="291"/>
      <c r="J1166" s="36"/>
      <c r="X1166" s="291"/>
      <c r="Z1166" s="310" t="s">
        <v>1220</v>
      </c>
    </row>
    <row r="1167" ht="14.4" spans="1:26">
      <c r="A1167" s="310" t="s">
        <v>1733</v>
      </c>
      <c r="B1167" s="135" t="s">
        <v>60</v>
      </c>
      <c r="C1167" s="291" t="str">
        <v>Apar Industries Ltd</v>
      </c>
      <c r="D1167" s="309">
        <v>0.018</v>
      </c>
      <c r="E1167" s="293">
        <f t="shared" si="40"/>
        <v>0</v>
      </c>
      <c r="F1167" s="291" t="str">
        <v>Industrials</v>
      </c>
      <c r="G1167" s="293">
        <f t="shared" si="41"/>
        <v>0</v>
      </c>
      <c r="H1167" s="291"/>
      <c r="J1167" s="36"/>
      <c r="X1167" s="291"/>
      <c r="Z1167" s="310" t="s">
        <v>1733</v>
      </c>
    </row>
    <row r="1168" ht="14.4" spans="1:26">
      <c r="A1168" s="310" t="s">
        <v>1196</v>
      </c>
      <c r="B1168" s="135" t="s">
        <v>60</v>
      </c>
      <c r="C1168" s="291" t="str">
        <v>Polycab India Ltd</v>
      </c>
      <c r="D1168" s="309">
        <v>0.017</v>
      </c>
      <c r="E1168" s="293">
        <f t="shared" si="40"/>
        <v>0</v>
      </c>
      <c r="F1168" s="291" t="str">
        <v>Industrials</v>
      </c>
      <c r="G1168" s="293">
        <f t="shared" si="41"/>
        <v>0</v>
      </c>
      <c r="H1168" s="291"/>
      <c r="J1168" s="36"/>
      <c r="X1168" s="291"/>
      <c r="Z1168" s="310" t="s">
        <v>1196</v>
      </c>
    </row>
    <row r="1169" ht="14.4" spans="1:26">
      <c r="A1169" s="310" t="s">
        <v>1082</v>
      </c>
      <c r="B1169" s="135" t="s">
        <v>60</v>
      </c>
      <c r="C1169" s="291" t="str">
        <v>Varun Beverages Ltd</v>
      </c>
      <c r="D1169" s="309">
        <v>0.017</v>
      </c>
      <c r="E1169" s="293">
        <f t="shared" si="40"/>
        <v>0</v>
      </c>
      <c r="F1169" s="291" t="str">
        <v>Consumer Staples</v>
      </c>
      <c r="G1169" s="293">
        <f t="shared" si="41"/>
        <v>0</v>
      </c>
      <c r="H1169" s="291"/>
      <c r="J1169" s="36"/>
      <c r="X1169" s="291"/>
      <c r="Z1169" s="310" t="s">
        <v>1082</v>
      </c>
    </row>
    <row r="1170" ht="14.4" spans="1:26">
      <c r="A1170" s="310" t="s">
        <v>869</v>
      </c>
      <c r="B1170" s="135" t="s">
        <v>60</v>
      </c>
      <c r="C1170" s="291" t="str">
        <v>Carborundum Universal Ltd</v>
      </c>
      <c r="D1170" s="309">
        <v>0.01</v>
      </c>
      <c r="E1170" s="293">
        <f t="shared" si="40"/>
        <v>0</v>
      </c>
      <c r="F1170" s="291" t="str">
        <v>Materials</v>
      </c>
      <c r="G1170" s="293">
        <f t="shared" si="41"/>
        <v>0</v>
      </c>
      <c r="H1170" s="291"/>
      <c r="J1170" s="36"/>
      <c r="X1170" s="291"/>
      <c r="Z1170" s="310" t="s">
        <v>869</v>
      </c>
    </row>
    <row r="1171" ht="14.4" spans="1:26">
      <c r="A1171" s="310" t="s">
        <v>1136</v>
      </c>
      <c r="B1171" s="135" t="s">
        <v>60</v>
      </c>
      <c r="C1171" s="291" t="str">
        <v>Havells India Ltd</v>
      </c>
      <c r="D1171" s="309">
        <v>0.01</v>
      </c>
      <c r="E1171" s="293">
        <f t="shared" si="40"/>
        <v>0</v>
      </c>
      <c r="F1171" s="291" t="str">
        <v>Industrials</v>
      </c>
      <c r="G1171" s="293">
        <f t="shared" si="41"/>
        <v>0</v>
      </c>
      <c r="H1171" s="291"/>
      <c r="J1171" s="36"/>
      <c r="X1171" s="291"/>
      <c r="Z1171" s="310" t="s">
        <v>1136</v>
      </c>
    </row>
    <row r="1172" ht="14.4" spans="1:26">
      <c r="A1172" s="310" t="s">
        <v>1735</v>
      </c>
      <c r="B1172" s="135" t="s">
        <v>60</v>
      </c>
      <c r="C1172" s="291" t="str">
        <v>Sundaram Finance Ltd</v>
      </c>
      <c r="D1172" s="309">
        <v>0.01</v>
      </c>
      <c r="E1172" s="293">
        <f t="shared" si="40"/>
        <v>0</v>
      </c>
      <c r="F1172" s="291" t="str">
        <v>Financials</v>
      </c>
      <c r="G1172" s="293">
        <f t="shared" si="41"/>
        <v>0</v>
      </c>
      <c r="H1172" s="291"/>
      <c r="J1172" s="36"/>
      <c r="X1172" s="291"/>
      <c r="Z1172" s="310" t="s">
        <v>1735</v>
      </c>
    </row>
    <row r="1173" ht="14.4" spans="1:26">
      <c r="A1173" s="310" t="s">
        <v>1573</v>
      </c>
      <c r="B1173" s="135" t="s">
        <v>60</v>
      </c>
      <c r="C1173" s="291" t="str">
        <v>Poly Medicure Ltd</v>
      </c>
      <c r="D1173" s="309">
        <v>0.009</v>
      </c>
      <c r="E1173" s="293">
        <f t="shared" si="40"/>
        <v>0</v>
      </c>
      <c r="F1173" s="291" t="str">
        <v>Health Care</v>
      </c>
      <c r="G1173" s="293">
        <f t="shared" si="41"/>
        <v>0</v>
      </c>
      <c r="H1173" s="291"/>
      <c r="J1173" s="36"/>
      <c r="X1173" s="291"/>
      <c r="Z1173" s="310" t="s">
        <v>1573</v>
      </c>
    </row>
    <row r="1174" ht="14.4" spans="1:26">
      <c r="A1174" s="310" t="s">
        <v>1424</v>
      </c>
      <c r="B1174" s="135" t="s">
        <v>60</v>
      </c>
      <c r="C1174" s="291" t="str">
        <v>Triveni Turbine Ltd</v>
      </c>
      <c r="D1174" s="309">
        <v>0.004</v>
      </c>
      <c r="E1174" s="293">
        <f t="shared" si="40"/>
        <v>0</v>
      </c>
      <c r="F1174" s="291" t="str">
        <v>Industrials</v>
      </c>
      <c r="G1174" s="293">
        <f t="shared" si="41"/>
        <v>0</v>
      </c>
      <c r="H1174" s="291"/>
      <c r="J1174" s="36"/>
      <c r="X1174" s="291"/>
      <c r="Z1174" s="310" t="s">
        <v>1424</v>
      </c>
    </row>
    <row r="1175" ht="14.4" spans="1:26">
      <c r="A1175" s="310" t="s">
        <v>1036</v>
      </c>
      <c r="B1175" s="135" t="s">
        <v>60</v>
      </c>
      <c r="C1175" s="291" t="str">
        <v>Sona Blw Precision Forgings Lt</v>
      </c>
      <c r="D1175" s="309">
        <v>0</v>
      </c>
      <c r="E1175" s="293">
        <f t="shared" si="40"/>
        <v>0</v>
      </c>
      <c r="F1175" s="291" t="str">
        <v>Consumer Discretionary</v>
      </c>
      <c r="G1175" s="293">
        <f t="shared" si="41"/>
        <v>0</v>
      </c>
      <c r="H1175" s="291"/>
      <c r="J1175" s="36"/>
      <c r="X1175" s="291"/>
      <c r="Z1175" s="310" t="s">
        <v>1036</v>
      </c>
    </row>
    <row r="1176" spans="1:26">
      <c r="A1176" s="291"/>
      <c r="B1176" s="305"/>
      <c r="C1176" s="291"/>
      <c r="D1176" s="309"/>
      <c r="E1176" s="293"/>
      <c r="F1176" s="291"/>
      <c r="G1176" s="293"/>
      <c r="H1176" s="291"/>
      <c r="J1176" s="36"/>
      <c r="X1176" s="291"/>
      <c r="Z1176" s="290" t="s">
        <v>811</v>
      </c>
    </row>
    <row r="1177" spans="1:26">
      <c r="A1177" s="291"/>
      <c r="B1177" s="305"/>
      <c r="C1177" s="291"/>
      <c r="D1177" s="309"/>
      <c r="E1177" s="293"/>
      <c r="F1177" s="291"/>
      <c r="G1177" s="293"/>
      <c r="H1177" s="291"/>
      <c r="J1177" s="36"/>
      <c r="X1177" s="291"/>
      <c r="Z1177" s="294" t="s">
        <v>815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AF111"/>
  <sheetViews>
    <sheetView showGridLines="0" zoomScale="60" zoomScaleNormal="60" topLeftCell="A29" workbookViewId="0">
      <selection activeCell="O7" sqref="O7"/>
    </sheetView>
  </sheetViews>
  <sheetFormatPr defaultColWidth="9" defaultRowHeight="13.8"/>
  <cols>
    <col min="1" max="1" width="36.725" customWidth="1"/>
    <col min="2" max="2" width="15.3583333333333" customWidth="1"/>
    <col min="3" max="3" width="15.2666666666667" customWidth="1"/>
    <col min="4" max="4" width="15.3583333333333" customWidth="1"/>
    <col min="5" max="5" width="20.725" customWidth="1"/>
    <col min="6" max="6" width="23.0916666666667" customWidth="1"/>
    <col min="7" max="7" width="9.175" customWidth="1"/>
    <col min="8" max="11" width="23.0916666666667" customWidth="1"/>
    <col min="12" max="12" width="8.725" customWidth="1"/>
    <col min="13" max="13" width="42.9083333333333" customWidth="1"/>
    <col min="14" max="19" width="15.3583333333333" customWidth="1"/>
    <col min="20" max="20" width="26.45" customWidth="1"/>
    <col min="21" max="21" width="15.3583333333333" customWidth="1"/>
    <col min="24" max="24" width="36.725" customWidth="1"/>
    <col min="25" max="30" width="15.3583333333333" customWidth="1"/>
    <col min="31" max="31" width="17.0916666666667" customWidth="1"/>
    <col min="32" max="32" width="15.3583333333333" customWidth="1"/>
    <col min="35" max="36" width="25.0916666666667" customWidth="1"/>
    <col min="37" max="37" width="15.3583333333333" customWidth="1"/>
    <col min="40" max="40" width="36.725" customWidth="1"/>
    <col min="41" max="42" width="15.3583333333333" customWidth="1"/>
    <col min="43" max="43" width="21.0916666666667" customWidth="1"/>
    <col min="44" max="46" width="15.3583333333333" customWidth="1"/>
    <col min="47" max="47" width="23.175" customWidth="1"/>
    <col min="48" max="48" width="15.3583333333333" customWidth="1"/>
    <col min="51" max="51" width="25.0916666666667" customWidth="1"/>
    <col min="52" max="53" width="15.3583333333333" customWidth="1"/>
  </cols>
  <sheetData>
    <row r="1" spans="1:32">
      <c r="A1" s="163" t="s">
        <v>0</v>
      </c>
      <c r="B1" s="164"/>
      <c r="C1" s="164"/>
      <c r="D1" s="164"/>
      <c r="E1" s="164"/>
      <c r="F1" s="164"/>
      <c r="H1" s="164"/>
      <c r="I1" s="164"/>
      <c r="J1" s="164"/>
      <c r="K1" s="164"/>
      <c r="M1" s="62" t="s">
        <v>34</v>
      </c>
      <c r="N1" s="203"/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  <c r="AA1" s="203"/>
      <c r="AB1" s="203"/>
      <c r="AC1" s="203"/>
      <c r="AD1" s="203"/>
      <c r="AE1" s="203"/>
      <c r="AF1" s="63"/>
    </row>
    <row r="2" ht="14.55" spans="1:32">
      <c r="A2" s="163"/>
      <c r="B2" s="164"/>
      <c r="C2" s="164"/>
      <c r="D2" s="164"/>
      <c r="E2" s="164"/>
      <c r="F2" s="164"/>
      <c r="H2" s="164"/>
      <c r="I2" s="164"/>
      <c r="J2" s="164"/>
      <c r="K2" s="164"/>
      <c r="M2" s="103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205"/>
    </row>
    <row r="3" ht="14.55" spans="13:32">
      <c r="M3" s="204" t="s">
        <v>1772</v>
      </c>
      <c r="N3" s="205"/>
      <c r="O3" s="103" t="s">
        <v>10</v>
      </c>
      <c r="P3" s="104"/>
      <c r="Q3" s="104"/>
      <c r="R3" s="104"/>
      <c r="S3" s="104"/>
      <c r="T3" s="104"/>
      <c r="U3" s="205"/>
      <c r="X3" s="204" t="s">
        <v>9</v>
      </c>
      <c r="Y3" s="103" t="s">
        <v>10</v>
      </c>
      <c r="Z3" s="104"/>
      <c r="AA3" s="104"/>
      <c r="AB3" s="104"/>
      <c r="AC3" s="104"/>
      <c r="AD3" s="104"/>
      <c r="AE3" s="104"/>
      <c r="AF3" s="205"/>
    </row>
    <row r="4" ht="14.55" spans="1:32">
      <c r="A4" s="165" t="s">
        <v>1</v>
      </c>
      <c r="B4" s="63" t="s">
        <v>2</v>
      </c>
      <c r="C4" s="165" t="s">
        <v>3</v>
      </c>
      <c r="D4" s="63" t="s">
        <v>4</v>
      </c>
      <c r="E4" s="63" t="s">
        <v>5</v>
      </c>
      <c r="F4" s="166" t="s">
        <v>1773</v>
      </c>
      <c r="H4" s="62" t="s">
        <v>106</v>
      </c>
      <c r="I4" s="63" t="s">
        <v>107</v>
      </c>
      <c r="J4" s="62" t="s">
        <v>804</v>
      </c>
      <c r="K4" s="63" t="s">
        <v>1774</v>
      </c>
      <c r="M4" s="206" t="s">
        <v>1772</v>
      </c>
      <c r="N4" s="63" t="s">
        <v>16</v>
      </c>
      <c r="O4" s="207" t="s">
        <v>17</v>
      </c>
      <c r="P4" s="208" t="s">
        <v>18</v>
      </c>
      <c r="Q4" s="208" t="s">
        <v>19</v>
      </c>
      <c r="R4" s="208" t="s">
        <v>20</v>
      </c>
      <c r="S4" s="208" t="s">
        <v>22</v>
      </c>
      <c r="T4" s="208" t="s">
        <v>23</v>
      </c>
      <c r="U4" s="241" t="s">
        <v>24</v>
      </c>
      <c r="X4" s="206" t="s">
        <v>9</v>
      </c>
      <c r="Y4" s="16" t="s">
        <v>25</v>
      </c>
      <c r="Z4" s="17">
        <v>2024</v>
      </c>
      <c r="AA4" s="17">
        <v>2023</v>
      </c>
      <c r="AB4" s="18">
        <v>2022</v>
      </c>
      <c r="AC4" s="18">
        <v>2021</v>
      </c>
      <c r="AD4" s="18">
        <v>2020</v>
      </c>
      <c r="AE4" s="18">
        <v>2019</v>
      </c>
      <c r="AF4" s="273">
        <v>2018</v>
      </c>
    </row>
    <row r="5" ht="14.55" spans="1:32">
      <c r="A5" s="111" t="s">
        <v>41</v>
      </c>
      <c r="B5" s="112" t="str" cm="1">
        <f t="array" ref="B5:B35">_xlfn.IFNA(VLOOKUP($A$5:$A$35,'Selector Sheet '!$B$14:$D$59,3,FALSE),"")</f>
        <v/>
      </c>
      <c r="C5" s="111" t="str" cm="1">
        <f t="array" ref="C5:C35">_xlfn.IFNA(VLOOKUP($A$5:$A$35,source_data!$T$2:$W$24,2,FALSE),"")</f>
        <v/>
      </c>
      <c r="D5" s="167" t="str" cm="1">
        <f t="array" ref="D5:D35">_xlfn.IFNA(VLOOKUP($A$5:$A$35,source_data!$T$2:$W$24,3,FALSE),"")</f>
        <v/>
      </c>
      <c r="E5" s="167" t="str" cm="1">
        <f t="array" ref="E5:E35">_xlfn.IFNA(VLOOKUP($A$5:$A$35,source_data!$T$2:$W$24,4,FALSE),"")</f>
        <v/>
      </c>
      <c r="F5" s="112" t="str" cm="1">
        <f t="array" ref="F5:F35">_xlfn.IFNA(VLOOKUP($A$5:$A$35,source_data!$T$2:$X$24,5,FALSE),"")</f>
        <v/>
      </c>
      <c r="H5" s="111" t="str" cm="1">
        <f t="array" ref="H5:H35">_xlfn.IFNA(VLOOKUP($A$5:$A$35,source_data!$T$2:$AB$24,6,FALSE),"")</f>
        <v/>
      </c>
      <c r="I5" s="111" t="str" cm="1">
        <f t="array" ref="I5:I35">_xlfn.IFNA(VLOOKUP($A$5:$A$35,source_data!$T$2:$AB$24,7,FALSE),"")</f>
        <v/>
      </c>
      <c r="J5" s="111" t="str" cm="1">
        <f t="array" ref="J5:J35">_xlfn.IFNA(VLOOKUP($A$5:$A$35,source_data!$T$2:$AB$24,8,FALSE),"")</f>
        <v/>
      </c>
      <c r="K5" s="111" t="str" cm="1">
        <f t="array" ref="K5:K35">_xlfn.IFNA(VLOOKUP($A$5:$A$35,source_data!$T$2:$AB$24,9,FALSE),"")</f>
        <v/>
      </c>
      <c r="M5" s="151" t="str" cm="1">
        <f t="array" ref="M5:M10">IF($A$5:$A$10&gt;0,$A$5:$A$10,"")</f>
        <v>Large Cap</v>
      </c>
      <c r="N5" s="167" t="str" cm="1">
        <f t="array" ref="N5:N10">IFERROR(INDEX(performace_data!$B$3:$AN$293,MATCH(TRIM(_xlfn.ANCHORARRAY($M$5)),performace_data!$B$3:$B$294,0),MATCH(TRIM(N$4),performace_data!$B$4:$AM$4,0)),"")</f>
        <v/>
      </c>
      <c r="O5" s="167" t="str" cm="1">
        <f t="array" ref="O5:O10">IFERROR(INDEX(performace_data!$B$3:$AN$293,MATCH(TRIM(_xlfn.ANCHORARRAY($M$5)),performace_data!$B$3:$B$294,0),MATCH(TRIM(O$4),performace_data!$B$4:$AM$4,0)),"")</f>
        <v/>
      </c>
      <c r="P5" s="167" t="str" cm="1">
        <f t="array" ref="P5:P10">IFERROR(INDEX(performace_data!$B$3:$AN$293,MATCH(TRIM(_xlfn.ANCHORARRAY($M$5)),performace_data!$B$3:$B$294,0),MATCH(TRIM(P$4),performace_data!$B$4:$AM$4,0)),"")</f>
        <v/>
      </c>
      <c r="Q5" s="167" t="str" cm="1">
        <f t="array" ref="Q5:Q10">IFERROR(INDEX(performace_data!$B$3:$AN$293,MATCH(TRIM(_xlfn.ANCHORARRAY($M$5)),performace_data!$B$3:$B$294,0),MATCH(TRIM(Q$4),performace_data!$B$4:$AM$4,0)),"")</f>
        <v/>
      </c>
      <c r="R5" s="167" t="str" cm="1">
        <f t="array" ref="R5:R10">IFERROR(INDEX(performace_data!$B$3:$AN$293,MATCH(TRIM(_xlfn.ANCHORARRAY($M$5)),performace_data!$B$3:$B$294,0),MATCH(TRIM(R$4),performace_data!$B$4:$AM$4,0)),"")</f>
        <v/>
      </c>
      <c r="S5" s="167" t="str" cm="1">
        <f t="array" ref="S5:S10">IFERROR(INDEX(performace_data!$B$3:$AN$293,MATCH(TRIM(_xlfn.ANCHORARRAY($M$5)),performace_data!$B$3:$B$294,0),MATCH(TRIM(S$4),performace_data!$B$4:$AM$4,0)),"")</f>
        <v/>
      </c>
      <c r="T5" s="167" t="str" cm="1">
        <f t="array" ref="T5:T10">IFERROR(INDEX(performace_data!$B$3:$AN$293,MATCH(TRIM(_xlfn.ANCHORARRAY($M$5)),performace_data!$B$3:$B$294,0),MATCH(TRIM(T$4),performace_data!$B$4:$AM$4,0)),"")</f>
        <v/>
      </c>
      <c r="U5" s="112" t="str" cm="1">
        <f t="array" ref="U5:U10">IFERROR(INDEX(performace_data!$B$3:$AN$293,MATCH(TRIM(_xlfn.ANCHORARRAY($M$5)),performace_data!$B$3:$B$294,0),MATCH(TRIM(U$4),performace_data!$B$4:$AM$4,0)),"")</f>
        <v/>
      </c>
      <c r="X5" s="151" t="str" cm="1">
        <f t="array" ref="X5:X10">IF($A$5:$A$10&gt;0,$A$5:$A$10,"")</f>
        <v>Large Cap</v>
      </c>
      <c r="Y5" s="167" t="str" cm="1">
        <f t="array" ref="Y5:Y10">_xlfn.IFNA(INDEX(performace_data!$B$4:$AN$294,MATCH(_xlfn.ANCHORARRAY($X$5),performace_data!$B$4:$B$294,0),MATCH(Y$4,performace_data!$B$4:$AM$4,0)),"")</f>
        <v/>
      </c>
      <c r="Z5" s="167" t="str" cm="1">
        <f t="array" ref="Z5:Z10">_xlfn.IFNA(INDEX(performace_data!$B$4:$AN$294,MATCH(_xlfn.ANCHORARRAY($X$5),performace_data!$B$4:$B$294,0),MATCH(Z$4,performace_data!$B$4:$AM$4,0)),"")</f>
        <v/>
      </c>
      <c r="AA5" s="167" t="str" cm="1">
        <f t="array" ref="AA5:AA10">_xlfn.IFNA(INDEX(performace_data!$B$4:$AN$294,MATCH(_xlfn.ANCHORARRAY($X$5),performace_data!$B$4:$B$294,0),MATCH(AA$4,performace_data!$B$4:$AM$4,0)),"")</f>
        <v/>
      </c>
      <c r="AB5" s="167" t="str" cm="1">
        <f t="array" ref="AB5:AB10">_xlfn.IFNA(INDEX(performace_data!$B$4:$AN$294,MATCH(_xlfn.ANCHORARRAY($X$5),performace_data!$B$4:$B$294,0),MATCH(AB$4,performace_data!$B$4:$AM$4,0)),"")</f>
        <v/>
      </c>
      <c r="AC5" s="167" t="str" cm="1">
        <f t="array" ref="AC5:AC10">_xlfn.IFNA(INDEX(performace_data!$B$4:$AN$294,MATCH(_xlfn.ANCHORARRAY($X$5),performace_data!$B$4:$B$294,0),MATCH(AC$4,performace_data!$B$4:$AM$4,0)),"")</f>
        <v/>
      </c>
      <c r="AD5" s="167" t="str" cm="1">
        <f t="array" ref="AD5:AD10">_xlfn.IFNA(INDEX(performace_data!$B$4:$AN$294,MATCH(_xlfn.ANCHORARRAY($X$5),performace_data!$B$4:$B$294,0),MATCH(AD$4,performace_data!$B$4:$AM$4,0)),"")</f>
        <v/>
      </c>
      <c r="AE5" s="167" t="str" cm="1">
        <f t="array" ref="AE5:AE10">_xlfn.IFNA(INDEX(performace_data!$B$4:$AN$294,MATCH(_xlfn.ANCHORARRAY($X$5),performace_data!$B$4:$B$294,0),MATCH(AE$4,performace_data!$B$4:$AM$4,0)),"")</f>
        <v/>
      </c>
      <c r="AF5" s="112" t="str" cm="1">
        <f t="array" ref="AF5:AF10">_xlfn.IFNA(INDEX(performace_data!$B$4:$AN$294,MATCH(_xlfn.ANCHORARRAY($X$5),performace_data!$B$4:$B$294,0),MATCH(AF$4,performace_data!$B$4:$AM$4,0)),"")</f>
        <v/>
      </c>
    </row>
    <row r="6" spans="1:32">
      <c r="A6" s="168" t="str" cm="1">
        <f t="array" ref="A6:A7">_xlfn._xlws.FILTER('Selector Sheet '!$B$14:$B$19,'Selector Sheet '!$A$14:$A$19=TRUE,"No funds selected")</f>
        <v>Renaissance Opportunities Fund PMS</v>
      </c>
      <c r="B6" s="169">
        <v>0.2</v>
      </c>
      <c r="C6" s="170">
        <v>0.78</v>
      </c>
      <c r="D6" s="171">
        <v>0.14</v>
      </c>
      <c r="E6" s="171">
        <v>0.07</v>
      </c>
      <c r="F6" s="169">
        <v>0.01</v>
      </c>
      <c r="H6" s="172">
        <v>0.55</v>
      </c>
      <c r="I6" s="209">
        <v>0.95</v>
      </c>
      <c r="J6" s="172">
        <v>22.6</v>
      </c>
      <c r="K6" s="210" t="str">
        <v>NA</v>
      </c>
      <c r="M6" s="211" t="str">
        <v>Renaissance Opportunities Fund PMS</v>
      </c>
      <c r="N6" s="72">
        <v>2.5</v>
      </c>
      <c r="O6" s="212">
        <v>-0.0338000000000001</v>
      </c>
      <c r="P6" s="171">
        <v>0.0129786502960001</v>
      </c>
      <c r="Q6" s="171">
        <v>0.033656097499881</v>
      </c>
      <c r="R6" s="171">
        <v>-0.0271648364434391</v>
      </c>
      <c r="S6" s="171">
        <v>0.183371252542426</v>
      </c>
      <c r="T6" s="171">
        <v>0.259155398552223</v>
      </c>
      <c r="U6" s="169" t="str">
        <v>NA</v>
      </c>
      <c r="V6" s="32"/>
      <c r="X6" s="211" t="str">
        <v>Renaissance Opportunities Fund PMS</v>
      </c>
      <c r="Y6" s="212">
        <v>-0.0157526639606131</v>
      </c>
      <c r="Z6" s="171">
        <v>0.246137661220227</v>
      </c>
      <c r="AA6" s="171">
        <v>0.27255977580347</v>
      </c>
      <c r="AB6" s="171">
        <v>0.100871060698555</v>
      </c>
      <c r="AC6" s="171">
        <v>0.363589982277438</v>
      </c>
      <c r="AD6" s="171">
        <v>0.0893649385219928</v>
      </c>
      <c r="AE6" s="171">
        <v>0.109299961060874</v>
      </c>
      <c r="AF6" s="169">
        <v>-0.0771779924938113</v>
      </c>
    </row>
    <row r="7" spans="1:32">
      <c r="A7" s="168" t="str">
        <v>Nippon India Large Cap Fund(G)</v>
      </c>
      <c r="B7" s="169">
        <v>0.2</v>
      </c>
      <c r="C7" s="170">
        <v>0.837409</v>
      </c>
      <c r="D7" s="171">
        <v>0.107269</v>
      </c>
      <c r="E7" s="171">
        <v>0.038736</v>
      </c>
      <c r="F7" s="169">
        <v>0.016586</v>
      </c>
      <c r="H7" s="173">
        <v>1.1</v>
      </c>
      <c r="I7" s="213">
        <v>0.92</v>
      </c>
      <c r="J7" s="173">
        <v>24.11</v>
      </c>
      <c r="K7" s="214">
        <v>3.69</v>
      </c>
      <c r="M7" s="211" t="str">
        <v>Nippon India Large Cap Fund(G)</v>
      </c>
      <c r="N7" s="72">
        <v>1.51</v>
      </c>
      <c r="O7" s="171">
        <v>-0.017875</v>
      </c>
      <c r="P7" s="171">
        <v>0.047609</v>
      </c>
      <c r="Q7" s="171">
        <v>0.078495</v>
      </c>
      <c r="R7" s="171">
        <v>0.006832</v>
      </c>
      <c r="S7" s="171">
        <v>0.204123</v>
      </c>
      <c r="T7" s="171">
        <v>0.251486</v>
      </c>
      <c r="U7" s="169">
        <v>0.137065</v>
      </c>
      <c r="X7" s="211" t="str">
        <v>Nippon India Large Cap Fund(G)</v>
      </c>
      <c r="Y7" s="171">
        <v>0.045961</v>
      </c>
      <c r="Z7" s="171">
        <v>0.182397253978206</v>
      </c>
      <c r="AA7" s="171">
        <v>0.321478427661326</v>
      </c>
      <c r="AB7" s="171">
        <v>0.113278340777579</v>
      </c>
      <c r="AC7" s="171">
        <v>0.323671949303782</v>
      </c>
      <c r="AD7" s="171">
        <v>0.0490812677272166</v>
      </c>
      <c r="AE7" s="171">
        <v>0.0725190954426446</v>
      </c>
      <c r="AF7" s="169">
        <v>-0.00200396593257917</v>
      </c>
    </row>
    <row r="8" spans="1:32">
      <c r="A8" s="168"/>
      <c r="B8" s="169" t="str">
        <v/>
      </c>
      <c r="C8" s="170" t="str">
        <v/>
      </c>
      <c r="D8" s="171" t="str">
        <v/>
      </c>
      <c r="E8" s="171" t="str">
        <v/>
      </c>
      <c r="F8" s="169" t="str">
        <v/>
      </c>
      <c r="H8" s="173" t="str">
        <v/>
      </c>
      <c r="I8" s="213" t="str">
        <v/>
      </c>
      <c r="J8" s="173" t="str">
        <v/>
      </c>
      <c r="K8" s="214" t="str">
        <v/>
      </c>
      <c r="M8" s="211" t="str">
        <v/>
      </c>
      <c r="N8" s="72" t="str">
        <v/>
      </c>
      <c r="O8" s="171" t="str">
        <v/>
      </c>
      <c r="P8" s="171" t="str">
        <v/>
      </c>
      <c r="Q8" s="171" t="str">
        <v/>
      </c>
      <c r="R8" s="171" t="str">
        <v/>
      </c>
      <c r="S8" s="171" t="str">
        <v/>
      </c>
      <c r="T8" s="171" t="str">
        <v/>
      </c>
      <c r="U8" s="169" t="str">
        <v/>
      </c>
      <c r="X8" s="211" t="str">
        <v/>
      </c>
      <c r="Y8" s="171" t="str">
        <v/>
      </c>
      <c r="Z8" s="171" t="str">
        <v/>
      </c>
      <c r="AA8" s="171" t="str">
        <v/>
      </c>
      <c r="AB8" s="171" t="str">
        <v/>
      </c>
      <c r="AC8" s="171" t="str">
        <v/>
      </c>
      <c r="AD8" s="171" t="str">
        <v/>
      </c>
      <c r="AE8" s="171" t="str">
        <v/>
      </c>
      <c r="AF8" s="169" t="str">
        <v/>
      </c>
    </row>
    <row r="9" spans="1:32">
      <c r="A9" s="168"/>
      <c r="B9" s="169" t="str">
        <v/>
      </c>
      <c r="C9" s="170" t="str">
        <v/>
      </c>
      <c r="D9" s="171" t="str">
        <v/>
      </c>
      <c r="E9" s="171" t="str">
        <v/>
      </c>
      <c r="F9" s="169" t="str">
        <v/>
      </c>
      <c r="H9" s="173" t="str">
        <v/>
      </c>
      <c r="I9" s="213" t="str">
        <v/>
      </c>
      <c r="J9" s="173" t="str">
        <v/>
      </c>
      <c r="K9" s="214" t="str">
        <v/>
      </c>
      <c r="M9" s="211" t="str">
        <v/>
      </c>
      <c r="N9" s="72" t="str">
        <v/>
      </c>
      <c r="O9" s="171" t="str">
        <v/>
      </c>
      <c r="P9" s="171" t="str">
        <v/>
      </c>
      <c r="Q9" s="171" t="str">
        <v/>
      </c>
      <c r="R9" s="171" t="str">
        <v/>
      </c>
      <c r="S9" s="171" t="str">
        <v/>
      </c>
      <c r="T9" s="171" t="str">
        <v/>
      </c>
      <c r="U9" s="169" t="str">
        <v/>
      </c>
      <c r="X9" s="211" t="str">
        <v/>
      </c>
      <c r="Y9" s="171" t="str">
        <v/>
      </c>
      <c r="Z9" s="171" t="str">
        <v/>
      </c>
      <c r="AA9" s="171" t="str">
        <v/>
      </c>
      <c r="AB9" s="171" t="str">
        <v/>
      </c>
      <c r="AC9" s="171" t="str">
        <v/>
      </c>
      <c r="AD9" s="171" t="str">
        <v/>
      </c>
      <c r="AE9" s="171" t="str">
        <v/>
      </c>
      <c r="AF9" s="169" t="str">
        <v/>
      </c>
    </row>
    <row r="10" spans="1:32">
      <c r="A10" s="168"/>
      <c r="B10" s="169" t="str">
        <v/>
      </c>
      <c r="C10" s="170" t="str">
        <v/>
      </c>
      <c r="D10" s="171" t="str">
        <v/>
      </c>
      <c r="E10" s="171" t="str">
        <v/>
      </c>
      <c r="F10" s="169" t="str">
        <v/>
      </c>
      <c r="H10" s="173" t="str">
        <v/>
      </c>
      <c r="I10" s="213" t="str">
        <v/>
      </c>
      <c r="J10" s="173" t="str">
        <v/>
      </c>
      <c r="K10" s="214" t="str">
        <v/>
      </c>
      <c r="M10" s="211" t="str">
        <v/>
      </c>
      <c r="N10" s="72" t="str">
        <v/>
      </c>
      <c r="O10" s="171" t="str">
        <v/>
      </c>
      <c r="P10" s="171" t="str">
        <v/>
      </c>
      <c r="Q10" s="171" t="str">
        <v/>
      </c>
      <c r="R10" s="171" t="str">
        <v/>
      </c>
      <c r="S10" s="171" t="str">
        <v/>
      </c>
      <c r="T10" s="171" t="str">
        <v/>
      </c>
      <c r="U10" s="169" t="str">
        <v/>
      </c>
      <c r="X10" s="211" t="str">
        <v/>
      </c>
      <c r="Y10" s="171" t="str">
        <v/>
      </c>
      <c r="Z10" s="171" t="str">
        <v/>
      </c>
      <c r="AA10" s="171" t="str">
        <v/>
      </c>
      <c r="AB10" s="171" t="str">
        <v/>
      </c>
      <c r="AC10" s="171" t="str">
        <v/>
      </c>
      <c r="AD10" s="171" t="str">
        <v/>
      </c>
      <c r="AE10" s="171" t="str">
        <v/>
      </c>
      <c r="AF10" s="169" t="str">
        <v/>
      </c>
    </row>
    <row r="11" ht="14.55" spans="1:32">
      <c r="A11" s="168"/>
      <c r="B11" s="174" t="str">
        <v/>
      </c>
      <c r="C11" s="175" t="str">
        <v/>
      </c>
      <c r="D11" s="176" t="str">
        <v/>
      </c>
      <c r="E11" s="176" t="str">
        <v/>
      </c>
      <c r="F11" s="174" t="str">
        <v/>
      </c>
      <c r="H11" s="177" t="str">
        <v/>
      </c>
      <c r="I11" s="215" t="str">
        <v/>
      </c>
      <c r="J11" s="177" t="str">
        <v/>
      </c>
      <c r="K11" s="216" t="str">
        <v/>
      </c>
      <c r="M11" s="217" t="s">
        <v>142</v>
      </c>
      <c r="N11" s="218"/>
      <c r="O11" s="219">
        <f>IFERROR(INDEX(performace_data!$B$3:$AN$293,MATCH(TRIM($M$11),performace_data!$B$3:$B$294,0),MATCH(TRIM(O$4),performace_data!$B$4:$AM$4,0)),"")</f>
        <v>-0.029341</v>
      </c>
      <c r="P11" s="219">
        <f>IFERROR(INDEX(performace_data!$B$3:$AN$293,MATCH(TRIM($M$11),performace_data!$B$3:$B$294,0),MATCH(TRIM(P$4),performace_data!$B$4:$AM$4,0)),"")</f>
        <v>0.017841</v>
      </c>
      <c r="Q11" s="219">
        <f>IFERROR(INDEX(performace_data!$B$3:$AN$293,MATCH(TRIM($M$11),performace_data!$B$3:$B$294,0),MATCH(TRIM(Q$4),performace_data!$B$4:$AM$4,0)),"")</f>
        <v>0.053596</v>
      </c>
      <c r="R11" s="219">
        <f>IFERROR(INDEX(performace_data!$B$3:$AN$293,MATCH(TRIM($M$11),performace_data!$B$3:$B$294,0),MATCH(TRIM(R$4),performace_data!$B$4:$AM$4,0)),"")</f>
        <v>-0.007326</v>
      </c>
      <c r="S11" s="219">
        <f>IFERROR(INDEX(performace_data!$B$3:$AN$293,MATCH(TRIM($M$11),performace_data!$B$3:$B$294,0),MATCH(TRIM(S$4),performace_data!$B$4:$AM$4,0)),"")</f>
        <v>0.129786</v>
      </c>
      <c r="T11" s="219">
        <f>IFERROR(INDEX(performace_data!$B$3:$AN$293,MATCH(TRIM($M$11),performace_data!$B$3:$B$294,0),MATCH(TRIM(T$4),performace_data!$B$4:$AM$4,0)),"")</f>
        <v>0.174585</v>
      </c>
      <c r="U11" s="242">
        <f>IFERROR(INDEX(performace_data!$B$3:$AN$293,MATCH(TRIM($M$11),performace_data!$B$3:$B$294,0),MATCH(TRIM(U$4),performace_data!$B$4:$AM$4,0)),"")</f>
        <v>0.112352</v>
      </c>
      <c r="X11" s="217" t="s">
        <v>142</v>
      </c>
      <c r="Y11" s="274">
        <f>_xlfn.IFNA(INDEX(performace_data!$B$4:$AN$294,MATCH($X$11,performace_data!$B$4:$B$294,0),MATCH(Y$4,performace_data!$B$4:$AM$4,0)),"")</f>
        <v>0.047518</v>
      </c>
      <c r="Z11" s="219">
        <f>_xlfn.IFNA(INDEX(performace_data!$B$4:$AN$294,MATCH($X$11,performace_data!$B$4:$B$294,0),MATCH(Z$4,performace_data!$B$4:$AM$4,0)),"")</f>
        <v>0.0880476902077809</v>
      </c>
      <c r="AA11" s="219">
        <f>_xlfn.IFNA(INDEX(performace_data!$B$4:$AN$294,MATCH($X$11,performace_data!$B$4:$B$294,0),MATCH(AA$4,performace_data!$B$4:$AM$4,0)),"")</f>
        <v>0.200278393101744</v>
      </c>
      <c r="AB11" s="219">
        <f>_xlfn.IFNA(INDEX(performace_data!$B$4:$AN$294,MATCH($X$11,performace_data!$B$4:$B$294,0),MATCH(AB$4,performace_data!$B$4:$AM$4,0)),"")</f>
        <v>0.0432896067488569</v>
      </c>
      <c r="AC11" s="219">
        <f>_xlfn.IFNA(INDEX(performace_data!$B$4:$AN$294,MATCH($X$11,performace_data!$B$4:$B$294,0),MATCH(AC$4,performace_data!$B$4:$AM$4,0)),"")</f>
        <v>0.241192983710909</v>
      </c>
      <c r="AD11" s="219">
        <f>_xlfn.IFNA(INDEX(performace_data!$B$4:$AN$294,MATCH($X$11,performace_data!$B$4:$B$294,0),MATCH(AD$4,performace_data!$B$4:$AM$4,0)),"")</f>
        <v>0.149016514017808</v>
      </c>
      <c r="AE11" s="219">
        <f>_xlfn.IFNA(INDEX(performace_data!$B$4:$AN$294,MATCH($X$11,performace_data!$B$4:$B$294,0),MATCH(AE$4,performace_data!$B$4:$AM$4,0)),"")</f>
        <v>0.120220390239861</v>
      </c>
      <c r="AF11" s="242">
        <f>_xlfn.IFNA(INDEX(performace_data!$B$4:$AN$294,MATCH($X$11,performace_data!$B$4:$B$294,0),MATCH(AF$4,performace_data!$B$4:$AM$4,0)),"")</f>
        <v>0.0315126249916908</v>
      </c>
    </row>
    <row r="12" ht="14.55" spans="1:32">
      <c r="A12" s="111" t="s">
        <v>47</v>
      </c>
      <c r="B12" s="112" t="str">
        <v/>
      </c>
      <c r="C12" s="111" t="str">
        <v/>
      </c>
      <c r="D12" s="167" t="str">
        <v/>
      </c>
      <c r="E12" s="167" t="str">
        <v/>
      </c>
      <c r="F12" s="112" t="str">
        <v/>
      </c>
      <c r="H12" s="111" t="str">
        <v/>
      </c>
      <c r="I12" s="112" t="str">
        <v/>
      </c>
      <c r="J12" s="111" t="str">
        <v/>
      </c>
      <c r="K12" s="112" t="str">
        <v/>
      </c>
      <c r="M12" s="151" t="str" cm="1">
        <f t="array" ref="M12:M15">IF($A$12:$A$15&gt;0,$A$12:$A$15,"")</f>
        <v>Large -Mid Cap </v>
      </c>
      <c r="N12" s="167" t="str" cm="1">
        <f t="array" ref="N12:N15">IFERROR(INDEX(performace_data!$B$3:$AN$293,MATCH(TRIM(_xlfn.ANCHORARRAY($M$12)),performace_data!$B$3:$B$294,0),MATCH(TRIM(N$4),performace_data!$B$4:$AM$4,0)),"")</f>
        <v/>
      </c>
      <c r="O12" s="167" t="str" cm="1">
        <f t="array" ref="O12:O15">IFERROR(INDEX(performace_data!$B$3:$AN$293,MATCH(TRIM(_xlfn.ANCHORARRAY($M$12)),performace_data!$B$3:$B$294,0),MATCH(TRIM(O$4),performace_data!$B$4:$AM$4,0)),"")</f>
        <v/>
      </c>
      <c r="P12" s="167" t="str" cm="1">
        <f t="array" ref="P12:P15">IFERROR(INDEX(performace_data!$B$3:$AN$293,MATCH(TRIM(_xlfn.ANCHORARRAY($M$12)),performace_data!$B$3:$B$294,0),MATCH(TRIM(P$4),performace_data!$B$4:$AM$4,0)),"")</f>
        <v/>
      </c>
      <c r="Q12" s="167" t="str" cm="1">
        <f t="array" ref="Q12:Q15">IFERROR(INDEX(performace_data!$B$3:$AN$293,MATCH(TRIM(_xlfn.ANCHORARRAY($M$12)),performace_data!$B$3:$B$294,0),MATCH(TRIM(Q$4),performace_data!$B$4:$AM$4,0)),"")</f>
        <v/>
      </c>
      <c r="R12" s="167" t="str" cm="1">
        <f t="array" ref="R12:R15">IFERROR(INDEX(performace_data!$B$3:$AN$293,MATCH(TRIM(_xlfn.ANCHORARRAY($M$12)),performace_data!$B$3:$B$294,0),MATCH(TRIM(R$4),performace_data!$B$4:$AM$4,0)),"")</f>
        <v/>
      </c>
      <c r="S12" s="167" t="str" cm="1">
        <f t="array" ref="S12:S15">IFERROR(INDEX(performace_data!$B$3:$AN$293,MATCH(TRIM(_xlfn.ANCHORARRAY($M$12)),performace_data!$B$3:$B$294,0),MATCH(TRIM(S$4),performace_data!$B$4:$AM$4,0)),"")</f>
        <v/>
      </c>
      <c r="T12" s="167" t="str" cm="1">
        <f t="array" ref="T12:T15">IFERROR(INDEX(performace_data!$B$3:$AN$293,MATCH(TRIM(_xlfn.ANCHORARRAY($M$12)),performace_data!$B$3:$B$294,0),MATCH(TRIM(T$4),performace_data!$B$4:$AM$4,0)),"")</f>
        <v/>
      </c>
      <c r="U12" s="112" t="str" cm="1">
        <f t="array" ref="U12:U15">IFERROR(INDEX(performace_data!$B$3:$AN$293,MATCH(TRIM(_xlfn.ANCHORARRAY($M$12)),performace_data!$B$3:$B$294,0),MATCH(TRIM(U$4),performace_data!$B$4:$AM$4,0)),"")</f>
        <v/>
      </c>
      <c r="X12" s="151" t="str" cm="1">
        <f t="array" ref="X12:X15">IF($A$12:$A$15&gt;0,$A$12:$A$15,"")</f>
        <v>Large -Mid Cap </v>
      </c>
      <c r="Y12" s="167" t="str" cm="1">
        <f t="array" ref="Y12:Y15">_xlfn.IFNA(INDEX(performace_data!$B$4:$AN$294,MATCH(_xlfn.ANCHORARRAY($X$12),performace_data!$B$4:$B$294,0),MATCH(Y$4,performace_data!$B$4:$AM$4,0)),"")</f>
        <v/>
      </c>
      <c r="Z12" s="167" t="str" cm="1">
        <f t="array" ref="Z12:Z15">_xlfn.IFNA(INDEX(performace_data!$B$4:$AN$294,MATCH(_xlfn.ANCHORARRAY($X$12),performace_data!$B$4:$B$294,0),MATCH(Z$4,performace_data!$B$4:$AM$4,0)),"")</f>
        <v/>
      </c>
      <c r="AA12" s="167" t="str" cm="1">
        <f t="array" ref="AA12:AA15">_xlfn.IFNA(INDEX(performace_data!$B$4:$AN$294,MATCH(_xlfn.ANCHORARRAY($X$12),performace_data!$B$4:$B$294,0),MATCH(AA$4,performace_data!$B$4:$AM$4,0)),"")</f>
        <v/>
      </c>
      <c r="AB12" s="167" t="str" cm="1">
        <f t="array" ref="AB12:AB15">_xlfn.IFNA(INDEX(performace_data!$B$4:$AN$294,MATCH(_xlfn.ANCHORARRAY($X$12),performace_data!$B$4:$B$294,0),MATCH(AB$4,performace_data!$B$4:$AM$4,0)),"")</f>
        <v/>
      </c>
      <c r="AC12" s="167" t="str" cm="1">
        <f t="array" ref="AC12:AC15">_xlfn.IFNA(INDEX(performace_data!$B$4:$AN$294,MATCH(_xlfn.ANCHORARRAY($X$12),performace_data!$B$4:$B$294,0),MATCH(AC$4,performace_data!$B$4:$AM$4,0)),"")</f>
        <v/>
      </c>
      <c r="AD12" s="167" t="str" cm="1">
        <f t="array" ref="AD12:AD15">_xlfn.IFNA(INDEX(performace_data!$B$4:$AN$294,MATCH(_xlfn.ANCHORARRAY($X$12),performace_data!$B$4:$B$294,0),MATCH(AD$4,performace_data!$B$4:$AM$4,0)),"")</f>
        <v/>
      </c>
      <c r="AE12" s="167" t="str" cm="1">
        <f t="array" ref="AE12:AE15">_xlfn.IFNA(INDEX(performace_data!$B$4:$AN$294,MATCH(_xlfn.ANCHORARRAY($X$12),performace_data!$B$4:$B$294,0),MATCH(AE$4,performace_data!$B$4:$AM$4,0)),"")</f>
        <v/>
      </c>
      <c r="AF12" s="112" t="str" cm="1">
        <f t="array" ref="AF12:AF15">_xlfn.IFNA(INDEX(performace_data!$B$4:$AN$294,MATCH(_xlfn.ANCHORARRAY($X$12),performace_data!$B$4:$B$294,0),MATCH(AF$4,performace_data!$B$4:$AM$4,0)),"")</f>
        <v/>
      </c>
    </row>
    <row r="13" spans="1:32">
      <c r="A13" s="168" t="str" cm="1">
        <f t="array" ref="A13:A14">_xlfn._xlws.FILTER('Selector Sheet '!$B$21:$B$23,'Selector Sheet '!$A$21:$A$23=TRUE,"No funds selected")</f>
        <v>SBI Large &amp; Midcap Fund-Reg(G)</v>
      </c>
      <c r="B13" s="174">
        <v>0.04</v>
      </c>
      <c r="C13" s="175">
        <v>0.433817</v>
      </c>
      <c r="D13" s="176">
        <v>0.360591</v>
      </c>
      <c r="E13" s="176">
        <v>0.149174</v>
      </c>
      <c r="F13" s="174">
        <v>0.056418</v>
      </c>
      <c r="H13" s="178">
        <v>1.06</v>
      </c>
      <c r="I13" s="220">
        <v>0.82</v>
      </c>
      <c r="J13" s="178">
        <v>25.9</v>
      </c>
      <c r="K13" s="221">
        <v>3.5</v>
      </c>
      <c r="M13" s="211" t="str">
        <v>SBI Large &amp; Midcap Fund-Reg(G)</v>
      </c>
      <c r="N13" s="72">
        <v>1.58</v>
      </c>
      <c r="O13" s="176">
        <v>-0.009427</v>
      </c>
      <c r="P13" s="176">
        <v>0.065682</v>
      </c>
      <c r="Q13" s="176">
        <v>0.085126</v>
      </c>
      <c r="R13" s="176">
        <v>0.02127</v>
      </c>
      <c r="S13" s="176">
        <v>0.192237</v>
      </c>
      <c r="T13" s="176">
        <v>0.246868</v>
      </c>
      <c r="U13" s="174">
        <v>0.141788</v>
      </c>
      <c r="X13" s="211" t="str">
        <v>SBI Large &amp; Midcap Fund-Reg(G)</v>
      </c>
      <c r="Y13" s="176">
        <v>0.049623</v>
      </c>
      <c r="Z13" s="176">
        <v>0.180429945474413</v>
      </c>
      <c r="AA13" s="176">
        <v>0.267927654028178</v>
      </c>
      <c r="AB13" s="176">
        <v>0.0727005482251813</v>
      </c>
      <c r="AC13" s="176">
        <v>0.393453444860057</v>
      </c>
      <c r="AD13" s="176">
        <v>0.157561874583203</v>
      </c>
      <c r="AE13" s="176">
        <v>0.0682271555012597</v>
      </c>
      <c r="AF13" s="174">
        <v>-0.0525042773477515</v>
      </c>
    </row>
    <row r="14" spans="1:32">
      <c r="A14" s="168" t="str">
        <v>Canara Rob Emerg Equities Fund-Reg(G)</v>
      </c>
      <c r="B14" s="174">
        <v>0.04</v>
      </c>
      <c r="C14" s="175">
        <v>0.453308</v>
      </c>
      <c r="D14" s="176">
        <v>0.392334</v>
      </c>
      <c r="E14" s="176">
        <v>0.125245</v>
      </c>
      <c r="F14" s="174">
        <v>0.029113</v>
      </c>
      <c r="H14" s="179">
        <v>0.78</v>
      </c>
      <c r="I14" s="222">
        <v>0.98</v>
      </c>
      <c r="J14" s="179">
        <v>37.5</v>
      </c>
      <c r="K14" s="223">
        <v>5.94</v>
      </c>
      <c r="M14" s="211" t="str">
        <v>Canara Rob Emerg Equities Fund-Reg(G)</v>
      </c>
      <c r="N14" s="72">
        <v>1.6</v>
      </c>
      <c r="O14" s="176">
        <v>-0.025189</v>
      </c>
      <c r="P14" s="176">
        <v>0.055282</v>
      </c>
      <c r="Q14" s="176">
        <v>0.073313</v>
      </c>
      <c r="R14" s="176">
        <v>0.005758</v>
      </c>
      <c r="S14" s="176">
        <v>0.173117</v>
      </c>
      <c r="T14" s="176">
        <v>0.221895</v>
      </c>
      <c r="U14" s="174">
        <v>0.147989</v>
      </c>
      <c r="X14" s="211" t="str">
        <v>Canara Rob Emerg Equities Fund-Reg(G)</v>
      </c>
      <c r="Y14" s="176">
        <v>0.002476</v>
      </c>
      <c r="Z14" s="176">
        <v>0.263157894736842</v>
      </c>
      <c r="AA14" s="176">
        <v>0.24037691691815</v>
      </c>
      <c r="AB14" s="176">
        <v>-0.0164758616512205</v>
      </c>
      <c r="AC14" s="176">
        <v>0.369927806821011</v>
      </c>
      <c r="AD14" s="176">
        <v>0.245452666391071</v>
      </c>
      <c r="AE14" s="176">
        <v>0.0868246658429743</v>
      </c>
      <c r="AF14" s="174">
        <v>-0.0929190015282731</v>
      </c>
    </row>
    <row r="15" spans="1:32">
      <c r="A15" s="168"/>
      <c r="B15" s="174" t="str">
        <v/>
      </c>
      <c r="C15" s="175" t="str">
        <v/>
      </c>
      <c r="D15" s="176" t="str">
        <v/>
      </c>
      <c r="E15" s="176" t="str">
        <v/>
      </c>
      <c r="F15" s="174" t="str">
        <v/>
      </c>
      <c r="H15" s="179" t="str">
        <v/>
      </c>
      <c r="I15" s="222" t="str">
        <v/>
      </c>
      <c r="J15" s="179" t="str">
        <v/>
      </c>
      <c r="K15" s="223" t="str">
        <v/>
      </c>
      <c r="M15" s="224" t="str">
        <v/>
      </c>
      <c r="N15" s="72" t="str">
        <v/>
      </c>
      <c r="O15" s="176" t="str">
        <v/>
      </c>
      <c r="P15" s="176" t="str">
        <v/>
      </c>
      <c r="Q15" s="176" t="str">
        <v/>
      </c>
      <c r="R15" s="176" t="str">
        <v/>
      </c>
      <c r="S15" s="176" t="str">
        <v/>
      </c>
      <c r="T15" s="176" t="str">
        <v/>
      </c>
      <c r="U15" s="174" t="str">
        <v/>
      </c>
      <c r="X15" s="224" t="str">
        <v/>
      </c>
      <c r="Y15" s="176" t="str">
        <v/>
      </c>
      <c r="Z15" s="176" t="str">
        <v/>
      </c>
      <c r="AA15" s="176" t="str">
        <v/>
      </c>
      <c r="AB15" s="176" t="str">
        <v/>
      </c>
      <c r="AC15" s="176" t="str">
        <v/>
      </c>
      <c r="AD15" s="176" t="str">
        <v/>
      </c>
      <c r="AE15" s="176" t="str">
        <v/>
      </c>
      <c r="AF15" s="174" t="str">
        <v/>
      </c>
    </row>
    <row r="16" ht="14.55" spans="1:32">
      <c r="A16" s="168"/>
      <c r="B16" s="174" t="str">
        <v/>
      </c>
      <c r="C16" s="175" t="str">
        <v/>
      </c>
      <c r="D16" s="176" t="str">
        <v/>
      </c>
      <c r="E16" s="176" t="str">
        <v/>
      </c>
      <c r="F16" s="174" t="str">
        <v/>
      </c>
      <c r="H16" s="177" t="str">
        <v/>
      </c>
      <c r="I16" s="215" t="str">
        <v/>
      </c>
      <c r="J16" s="177" t="str">
        <v/>
      </c>
      <c r="K16" s="216" t="str">
        <v/>
      </c>
      <c r="M16" s="217" t="s">
        <v>185</v>
      </c>
      <c r="N16" s="218"/>
      <c r="O16" s="219">
        <f>IFERROR(INDEX(performace_data!$B$3:$AN$293,MATCH(TRIM($M$16),performace_data!$B$3:$B$294,0),MATCH(TRIM(O$4),performace_data!$B$4:$AM$4,0)),"")</f>
        <v>-0.02971</v>
      </c>
      <c r="P16" s="219">
        <f>IFERROR(INDEX(performace_data!$B$3:$AN$293,MATCH(TRIM($M$16),performace_data!$B$3:$B$294,0),MATCH(TRIM(P$4),performace_data!$B$4:$AM$4,0)),"")</f>
        <v>0.026524</v>
      </c>
      <c r="Q16" s="219">
        <f>IFERROR(INDEX(performace_data!$B$3:$AN$293,MATCH(TRIM($M$16),performace_data!$B$3:$B$294,0),MATCH(TRIM(Q$4),performace_data!$B$4:$AM$4,0)),"")</f>
        <v>0.054662</v>
      </c>
      <c r="R16" s="219">
        <f>IFERROR(INDEX(performace_data!$B$3:$AN$293,MATCH(TRIM($M$16),performace_data!$B$3:$B$294,0),MATCH(TRIM(R$4),performace_data!$B$4:$AM$4,0)),"")</f>
        <v>-0.02863</v>
      </c>
      <c r="S16" s="219">
        <f>IFERROR(INDEX(performace_data!$B$3:$AN$293,MATCH(TRIM($M$16),performace_data!$B$3:$B$294,0),MATCH(TRIM(S$4),performace_data!$B$4:$AM$4,0)),"")</f>
        <v>0.145994</v>
      </c>
      <c r="T16" s="219">
        <f>IFERROR(INDEX(performace_data!$B$3:$AN$293,MATCH(TRIM($M$16),performace_data!$B$3:$B$294,0),MATCH(TRIM(T$4),performace_data!$B$4:$AM$4,0)),"")</f>
        <v>0.192965</v>
      </c>
      <c r="U16" s="242">
        <f>IFERROR(INDEX(performace_data!$B$3:$AN$293,MATCH(TRIM($M$16),performace_data!$B$3:$B$294,0),MATCH(TRIM(U$4),performace_data!$B$4:$AM$4,0)),"")</f>
        <v>0.120911</v>
      </c>
      <c r="X16" s="217" t="s">
        <v>185</v>
      </c>
      <c r="Y16" s="274">
        <f>_xlfn.IFNA(INDEX(performace_data!$B$4:$AN$294,MATCH($X$16,performace_data!$B$4:$B$294,0),MATCH(Y$4,performace_data!$B$4:$AM$4,0)),"")</f>
        <v>0.02902</v>
      </c>
      <c r="Z16" s="219">
        <f>_xlfn.IFNA(INDEX(performace_data!$B$4:$AN$294,MATCH($X$16,performace_data!$B$4:$B$294,0),MATCH(Z$4,performace_data!$B$4:$AM$4,0)),"")</f>
        <v>0.13404855498046</v>
      </c>
      <c r="AA16" s="219">
        <f>_xlfn.IFNA(INDEX(performace_data!$B$4:$AN$294,MATCH($X$16,performace_data!$B$4:$B$294,0),MATCH(AA$4,performace_data!$B$4:$AM$4,0)),"")</f>
        <v>0.227583071297849</v>
      </c>
      <c r="AB16" s="219">
        <f>_xlfn.IFNA(INDEX(performace_data!$B$4:$AN$294,MATCH($X$16,performace_data!$B$4:$B$294,0),MATCH(AB$4,performace_data!$B$4:$AM$4,0)),"")</f>
        <v>0.0418381062193249</v>
      </c>
      <c r="AC16" s="219">
        <f>_xlfn.IFNA(INDEX(performace_data!$B$4:$AN$294,MATCH($X$16,performace_data!$B$4:$B$294,0),MATCH(AC$4,performace_data!$B$4:$AM$4,0)),"")</f>
        <v>0.275916009663324</v>
      </c>
      <c r="AD16" s="219">
        <f>_xlfn.IFNA(INDEX(performace_data!$B$4:$AN$294,MATCH($X$16,performace_data!$B$4:$B$294,0),MATCH(AD$4,performace_data!$B$4:$AM$4,0)),"")</f>
        <v>0.163126865730421</v>
      </c>
      <c r="AE16" s="219">
        <f>_xlfn.IFNA(INDEX(performace_data!$B$4:$AN$294,MATCH($X$16,performace_data!$B$4:$B$294,0),MATCH(AE$4,performace_data!$B$4:$AM$4,0)),"")</f>
        <v>0.0912740025098415</v>
      </c>
      <c r="AF16" s="242">
        <f>_xlfn.IFNA(INDEX(performace_data!$B$4:$AN$294,MATCH($X$16,performace_data!$B$4:$B$294,0),MATCH(AF$4,performace_data!$B$4:$AM$4,0)),"")</f>
        <v>-0.00538165279576636</v>
      </c>
    </row>
    <row r="17" ht="14.55" spans="1:32">
      <c r="A17" s="111" t="s">
        <v>51</v>
      </c>
      <c r="B17" s="112" t="str">
        <v/>
      </c>
      <c r="C17" s="111" t="str">
        <v/>
      </c>
      <c r="D17" s="167" t="str">
        <v/>
      </c>
      <c r="E17" s="167" t="str">
        <v/>
      </c>
      <c r="F17" s="112" t="str">
        <v/>
      </c>
      <c r="H17" s="111" t="str">
        <v/>
      </c>
      <c r="I17" s="112" t="str">
        <v/>
      </c>
      <c r="J17" s="111" t="str">
        <v/>
      </c>
      <c r="K17" s="112" t="str">
        <v/>
      </c>
      <c r="M17" s="151" t="str" cm="1">
        <f t="array" ref="M17:M19">IF($A$17:$A$19&gt;0,$A$17:$A$19,"")</f>
        <v>Mid/Small cap</v>
      </c>
      <c r="N17" s="167" t="str" cm="1">
        <f t="array" ref="N17:N19">IFERROR(INDEX(performace_data!$B$3:$AN$293,MATCH(TRIM(_xlfn.ANCHORARRAY($M$17)),performace_data!$B$3:$B$294,0),MATCH(TRIM(N$4),performace_data!$B$4:$AM$4,0)),"")</f>
        <v/>
      </c>
      <c r="O17" s="167" t="str" cm="1">
        <f t="array" ref="O17:O19">IFERROR(INDEX(performace_data!$B$3:$AN$293,MATCH(TRIM(_xlfn.ANCHORARRAY($M$17)),performace_data!$B$3:$B$294,0),MATCH(TRIM(O$4),performace_data!$B$4:$AM$4,0)),"")</f>
        <v/>
      </c>
      <c r="P17" s="167" t="str" cm="1">
        <f t="array" ref="P17:P19">IFERROR(INDEX(performace_data!$B$3:$AN$293,MATCH(TRIM(_xlfn.ANCHORARRAY($M$17)),performace_data!$B$3:$B$294,0),MATCH(TRIM(P$4),performace_data!$B$4:$AM$4,0)),"")</f>
        <v/>
      </c>
      <c r="Q17" s="167" t="str" cm="1">
        <f t="array" ref="Q17:Q19">IFERROR(INDEX(performace_data!$B$3:$AN$293,MATCH(TRIM(_xlfn.ANCHORARRAY($M$17)),performace_data!$B$3:$B$294,0),MATCH(TRIM(Q$4),performace_data!$B$4:$AM$4,0)),"")</f>
        <v/>
      </c>
      <c r="R17" s="167" t="str" cm="1">
        <f t="array" ref="R17:R19">IFERROR(INDEX(performace_data!$B$3:$AN$293,MATCH(TRIM(_xlfn.ANCHORARRAY($M$17)),performace_data!$B$3:$B$294,0),MATCH(TRIM(R$4),performace_data!$B$4:$AM$4,0)),"")</f>
        <v/>
      </c>
      <c r="S17" s="167" t="str" cm="1">
        <f t="array" ref="S17:S19">IFERROR(INDEX(performace_data!$B$3:$AN$293,MATCH(TRIM(_xlfn.ANCHORARRAY($M$17)),performace_data!$B$3:$B$294,0),MATCH(TRIM(S$4),performace_data!$B$4:$AM$4,0)),"")</f>
        <v/>
      </c>
      <c r="T17" s="167" t="str" cm="1">
        <f t="array" ref="T17:T19">IFERROR(INDEX(performace_data!$B$3:$AN$293,MATCH(TRIM(_xlfn.ANCHORARRAY($M$17)),performace_data!$B$3:$B$294,0),MATCH(TRIM(T$4),performace_data!$B$4:$AM$4,0)),"")</f>
        <v/>
      </c>
      <c r="U17" s="112" t="str" cm="1">
        <f t="array" ref="U17:U19">IFERROR(INDEX(performace_data!$B$3:$AN$293,MATCH(TRIM(_xlfn.ANCHORARRAY($M$17)),performace_data!$B$3:$B$294,0),MATCH(TRIM(U$4),performace_data!$B$4:$AM$4,0)),"")</f>
        <v/>
      </c>
      <c r="X17" s="151" t="str" cm="1">
        <f t="array" ref="X17:X19">IF($A$17:$A$19&gt;0,$A$17:$A$19,"")</f>
        <v>Mid/Small cap</v>
      </c>
      <c r="Y17" s="167" t="str" cm="1">
        <f t="array" ref="Y17:Y19">_xlfn.IFNA(INDEX(performace_data!$B$4:$AN$294,MATCH(_xlfn.ANCHORARRAY($X$17),performace_data!$B$4:$B$294,0),MATCH(Y$4,performace_data!$B$4:$AM$4,0)),"")</f>
        <v/>
      </c>
      <c r="Z17" s="167" t="str" cm="1">
        <f t="array" ref="Z17:Z19">_xlfn.IFNA(INDEX(performace_data!$B$4:$AN$294,MATCH(_xlfn.ANCHORARRAY($X$17),performace_data!$B$4:$B$294,0),MATCH(Z$4,performace_data!$B$4:$AM$4,0)),"")</f>
        <v/>
      </c>
      <c r="AA17" s="167" t="str" cm="1">
        <f t="array" ref="AA17:AA19">_xlfn.IFNA(INDEX(performace_data!$B$4:$AN$294,MATCH(_xlfn.ANCHORARRAY($X$17),performace_data!$B$4:$B$294,0),MATCH(AA$4,performace_data!$B$4:$AM$4,0)),"")</f>
        <v/>
      </c>
      <c r="AB17" s="167" t="str" cm="1">
        <f t="array" ref="AB17:AB19">_xlfn.IFNA(INDEX(performace_data!$B$4:$AN$294,MATCH(_xlfn.ANCHORARRAY($X$17),performace_data!$B$4:$B$294,0),MATCH(AB$4,performace_data!$B$4:$AM$4,0)),"")</f>
        <v/>
      </c>
      <c r="AC17" s="167" t="str" cm="1">
        <f t="array" ref="AC17:AC19">_xlfn.IFNA(INDEX(performace_data!$B$4:$AN$294,MATCH(_xlfn.ANCHORARRAY($X$17),performace_data!$B$4:$B$294,0),MATCH(AC$4,performace_data!$B$4:$AM$4,0)),"")</f>
        <v/>
      </c>
      <c r="AD17" s="167" t="str" cm="1">
        <f t="array" ref="AD17:AD19">_xlfn.IFNA(INDEX(performace_data!$B$4:$AN$294,MATCH(_xlfn.ANCHORARRAY($X$17),performace_data!$B$4:$B$294,0),MATCH(AD$4,performace_data!$B$4:$AM$4,0)),"")</f>
        <v/>
      </c>
      <c r="AE17" s="167" t="str" cm="1">
        <f t="array" ref="AE17:AE19">_xlfn.IFNA(INDEX(performace_data!$B$4:$AN$294,MATCH(_xlfn.ANCHORARRAY($X$17),performace_data!$B$4:$B$294,0),MATCH(AE$4,performace_data!$B$4:$AM$4,0)),"")</f>
        <v/>
      </c>
      <c r="AF17" s="112" t="str" cm="1">
        <f t="array" ref="AF17:AF19">_xlfn.IFNA(INDEX(performace_data!$B$4:$AN$294,MATCH(_xlfn.ANCHORARRAY($X$17),performace_data!$B$4:$B$294,0),MATCH(AF$4,performace_data!$B$4:$AM$4,0)),"")</f>
        <v/>
      </c>
    </row>
    <row r="18" spans="1:32">
      <c r="A18" s="168" t="str" cm="1">
        <f t="array" ref="A18">_xlfn._xlws.FILTER('Selector Sheet '!$B$24:$B$26,'Selector Sheet '!$A$24:$A$26=TRUE,"No funds selected")</f>
        <v>No funds selected</v>
      </c>
      <c r="B18" s="174" t="str">
        <v/>
      </c>
      <c r="C18" s="175" t="str">
        <v/>
      </c>
      <c r="D18" s="176" t="str">
        <v/>
      </c>
      <c r="E18" s="176" t="str">
        <v/>
      </c>
      <c r="F18" s="174" t="str">
        <v/>
      </c>
      <c r="H18" s="178" t="str">
        <v/>
      </c>
      <c r="I18" s="220" t="str">
        <v/>
      </c>
      <c r="J18" s="178" t="str">
        <v/>
      </c>
      <c r="K18" s="221" t="str">
        <v/>
      </c>
      <c r="M18" s="224" t="str">
        <v>No funds selected</v>
      </c>
      <c r="N18" s="72" t="str">
        <v/>
      </c>
      <c r="O18" s="176" t="str">
        <v/>
      </c>
      <c r="P18" s="176" t="str">
        <v/>
      </c>
      <c r="Q18" s="176" t="str">
        <v/>
      </c>
      <c r="R18" s="176" t="str">
        <v/>
      </c>
      <c r="S18" s="176" t="str">
        <v/>
      </c>
      <c r="T18" s="176" t="str">
        <v/>
      </c>
      <c r="U18" s="174" t="str">
        <v/>
      </c>
      <c r="X18" s="224" t="str">
        <v>No funds selected</v>
      </c>
      <c r="Y18" s="176" t="str">
        <v/>
      </c>
      <c r="Z18" s="176" t="str">
        <v/>
      </c>
      <c r="AA18" s="176" t="str">
        <v/>
      </c>
      <c r="AB18" s="176" t="str">
        <v/>
      </c>
      <c r="AC18" s="176" t="str">
        <v/>
      </c>
      <c r="AD18" s="176" t="str">
        <v/>
      </c>
      <c r="AE18" s="176" t="str">
        <v/>
      </c>
      <c r="AF18" s="174" t="str">
        <v/>
      </c>
    </row>
    <row r="19" ht="14.55" spans="1:32">
      <c r="A19" s="168"/>
      <c r="B19" s="174" t="str">
        <v/>
      </c>
      <c r="C19" s="175" t="str">
        <v/>
      </c>
      <c r="D19" s="176" t="str">
        <v/>
      </c>
      <c r="E19" s="176" t="str">
        <v/>
      </c>
      <c r="F19" s="174" t="str">
        <v/>
      </c>
      <c r="H19" s="177" t="str">
        <v/>
      </c>
      <c r="I19" s="215" t="str">
        <v/>
      </c>
      <c r="J19" s="177" t="str">
        <v/>
      </c>
      <c r="K19" s="216" t="str">
        <v/>
      </c>
      <c r="M19" s="224" t="str">
        <v/>
      </c>
      <c r="N19" s="72" t="str">
        <v/>
      </c>
      <c r="O19" s="176" t="str">
        <v/>
      </c>
      <c r="P19" s="176" t="str">
        <v/>
      </c>
      <c r="Q19" s="176" t="str">
        <v/>
      </c>
      <c r="R19" s="176" t="str">
        <v/>
      </c>
      <c r="S19" s="176" t="str">
        <v/>
      </c>
      <c r="T19" s="176" t="str">
        <v/>
      </c>
      <c r="U19" s="174" t="str">
        <v/>
      </c>
      <c r="X19" s="224" t="str">
        <v/>
      </c>
      <c r="Y19" s="176" t="str">
        <v/>
      </c>
      <c r="Z19" s="176" t="str">
        <v/>
      </c>
      <c r="AA19" s="176" t="str">
        <v/>
      </c>
      <c r="AB19" s="176" t="str">
        <v/>
      </c>
      <c r="AC19" s="176" t="str">
        <v/>
      </c>
      <c r="AD19" s="176" t="str">
        <v/>
      </c>
      <c r="AE19" s="176" t="str">
        <v/>
      </c>
      <c r="AF19" s="174" t="str">
        <v/>
      </c>
    </row>
    <row r="20" ht="14.55" spans="1:32">
      <c r="A20" s="111" t="s">
        <v>780</v>
      </c>
      <c r="B20" s="112" t="str">
        <v/>
      </c>
      <c r="C20" s="111" t="str">
        <v/>
      </c>
      <c r="D20" s="167" t="str">
        <v/>
      </c>
      <c r="E20" s="167" t="str">
        <v/>
      </c>
      <c r="F20" s="112" t="str">
        <v/>
      </c>
      <c r="H20" s="111" t="str">
        <v/>
      </c>
      <c r="I20" s="112" t="str">
        <v/>
      </c>
      <c r="J20" s="111" t="str">
        <v/>
      </c>
      <c r="K20" s="112" t="str">
        <v/>
      </c>
      <c r="M20" s="217" t="s">
        <v>300</v>
      </c>
      <c r="N20" s="218"/>
      <c r="O20" s="219">
        <f>IFERROR(INDEX(performace_data!$B$3:$AN$293,MATCH(TRIM($M$20),performace_data!$B$3:$B$294,0),MATCH(TRIM(O$4),performace_data!$B$4:$AM$4,0)),"")</f>
        <v>-0.028531</v>
      </c>
      <c r="P20" s="219">
        <f>IFERROR(INDEX(performace_data!$B$3:$AN$293,MATCH(TRIM($M$20),performace_data!$B$3:$B$294,0),MATCH(TRIM(P$4),performace_data!$B$4:$AM$4,0)),"")</f>
        <v>0.074882</v>
      </c>
      <c r="Q20" s="219">
        <f>IFERROR(INDEX(performace_data!$B$3:$AN$293,MATCH(TRIM($M$20),performace_data!$B$3:$B$294,0),MATCH(TRIM(Q$4),performace_data!$B$4:$AM$4,0)),"")</f>
        <v>0.076085</v>
      </c>
      <c r="R20" s="219">
        <f>IFERROR(INDEX(performace_data!$B$3:$AN$293,MATCH(TRIM($M$20),performace_data!$B$3:$B$294,0),MATCH(TRIM(R$4),performace_data!$B$4:$AM$4,0)),"")</f>
        <v>-0.022856</v>
      </c>
      <c r="S20" s="219">
        <f>IFERROR(INDEX(performace_data!$B$3:$AN$293,MATCH(TRIM($M$20),performace_data!$B$3:$B$294,0),MATCH(TRIM(S$4),performace_data!$B$4:$AM$4,0)),"")</f>
        <v>0.239604</v>
      </c>
      <c r="T20" s="219">
        <f>IFERROR(INDEX(performace_data!$B$3:$AN$293,MATCH(TRIM($M$20),performace_data!$B$3:$B$294,0),MATCH(TRIM(T$4),performace_data!$B$4:$AM$4,0)),"")</f>
        <v>0.294748</v>
      </c>
      <c r="U20" s="242" t="str">
        <f>IFERROR(INDEX(performace_data!$B$3:$AN$293,MATCH(TRIM($M$20),performace_data!$B$3:$B$294,0),MATCH(TRIM(U$4),performace_data!$B$4:$AM$4,0)),"")</f>
        <v>NA</v>
      </c>
      <c r="X20" s="217" t="s">
        <v>300</v>
      </c>
      <c r="Y20" s="274">
        <f>_xlfn.IFNA(INDEX(performace_data!$B$4:$AN$294,MATCH($X$20,performace_data!$B$4:$B$294,0),MATCH(Y$4,performace_data!$B$4:$AM$4,0)),"")</f>
        <v>0.010411</v>
      </c>
      <c r="Z20" s="219">
        <f>_xlfn.IFNA(INDEX(performace_data!$B$4:$AN$294,MATCH($X$20,performace_data!$B$4:$B$294,0),MATCH(Z$4,performace_data!$B$4:$AM$4,0)),"")</f>
        <v>0.237988996928627</v>
      </c>
      <c r="AA20" s="219">
        <f>_xlfn.IFNA(INDEX(performace_data!$B$4:$AN$294,MATCH($X$20,performace_data!$B$4:$B$294,0),MATCH(AA$4,performace_data!$B$4:$AM$4,0)),"")</f>
        <v>0.436766716446164</v>
      </c>
      <c r="AB20" s="219">
        <f>_xlfn.IFNA(INDEX(performace_data!$B$4:$AN$294,MATCH($X$20,performace_data!$B$4:$B$294,0),MATCH(AB$4,performace_data!$B$4:$AM$4,0)),"")</f>
        <v>0.0296442602145788</v>
      </c>
      <c r="AC20" s="219">
        <f>_xlfn.IFNA(INDEX(performace_data!$B$4:$AN$294,MATCH($X$20,performace_data!$B$4:$B$294,0),MATCH(AC$4,performace_data!$B$4:$AM$4,0)),"")</f>
        <v>0.468103371529588</v>
      </c>
      <c r="AD20" s="219">
        <f>_xlfn.IFNA(INDEX(performace_data!$B$4:$AN$294,MATCH($X$20,performace_data!$B$4:$B$294,0),MATCH(AD$4,performace_data!$B$4:$AM$4,0)),"")</f>
        <v>0.243814856998228</v>
      </c>
      <c r="AE20" s="219">
        <f>_xlfn.IFNA(INDEX(performace_data!$B$4:$AN$294,MATCH($X$20,performace_data!$B$4:$B$294,0),MATCH(AE$4,performace_data!$B$4:$AM$4,0)),"")</f>
        <v>-0.00279210638398558</v>
      </c>
      <c r="AF20" s="242">
        <f>_xlfn.IFNA(INDEX(performace_data!$B$4:$AN$294,MATCH($X$20,performace_data!$B$4:$B$294,0),MATCH(AF$4,performace_data!$B$4:$AM$4,0)),"")</f>
        <v>-0.133283931442572</v>
      </c>
    </row>
    <row r="21" ht="14.55" spans="1:32">
      <c r="A21" s="168" t="str" cm="1">
        <f t="array" ref="A21">_xlfn._xlws.FILTER('Selector Sheet '!$B$27:$B$36,'Selector Sheet '!$A$27:$A$36=TRUE,"No funds selected")</f>
        <v>No funds selected</v>
      </c>
      <c r="B21" s="174" t="str">
        <v/>
      </c>
      <c r="C21" s="175" t="str">
        <v/>
      </c>
      <c r="D21" s="176" t="str">
        <v/>
      </c>
      <c r="E21" s="176" t="str">
        <v/>
      </c>
      <c r="F21" s="174" t="str">
        <v/>
      </c>
      <c r="H21" s="178" t="str">
        <v/>
      </c>
      <c r="I21" s="220" t="str">
        <v/>
      </c>
      <c r="J21" s="178" t="str">
        <v/>
      </c>
      <c r="K21" s="221" t="str">
        <v/>
      </c>
      <c r="M21" s="151" t="str" cm="1">
        <f t="array" ref="M21:M30">IF($A$20:$A$29&gt;0,$A$20:$A$29,"")</f>
        <v>Multicap</v>
      </c>
      <c r="N21" s="167" t="str" cm="1">
        <f t="array" ref="N21:N30">IFERROR(INDEX(performace_data!$B$3:$AN$293,MATCH(TRIM(_xlfn.ANCHORARRAY($M$21)),performace_data!$B$3:$B$294,0),MATCH(TRIM(N$4),performace_data!$B$4:$AM$4,0)),"")</f>
        <v/>
      </c>
      <c r="O21" s="167" t="str" cm="1">
        <f t="array" ref="O21:O30">IFERROR(INDEX(performace_data!$B$3:$AN$293,MATCH(TRIM(_xlfn.ANCHORARRAY($M$21)),performace_data!$B$3:$B$294,0),MATCH(TRIM(O$4),performace_data!$B$4:$AM$4,0)),"")</f>
        <v/>
      </c>
      <c r="P21" s="167" t="str" cm="1">
        <f t="array" ref="P21:P30">IFERROR(INDEX(performace_data!$B$3:$AN$293,MATCH(TRIM(_xlfn.ANCHORARRAY($M$21)),performace_data!$B$3:$B$294,0),MATCH(TRIM(P$4),performace_data!$B$4:$AM$4,0)),"")</f>
        <v/>
      </c>
      <c r="Q21" s="167" t="str" cm="1">
        <f t="array" ref="Q21:Q30">IFERROR(INDEX(performace_data!$B$3:$AN$293,MATCH(TRIM(_xlfn.ANCHORARRAY($M$21)),performace_data!$B$3:$B$294,0),MATCH(TRIM(Q$4),performace_data!$B$4:$AM$4,0)),"")</f>
        <v/>
      </c>
      <c r="R21" s="167" t="str" cm="1">
        <f t="array" ref="R21:R30">IFERROR(INDEX(performace_data!$B$3:$AN$293,MATCH(TRIM(_xlfn.ANCHORARRAY($M$21)),performace_data!$B$3:$B$294,0),MATCH(TRIM(R$4),performace_data!$B$4:$AM$4,0)),"")</f>
        <v/>
      </c>
      <c r="S21" s="167" t="str" cm="1">
        <f t="array" ref="S21:S30">IFERROR(INDEX(performace_data!$B$3:$AN$293,MATCH(TRIM(_xlfn.ANCHORARRAY($M$21)),performace_data!$B$3:$B$294,0),MATCH(TRIM(S$4),performace_data!$B$4:$AM$4,0)),"")</f>
        <v/>
      </c>
      <c r="T21" s="167" t="str" cm="1">
        <f t="array" ref="T21:T30">IFERROR(INDEX(performace_data!$B$3:$AN$293,MATCH(TRIM(_xlfn.ANCHORARRAY($M$21)),performace_data!$B$3:$B$294,0),MATCH(TRIM(T$4),performace_data!$B$4:$AM$4,0)),"")</f>
        <v/>
      </c>
      <c r="U21" s="112" t="str" cm="1">
        <f t="array" ref="U21:U30">IFERROR(INDEX(performace_data!$B$3:$AN$293,MATCH(TRIM(_xlfn.ANCHORARRAY($M$21)),performace_data!$B$3:$B$294,0),MATCH(TRIM(U$4),performace_data!$B$4:$AM$4,0)),"")</f>
        <v/>
      </c>
      <c r="X21" s="151" t="str" cm="1">
        <f t="array" ref="X21:X30">IF($A$20:$A$29&gt;0,$A$20:$A$29,"")</f>
        <v>Multicap</v>
      </c>
      <c r="Y21" s="167" t="str" cm="1">
        <f t="array" ref="Y21:Y30">_xlfn.IFNA(INDEX(performace_data!$B$4:$AN$294,MATCH(_xlfn.ANCHORARRAY($X$21),performace_data!$B$4:$B$294,0),MATCH(Y$4,performace_data!$B$4:$AM$4,0)),"")</f>
        <v/>
      </c>
      <c r="Z21" s="167" t="str" cm="1">
        <f t="array" ref="Z21:Z30">_xlfn.IFNA(INDEX(performace_data!$B$4:$AN$294,MATCH(_xlfn.ANCHORARRAY($X$21),performace_data!$B$4:$B$294,0),MATCH(Z$4,performace_data!$B$4:$AM$4,0)),"")</f>
        <v/>
      </c>
      <c r="AA21" s="167" t="str" cm="1">
        <f t="array" ref="AA21:AA30">_xlfn.IFNA(INDEX(performace_data!$B$4:$AN$294,MATCH(_xlfn.ANCHORARRAY($X$21),performace_data!$B$4:$B$294,0),MATCH(AA$4,performace_data!$B$4:$AM$4,0)),"")</f>
        <v/>
      </c>
      <c r="AB21" s="167" t="str" cm="1">
        <f t="array" ref="AB21:AB30">_xlfn.IFNA(INDEX(performace_data!$B$4:$AN$294,MATCH(_xlfn.ANCHORARRAY($X$21),performace_data!$B$4:$B$294,0),MATCH(AB$4,performace_data!$B$4:$AM$4,0)),"")</f>
        <v/>
      </c>
      <c r="AC21" s="167" t="str" cm="1">
        <f t="array" ref="AC21:AC30">_xlfn.IFNA(INDEX(performace_data!$B$4:$AN$294,MATCH(_xlfn.ANCHORARRAY($X$21),performace_data!$B$4:$B$294,0),MATCH(AC$4,performace_data!$B$4:$AM$4,0)),"")</f>
        <v/>
      </c>
      <c r="AD21" s="167" t="str" cm="1">
        <f t="array" ref="AD21:AD30">_xlfn.IFNA(INDEX(performace_data!$B$4:$AN$294,MATCH(_xlfn.ANCHORARRAY($X$21),performace_data!$B$4:$B$294,0),MATCH(AD$4,performace_data!$B$4:$AM$4,0)),"")</f>
        <v/>
      </c>
      <c r="AE21" s="167" t="str" cm="1">
        <f t="array" ref="AE21:AE30">_xlfn.IFNA(INDEX(performace_data!$B$4:$AN$294,MATCH(_xlfn.ANCHORARRAY($X$21),performace_data!$B$4:$B$294,0),MATCH(AE$4,performace_data!$B$4:$AM$4,0)),"")</f>
        <v/>
      </c>
      <c r="AF21" s="112" t="str" cm="1">
        <f t="array" ref="AF21:AF30">_xlfn.IFNA(INDEX(performace_data!$B$4:$AN$294,MATCH(_xlfn.ANCHORARRAY($X$21),performace_data!$B$4:$B$294,0),MATCH(AF$4,performace_data!$B$4:$AM$4,0)),"")</f>
        <v/>
      </c>
    </row>
    <row r="22" spans="1:32">
      <c r="A22" s="168"/>
      <c r="B22" s="174" t="str">
        <v/>
      </c>
      <c r="C22" s="175" t="str">
        <v/>
      </c>
      <c r="D22" s="176" t="str">
        <v/>
      </c>
      <c r="E22" s="176" t="str">
        <v/>
      </c>
      <c r="F22" s="174" t="str">
        <v/>
      </c>
      <c r="H22" s="179" t="str">
        <v/>
      </c>
      <c r="I22" s="222" t="str">
        <v/>
      </c>
      <c r="J22" s="179" t="str">
        <v/>
      </c>
      <c r="K22" s="223" t="str">
        <v/>
      </c>
      <c r="M22" s="224" t="str">
        <v>No funds selected</v>
      </c>
      <c r="N22" s="225" t="str">
        <v/>
      </c>
      <c r="O22" s="176" t="str">
        <v/>
      </c>
      <c r="P22" s="176" t="str">
        <v/>
      </c>
      <c r="Q22" s="176" t="str">
        <v/>
      </c>
      <c r="R22" s="176" t="str">
        <v/>
      </c>
      <c r="S22" s="176" t="str">
        <v/>
      </c>
      <c r="T22" s="176" t="str">
        <v/>
      </c>
      <c r="U22" s="174" t="str">
        <v/>
      </c>
      <c r="X22" s="224" t="str">
        <v>No funds selected</v>
      </c>
      <c r="Y22" s="176" t="str">
        <v/>
      </c>
      <c r="Z22" s="176" t="str">
        <v/>
      </c>
      <c r="AA22" s="176" t="str">
        <v/>
      </c>
      <c r="AB22" s="176" t="str">
        <v/>
      </c>
      <c r="AC22" s="176" t="str">
        <v/>
      </c>
      <c r="AD22" s="176" t="str">
        <v/>
      </c>
      <c r="AE22" s="176" t="str">
        <v/>
      </c>
      <c r="AF22" s="174" t="str">
        <v/>
      </c>
    </row>
    <row r="23" spans="1:32">
      <c r="A23" s="168"/>
      <c r="B23" s="174" t="str">
        <v/>
      </c>
      <c r="C23" s="175" t="str">
        <v/>
      </c>
      <c r="D23" s="176" t="str">
        <v/>
      </c>
      <c r="E23" s="176" t="str">
        <v/>
      </c>
      <c r="F23" s="174" t="str">
        <v/>
      </c>
      <c r="H23" s="179" t="str">
        <v/>
      </c>
      <c r="I23" s="222" t="str">
        <v/>
      </c>
      <c r="J23" s="179" t="str">
        <v/>
      </c>
      <c r="K23" s="223" t="str">
        <v/>
      </c>
      <c r="M23" s="224" t="str">
        <v/>
      </c>
      <c r="N23" s="72" t="str">
        <v/>
      </c>
      <c r="O23" s="176" t="str">
        <v/>
      </c>
      <c r="P23" s="176" t="str">
        <v/>
      </c>
      <c r="Q23" s="176" t="str">
        <v/>
      </c>
      <c r="R23" s="176" t="str">
        <v/>
      </c>
      <c r="S23" s="176" t="str">
        <v/>
      </c>
      <c r="T23" s="176" t="str">
        <v/>
      </c>
      <c r="U23" s="174" t="str">
        <v/>
      </c>
      <c r="X23" s="224" t="str">
        <v/>
      </c>
      <c r="Y23" s="176" t="str">
        <v/>
      </c>
      <c r="Z23" s="176" t="str">
        <v/>
      </c>
      <c r="AA23" s="176" t="str">
        <v/>
      </c>
      <c r="AB23" s="176" t="str">
        <v/>
      </c>
      <c r="AC23" s="176" t="str">
        <v/>
      </c>
      <c r="AD23" s="53" t="str">
        <v/>
      </c>
      <c r="AE23" s="176" t="str">
        <v/>
      </c>
      <c r="AF23" s="174" t="str">
        <v/>
      </c>
    </row>
    <row r="24" spans="1:32">
      <c r="A24" s="168"/>
      <c r="B24" s="174" t="str">
        <v/>
      </c>
      <c r="C24" s="175" t="str">
        <v/>
      </c>
      <c r="D24" s="176" t="str">
        <v/>
      </c>
      <c r="E24" s="176" t="str">
        <v/>
      </c>
      <c r="F24" s="174" t="str">
        <v/>
      </c>
      <c r="H24" s="179" t="str">
        <v/>
      </c>
      <c r="I24" s="222" t="str">
        <v/>
      </c>
      <c r="J24" s="179" t="str">
        <v/>
      </c>
      <c r="K24" s="223" t="str">
        <v/>
      </c>
      <c r="M24" s="224" t="str">
        <v/>
      </c>
      <c r="N24" s="72" t="str">
        <v/>
      </c>
      <c r="O24" s="176" t="str">
        <v/>
      </c>
      <c r="P24" s="176" t="str">
        <v/>
      </c>
      <c r="Q24" s="176" t="str">
        <v/>
      </c>
      <c r="R24" s="176" t="str">
        <v/>
      </c>
      <c r="S24" s="176" t="str">
        <v/>
      </c>
      <c r="T24" s="176" t="str">
        <v/>
      </c>
      <c r="U24" s="174" t="str">
        <v/>
      </c>
      <c r="X24" s="224" t="str">
        <v/>
      </c>
      <c r="Y24" s="176" t="str">
        <v/>
      </c>
      <c r="Z24" s="176" t="str">
        <v/>
      </c>
      <c r="AA24" s="176" t="str">
        <v/>
      </c>
      <c r="AB24" s="176" t="str">
        <v/>
      </c>
      <c r="AC24" s="176" t="str">
        <v/>
      </c>
      <c r="AD24" s="176" t="str">
        <v/>
      </c>
      <c r="AE24" s="176" t="str">
        <v/>
      </c>
      <c r="AF24" s="174" t="str">
        <v/>
      </c>
    </row>
    <row r="25" spans="1:32">
      <c r="A25" s="168"/>
      <c r="B25" s="174" t="str">
        <v/>
      </c>
      <c r="C25" s="175" t="str">
        <v/>
      </c>
      <c r="D25" s="176" t="str">
        <v/>
      </c>
      <c r="E25" s="176" t="str">
        <v/>
      </c>
      <c r="F25" s="174" t="str">
        <v/>
      </c>
      <c r="H25" s="179" t="str">
        <v/>
      </c>
      <c r="I25" s="222" t="str">
        <v/>
      </c>
      <c r="J25" s="179" t="str">
        <v/>
      </c>
      <c r="K25" s="223" t="str">
        <v/>
      </c>
      <c r="M25" s="224" t="str">
        <v/>
      </c>
      <c r="N25" s="72" t="str">
        <v/>
      </c>
      <c r="O25" s="176" t="str">
        <v/>
      </c>
      <c r="P25" s="176" t="str">
        <v/>
      </c>
      <c r="Q25" s="176" t="str">
        <v/>
      </c>
      <c r="R25" s="176" t="str">
        <v/>
      </c>
      <c r="S25" s="176" t="str">
        <v/>
      </c>
      <c r="T25" s="176" t="str">
        <v/>
      </c>
      <c r="U25" s="174" t="str">
        <v/>
      </c>
      <c r="X25" s="224" t="str">
        <v/>
      </c>
      <c r="Y25" s="176" t="str">
        <v/>
      </c>
      <c r="Z25" s="176" t="str">
        <v/>
      </c>
      <c r="AA25" s="176" t="str">
        <v/>
      </c>
      <c r="AB25" s="176" t="str">
        <v/>
      </c>
      <c r="AC25" s="176" t="str">
        <v/>
      </c>
      <c r="AD25" s="176" t="str">
        <v/>
      </c>
      <c r="AE25" s="176" t="str">
        <v/>
      </c>
      <c r="AF25" s="174" t="str">
        <v/>
      </c>
    </row>
    <row r="26" spans="1:32">
      <c r="A26" s="168"/>
      <c r="B26" s="174" t="str">
        <v/>
      </c>
      <c r="C26" s="175" t="str">
        <v/>
      </c>
      <c r="D26" s="176" t="str">
        <v/>
      </c>
      <c r="E26" s="176" t="str">
        <v/>
      </c>
      <c r="F26" s="174" t="str">
        <v/>
      </c>
      <c r="H26" s="179" t="str">
        <v/>
      </c>
      <c r="I26" s="222" t="str">
        <v/>
      </c>
      <c r="J26" s="179" t="str">
        <v/>
      </c>
      <c r="K26" s="223" t="str">
        <v/>
      </c>
      <c r="M26" s="224" t="str">
        <v/>
      </c>
      <c r="N26" s="72" t="str">
        <v/>
      </c>
      <c r="O26" s="176" t="str">
        <v/>
      </c>
      <c r="P26" s="176" t="str">
        <v/>
      </c>
      <c r="Q26" s="176" t="str">
        <v/>
      </c>
      <c r="R26" s="176" t="str">
        <v/>
      </c>
      <c r="S26" s="176" t="str">
        <v/>
      </c>
      <c r="T26" s="176" t="str">
        <v/>
      </c>
      <c r="U26" s="174" t="str">
        <v/>
      </c>
      <c r="X26" s="224" t="str">
        <v/>
      </c>
      <c r="Y26" s="176" t="str">
        <v/>
      </c>
      <c r="Z26" s="176" t="str">
        <v/>
      </c>
      <c r="AA26" s="176" t="str">
        <v/>
      </c>
      <c r="AB26" s="176" t="str">
        <v/>
      </c>
      <c r="AC26" s="176" t="str">
        <v/>
      </c>
      <c r="AD26" s="176" t="str">
        <v/>
      </c>
      <c r="AE26" s="176" t="str">
        <v/>
      </c>
      <c r="AF26" s="174" t="str">
        <v/>
      </c>
    </row>
    <row r="27" spans="1:32">
      <c r="A27" s="168"/>
      <c r="B27" s="174" t="str">
        <v/>
      </c>
      <c r="C27" s="175" t="str">
        <v/>
      </c>
      <c r="D27" s="176" t="str">
        <v/>
      </c>
      <c r="E27" s="176" t="str">
        <v/>
      </c>
      <c r="F27" s="174" t="str">
        <v/>
      </c>
      <c r="H27" s="179" t="str">
        <v/>
      </c>
      <c r="I27" s="222" t="str">
        <v/>
      </c>
      <c r="J27" s="179" t="str">
        <v/>
      </c>
      <c r="K27" s="223" t="str">
        <v/>
      </c>
      <c r="M27" s="224" t="str">
        <v/>
      </c>
      <c r="N27" s="72" t="str">
        <v/>
      </c>
      <c r="O27" s="176" t="str">
        <v/>
      </c>
      <c r="P27" s="176" t="str">
        <v/>
      </c>
      <c r="Q27" s="176" t="str">
        <v/>
      </c>
      <c r="R27" s="176" t="str">
        <v/>
      </c>
      <c r="S27" s="176" t="str">
        <v/>
      </c>
      <c r="T27" s="176" t="str">
        <v/>
      </c>
      <c r="U27" s="174" t="str">
        <v/>
      </c>
      <c r="X27" s="224" t="str">
        <v/>
      </c>
      <c r="Y27" s="176" t="str">
        <v/>
      </c>
      <c r="Z27" s="176" t="str">
        <v/>
      </c>
      <c r="AA27" s="176" t="str">
        <v/>
      </c>
      <c r="AB27" s="176" t="str">
        <v/>
      </c>
      <c r="AC27" s="176" t="str">
        <v/>
      </c>
      <c r="AD27" s="176" t="str">
        <v/>
      </c>
      <c r="AE27" s="176" t="str">
        <v/>
      </c>
      <c r="AF27" s="174" t="str">
        <v/>
      </c>
    </row>
    <row r="28" spans="1:32">
      <c r="A28" s="168"/>
      <c r="B28" s="174" t="str">
        <v/>
      </c>
      <c r="C28" s="175" t="str">
        <v/>
      </c>
      <c r="D28" s="176" t="str">
        <v/>
      </c>
      <c r="E28" s="176" t="str">
        <v/>
      </c>
      <c r="F28" s="174" t="str">
        <v/>
      </c>
      <c r="H28" s="179" t="str">
        <v/>
      </c>
      <c r="I28" s="222" t="str">
        <v/>
      </c>
      <c r="J28" s="179" t="str">
        <v/>
      </c>
      <c r="K28" s="223" t="str">
        <v/>
      </c>
      <c r="M28" s="224" t="str">
        <v/>
      </c>
      <c r="N28" s="72" t="str">
        <v/>
      </c>
      <c r="O28" s="176" t="str">
        <v/>
      </c>
      <c r="P28" s="176" t="str">
        <v/>
      </c>
      <c r="Q28" s="176" t="str">
        <v/>
      </c>
      <c r="R28" s="176" t="str">
        <v/>
      </c>
      <c r="S28" s="176" t="str">
        <v/>
      </c>
      <c r="T28" s="176" t="str">
        <v/>
      </c>
      <c r="U28" s="174" t="str">
        <v/>
      </c>
      <c r="X28" s="224" t="str">
        <v/>
      </c>
      <c r="Y28" s="176" t="str">
        <v/>
      </c>
      <c r="Z28" s="176" t="str">
        <v/>
      </c>
      <c r="AA28" s="176" t="str">
        <v/>
      </c>
      <c r="AB28" s="176" t="str">
        <v/>
      </c>
      <c r="AC28" s="176" t="str">
        <v/>
      </c>
      <c r="AD28" s="176" t="str">
        <v/>
      </c>
      <c r="AE28" s="176" t="str">
        <v/>
      </c>
      <c r="AF28" s="174" t="str">
        <v/>
      </c>
    </row>
    <row r="29" spans="1:32">
      <c r="A29" s="168"/>
      <c r="B29" s="174" t="str">
        <v/>
      </c>
      <c r="C29" s="175" t="str">
        <v/>
      </c>
      <c r="D29" s="176" t="str">
        <v/>
      </c>
      <c r="E29" s="176" t="str">
        <v/>
      </c>
      <c r="F29" s="174" t="str">
        <v/>
      </c>
      <c r="H29" s="179" t="str">
        <v/>
      </c>
      <c r="I29" s="222" t="str">
        <v/>
      </c>
      <c r="J29" s="179" t="str">
        <v/>
      </c>
      <c r="K29" s="223" t="str">
        <v/>
      </c>
      <c r="M29" s="224" t="str">
        <v/>
      </c>
      <c r="N29" s="72" t="str">
        <v/>
      </c>
      <c r="O29" s="176" t="str">
        <v/>
      </c>
      <c r="P29" s="176" t="str">
        <v/>
      </c>
      <c r="Q29" s="176" t="str">
        <v/>
      </c>
      <c r="R29" s="176" t="str">
        <v/>
      </c>
      <c r="S29" s="176" t="str">
        <v/>
      </c>
      <c r="T29" s="176" t="str">
        <v/>
      </c>
      <c r="U29" s="174" t="str">
        <v/>
      </c>
      <c r="X29" s="224" t="str">
        <v/>
      </c>
      <c r="Y29" s="176" t="str">
        <v/>
      </c>
      <c r="Z29" s="176" t="str">
        <v/>
      </c>
      <c r="AA29" s="176" t="str">
        <v/>
      </c>
      <c r="AB29" s="176" t="str">
        <v/>
      </c>
      <c r="AC29" s="176" t="str">
        <v/>
      </c>
      <c r="AD29" s="176" t="str">
        <v/>
      </c>
      <c r="AE29" s="176" t="str">
        <v/>
      </c>
      <c r="AF29" s="174" t="str">
        <v/>
      </c>
    </row>
    <row r="30" ht="14.55" spans="1:32">
      <c r="A30" s="168"/>
      <c r="B30" s="174" t="str">
        <v/>
      </c>
      <c r="C30" s="175" t="str">
        <v/>
      </c>
      <c r="D30" s="176" t="str">
        <v/>
      </c>
      <c r="E30" s="176" t="str">
        <v/>
      </c>
      <c r="F30" s="174" t="str">
        <v/>
      </c>
      <c r="H30" s="177" t="str">
        <v/>
      </c>
      <c r="I30" s="215" t="str">
        <v/>
      </c>
      <c r="J30" s="177" t="str">
        <v/>
      </c>
      <c r="K30" s="216" t="str">
        <v/>
      </c>
      <c r="M30" s="224" t="str">
        <v/>
      </c>
      <c r="N30" s="72" t="str">
        <v/>
      </c>
      <c r="O30" s="176" t="str">
        <v/>
      </c>
      <c r="P30" s="176" t="str">
        <v/>
      </c>
      <c r="Q30" s="176" t="str">
        <v/>
      </c>
      <c r="R30" s="176" t="str">
        <v/>
      </c>
      <c r="S30" s="176" t="str">
        <v/>
      </c>
      <c r="T30" s="176" t="str">
        <v/>
      </c>
      <c r="U30" s="174" t="str">
        <v/>
      </c>
      <c r="X30" s="224" t="str">
        <v/>
      </c>
      <c r="Y30" s="176" t="str">
        <v/>
      </c>
      <c r="Z30" s="176" t="str">
        <v/>
      </c>
      <c r="AA30" s="176" t="str">
        <v/>
      </c>
      <c r="AB30" s="176" t="str">
        <v/>
      </c>
      <c r="AC30" s="176" t="str">
        <v/>
      </c>
      <c r="AD30" s="176" t="str">
        <v/>
      </c>
      <c r="AE30" s="176" t="str">
        <v/>
      </c>
      <c r="AF30" s="174" t="str">
        <v/>
      </c>
    </row>
    <row r="31" ht="14.55" spans="1:32">
      <c r="A31" s="180" t="s">
        <v>61</v>
      </c>
      <c r="B31" s="164" t="str">
        <v/>
      </c>
      <c r="C31" s="164" t="str">
        <v/>
      </c>
      <c r="D31" s="164" t="str">
        <v/>
      </c>
      <c r="E31" s="164" t="str">
        <v/>
      </c>
      <c r="F31" s="181" t="str">
        <v/>
      </c>
      <c r="H31" s="86" t="str">
        <v/>
      </c>
      <c r="I31" s="90" t="str">
        <v/>
      </c>
      <c r="J31" s="86" t="str">
        <v/>
      </c>
      <c r="K31" s="90" t="str">
        <v/>
      </c>
      <c r="M31" s="217" t="s">
        <v>234</v>
      </c>
      <c r="N31" s="218"/>
      <c r="O31" s="219">
        <f>IFERROR(INDEX(performace_data!$B$3:$AN$293,MATCH(TRIM($M$31),performace_data!$B$3:$B$294,0),MATCH(TRIM(O$4),performace_data!$B$4:$AM$4,0)),"")</f>
        <v>-0.028654</v>
      </c>
      <c r="P31" s="219">
        <f>IFERROR(INDEX(performace_data!$B$3:$AN$293,MATCH(TRIM($M$31),performace_data!$B$3:$B$294,0),MATCH(TRIM(P$4),performace_data!$B$4:$AM$4,0)),"")</f>
        <v>0.038723</v>
      </c>
      <c r="Q31" s="219">
        <f>IFERROR(INDEX(performace_data!$B$3:$AN$293,MATCH(TRIM($M$31),performace_data!$B$3:$B$294,0),MATCH(TRIM(Q$4),performace_data!$B$4:$AM$4,0)),"")</f>
        <v>0.05945</v>
      </c>
      <c r="R31" s="219">
        <f>IFERROR(INDEX(performace_data!$B$3:$AN$293,MATCH(TRIM($M$31),performace_data!$B$3:$B$294,0),MATCH(TRIM(R$4),performace_data!$B$4:$AM$4,0)),"")</f>
        <v>-0.032041</v>
      </c>
      <c r="S31" s="219">
        <f>IFERROR(INDEX(performace_data!$B$3:$AN$293,MATCH(TRIM($M$31),performace_data!$B$3:$B$294,0),MATCH(TRIM(S$4),performace_data!$B$4:$AM$4,0)),"")</f>
        <v>0.154431</v>
      </c>
      <c r="T31" s="219">
        <f>IFERROR(INDEX(performace_data!$B$3:$AN$293,MATCH(TRIM($M$31),performace_data!$B$3:$B$294,0),MATCH(TRIM(T$4),performace_data!$B$4:$AM$4,0)),"")</f>
        <v>0.201781</v>
      </c>
      <c r="U31" s="242">
        <f>IFERROR(INDEX(performace_data!$B$3:$AN$293,MATCH(TRIM($M$31),performace_data!$B$3:$B$294,0),MATCH(TRIM(U$4),performace_data!$B$4:$AM$4,0)),"")</f>
        <v>0.123351</v>
      </c>
      <c r="X31" s="217" t="s">
        <v>234</v>
      </c>
      <c r="Y31" s="274">
        <f>_xlfn.IFNA(INDEX(performace_data!$B$4:$AN$294,MATCH($X$31,performace_data!$B$4:$B$294,0),MATCH(Y$4,performace_data!$B$4:$AM$4,0)),"")</f>
        <v>0.022527</v>
      </c>
      <c r="Z31" s="219">
        <f>_xlfn.IFNA(INDEX(performace_data!$B$4:$AN$294,MATCH($X$31,performace_data!$B$4:$B$294,0),MATCH(Z$4,performace_data!$B$4:$AM$4,0)),"")</f>
        <v>0.145465796535709</v>
      </c>
      <c r="AA31" s="219">
        <f>_xlfn.IFNA(INDEX(performace_data!$B$4:$AN$294,MATCH($X$31,performace_data!$B$4:$B$294,0),MATCH(AA$4,performace_data!$B$4:$AM$4,0)),"")</f>
        <v>0.248498523517645</v>
      </c>
      <c r="AB31" s="219">
        <f>_xlfn.IFNA(INDEX(performace_data!$B$4:$AN$294,MATCH($X$31,performace_data!$B$4:$B$294,0),MATCH(AB$4,performace_data!$B$4:$AM$4,0)),"")</f>
        <v>0.0333786905211876</v>
      </c>
      <c r="AC31" s="219">
        <f>_xlfn.IFNA(INDEX(performace_data!$B$4:$AN$294,MATCH($X$31,performace_data!$B$4:$B$294,0),MATCH(AC$4,performace_data!$B$4:$AM$4,0)),"")</f>
        <v>0.301140430926607</v>
      </c>
      <c r="AD31" s="275">
        <f>_xlfn.IFNA(INDEX(performace_data!$B$4:$AN$294,MATCH($X$31,performace_data!$B$4:$B$294,0),MATCH(AD$4,performace_data!$B$4:$AM$4,0)),"")</f>
        <v>0.168033833223551</v>
      </c>
      <c r="AE31" s="219">
        <f>_xlfn.IFNA(INDEX(performace_data!$B$4:$AN$294,MATCH($X$31,performace_data!$B$4:$B$294,0),MATCH(AE$4,performace_data!$B$4:$AM$4,0)),"")</f>
        <v>0.077511676096721</v>
      </c>
      <c r="AF31" s="242">
        <f>_xlfn.IFNA(INDEX(performace_data!$B$4:$AN$294,MATCH($X$31,performace_data!$B$4:$B$294,0),MATCH(AF$4,performace_data!$B$4:$AM$4,0)),"")</f>
        <v>-0.0308170579621176</v>
      </c>
    </row>
    <row r="32" ht="14.55" spans="1:32">
      <c r="A32" s="168" t="str" cm="1">
        <f t="array" ref="A32">_xlfn._xlws.FILTER('Selector Sheet '!$B$39:$B$42,'Selector Sheet '!$A$39:$A$42=TRUE,"No funds selected")</f>
        <v>No funds selected</v>
      </c>
      <c r="B32" s="174" t="str">
        <v/>
      </c>
      <c r="C32" s="176" t="str">
        <v/>
      </c>
      <c r="D32" s="176" t="str">
        <v/>
      </c>
      <c r="E32" s="176" t="str">
        <v/>
      </c>
      <c r="F32" s="174" t="str">
        <v/>
      </c>
      <c r="H32" s="178" t="str">
        <v/>
      </c>
      <c r="I32" s="221" t="str">
        <v/>
      </c>
      <c r="J32" s="220" t="str">
        <v/>
      </c>
      <c r="K32" s="221" t="str">
        <v/>
      </c>
      <c r="M32" s="151" t="str" cm="1">
        <f t="array" ref="M32:M37">IF($A$31:$A$36&gt;0,$A$31:$A$36,"")</f>
        <v>Hybrid</v>
      </c>
      <c r="N32" s="167" t="str" cm="1">
        <f t="array" ref="N32:N37">IFERROR(INDEX(performace_data!$B$3:$AN$293,MATCH(TRIM(_xlfn.ANCHORARRAY($M$32)),performace_data!$B$3:$B$294,0),MATCH(TRIM(N$4),performace_data!$B$4:$AM$4,0)),"")</f>
        <v/>
      </c>
      <c r="O32" s="167" t="str" cm="1">
        <f t="array" ref="O32:O37">IFERROR(INDEX(performace_data!$B$3:$AN$293,MATCH(TRIM(_xlfn.ANCHORARRAY($M$32)),performace_data!$B$3:$B$294,0),MATCH(TRIM(O$4),performace_data!$B$4:$AM$4,0)),"")</f>
        <v/>
      </c>
      <c r="P32" s="167" t="str" cm="1">
        <f t="array" ref="P32:P37">IFERROR(INDEX(performace_data!$B$3:$AN$293,MATCH(TRIM(_xlfn.ANCHORARRAY($M$32)),performace_data!$B$3:$B$294,0),MATCH(TRIM(P$4),performace_data!$B$4:$AM$4,0)),"")</f>
        <v/>
      </c>
      <c r="Q32" s="167" t="str" cm="1">
        <f t="array" ref="Q32:Q37">IFERROR(INDEX(performace_data!$B$3:$AN$293,MATCH(TRIM(_xlfn.ANCHORARRAY($M$32)),performace_data!$B$3:$B$294,0),MATCH(TRIM(Q$4),performace_data!$B$4:$AM$4,0)),"")</f>
        <v/>
      </c>
      <c r="R32" s="167" t="str" cm="1">
        <f t="array" ref="R32:R37">IFERROR(INDEX(performace_data!$B$3:$AN$293,MATCH(TRIM(_xlfn.ANCHORARRAY($M$32)),performace_data!$B$3:$B$294,0),MATCH(TRIM(R$4),performace_data!$B$4:$AM$4,0)),"")</f>
        <v/>
      </c>
      <c r="S32" s="167" t="str" cm="1">
        <f t="array" ref="S32:S37">IFERROR(INDEX(performace_data!$B$3:$AN$293,MATCH(TRIM(_xlfn.ANCHORARRAY($M$32)),performace_data!$B$3:$B$294,0),MATCH(TRIM(S$4),performace_data!$B$4:$AM$4,0)),"")</f>
        <v/>
      </c>
      <c r="T32" s="167" t="str" cm="1">
        <f t="array" ref="T32:T37">IFERROR(INDEX(performace_data!$B$3:$AN$293,MATCH(TRIM(_xlfn.ANCHORARRAY($M$32)),performace_data!$B$3:$B$294,0),MATCH(TRIM(T$4),performace_data!$B$4:$AM$4,0)),"")</f>
        <v/>
      </c>
      <c r="U32" s="112" t="str" cm="1">
        <f t="array" ref="U32:U37">IFERROR(INDEX(performace_data!$B$3:$AN$293,MATCH(TRIM(_xlfn.ANCHORARRAY($M$32)),performace_data!$B$3:$B$294,0),MATCH(TRIM(U$4),performace_data!$B$4:$AM$4,0)),"")</f>
        <v/>
      </c>
      <c r="X32" s="151" t="str" cm="1">
        <f t="array" ref="X32:X37">IF($A$31:$A$36&gt;0,$A$31:$A$36,"")</f>
        <v>Hybrid</v>
      </c>
      <c r="Y32" s="167" t="str" cm="1">
        <f t="array" ref="Y32:Y37">_xlfn.IFNA(INDEX(performace_data!$B$4:$AN$294,MATCH(_xlfn.ANCHORARRAY($X$32),performace_data!$B$4:$B$294,0),MATCH(Y$4,performace_data!$B$4:$AM$4,0)),"")</f>
        <v/>
      </c>
      <c r="Z32" s="167" t="str" cm="1">
        <f t="array" ref="Z32:Z37">_xlfn.IFNA(INDEX(performace_data!$B$4:$AN$294,MATCH(_xlfn.ANCHORARRAY($X$32),performace_data!$B$4:$B$294,0),MATCH(Z$4,performace_data!$B$4:$AM$4,0)),"")</f>
        <v/>
      </c>
      <c r="AA32" s="167" t="str" cm="1">
        <f t="array" ref="AA32:AA37">_xlfn.IFNA(INDEX(performace_data!$B$4:$AN$294,MATCH(_xlfn.ANCHORARRAY($X$32),performace_data!$B$4:$B$294,0),MATCH(AA$4,performace_data!$B$4:$AM$4,0)),"")</f>
        <v/>
      </c>
      <c r="AB32" s="167" t="str" cm="1">
        <f t="array" ref="AB32:AB37">_xlfn.IFNA(INDEX(performace_data!$B$4:$AN$294,MATCH(_xlfn.ANCHORARRAY($X$32),performace_data!$B$4:$B$294,0),MATCH(AB$4,performace_data!$B$4:$AM$4,0)),"")</f>
        <v/>
      </c>
      <c r="AC32" s="167" t="str" cm="1">
        <f t="array" ref="AC32:AC37">_xlfn.IFNA(INDEX(performace_data!$B$4:$AN$294,MATCH(_xlfn.ANCHORARRAY($X$32),performace_data!$B$4:$B$294,0),MATCH(AC$4,performace_data!$B$4:$AM$4,0)),"")</f>
        <v/>
      </c>
      <c r="AD32" s="167" t="str" cm="1">
        <f t="array" ref="AD32:AD37">_xlfn.IFNA(INDEX(performace_data!$B$4:$AN$294,MATCH(_xlfn.ANCHORARRAY($X$32),performace_data!$B$4:$B$294,0),MATCH(AD$4,performace_data!$B$4:$AM$4,0)),"")</f>
        <v/>
      </c>
      <c r="AE32" s="167" t="str" cm="1">
        <f t="array" ref="AE32:AE37">_xlfn.IFNA(INDEX(performace_data!$B$4:$AN$294,MATCH(_xlfn.ANCHORARRAY($X$32),performace_data!$B$4:$B$294,0),MATCH(AE$4,performace_data!$B$4:$AM$4,0)),"")</f>
        <v/>
      </c>
      <c r="AF32" s="112" t="str" cm="1">
        <f t="array" ref="AF32:AF37">_xlfn.IFNA(INDEX(performace_data!$B$4:$AN$294,MATCH(_xlfn.ANCHORARRAY($X$32),performace_data!$B$4:$B$294,0),MATCH(AF$4,performace_data!$B$4:$AM$4,0)),"")</f>
        <v/>
      </c>
    </row>
    <row r="33" spans="1:32">
      <c r="A33" s="168"/>
      <c r="B33" s="174" t="str">
        <v/>
      </c>
      <c r="C33" s="176" t="str">
        <v/>
      </c>
      <c r="D33" s="176" t="str">
        <v/>
      </c>
      <c r="E33" s="176" t="str">
        <v/>
      </c>
      <c r="F33" s="174" t="str">
        <v/>
      </c>
      <c r="H33" s="179" t="str">
        <v/>
      </c>
      <c r="I33" s="223" t="str">
        <v/>
      </c>
      <c r="J33" s="222" t="str">
        <v/>
      </c>
      <c r="K33" s="223" t="str">
        <v/>
      </c>
      <c r="M33" s="224" t="str">
        <v>No funds selected</v>
      </c>
      <c r="N33" s="72" t="str">
        <v/>
      </c>
      <c r="O33" s="176" t="str">
        <v/>
      </c>
      <c r="P33" s="176" t="str">
        <v/>
      </c>
      <c r="Q33" s="176" t="str">
        <v/>
      </c>
      <c r="R33" s="176" t="str">
        <v/>
      </c>
      <c r="S33" s="176" t="str">
        <v/>
      </c>
      <c r="T33" s="176" t="str">
        <v/>
      </c>
      <c r="U33" s="174" t="str">
        <v/>
      </c>
      <c r="X33" s="224" t="str">
        <v>No funds selected</v>
      </c>
      <c r="Y33" s="176" t="str">
        <v/>
      </c>
      <c r="Z33" s="176" t="str">
        <v/>
      </c>
      <c r="AA33" s="176" t="str">
        <v/>
      </c>
      <c r="AB33" s="176" t="str">
        <v/>
      </c>
      <c r="AC33" s="176" t="str">
        <v/>
      </c>
      <c r="AD33" s="176" t="str">
        <v/>
      </c>
      <c r="AE33" s="176" t="str">
        <v/>
      </c>
      <c r="AF33" s="174" t="str">
        <v/>
      </c>
    </row>
    <row r="34" spans="1:32">
      <c r="A34" s="168"/>
      <c r="B34" s="174" t="str">
        <v/>
      </c>
      <c r="C34" s="176" t="str">
        <v/>
      </c>
      <c r="D34" s="176" t="str">
        <v/>
      </c>
      <c r="E34" s="176" t="str">
        <v/>
      </c>
      <c r="F34" s="174" t="str">
        <v/>
      </c>
      <c r="H34" s="179" t="str">
        <v/>
      </c>
      <c r="I34" s="223" t="str">
        <v/>
      </c>
      <c r="J34" s="222" t="str">
        <v/>
      </c>
      <c r="K34" s="223" t="str">
        <v/>
      </c>
      <c r="M34" s="224" t="str">
        <v/>
      </c>
      <c r="N34" s="72" t="str">
        <v/>
      </c>
      <c r="O34" s="176" t="str">
        <v/>
      </c>
      <c r="P34" s="176" t="str">
        <v/>
      </c>
      <c r="Q34" s="176" t="str">
        <v/>
      </c>
      <c r="R34" s="176" t="str">
        <v/>
      </c>
      <c r="S34" s="176" t="str">
        <v/>
      </c>
      <c r="T34" s="176" t="str">
        <v/>
      </c>
      <c r="U34" s="174" t="str">
        <v/>
      </c>
      <c r="X34" s="224" t="str">
        <v/>
      </c>
      <c r="Y34" s="176" t="str">
        <v/>
      </c>
      <c r="Z34" s="176" t="str">
        <v/>
      </c>
      <c r="AA34" s="176" t="str">
        <v/>
      </c>
      <c r="AB34" s="176" t="str">
        <v/>
      </c>
      <c r="AC34" s="176" t="str">
        <v/>
      </c>
      <c r="AD34" s="176" t="str">
        <v/>
      </c>
      <c r="AE34" s="176" t="str">
        <v/>
      </c>
      <c r="AF34" s="174" t="str">
        <v/>
      </c>
    </row>
    <row r="35" spans="1:32">
      <c r="A35" s="168"/>
      <c r="B35" s="174" t="str">
        <v/>
      </c>
      <c r="C35" s="176" t="str">
        <v/>
      </c>
      <c r="D35" s="176" t="str">
        <v/>
      </c>
      <c r="E35" s="176" t="str">
        <v/>
      </c>
      <c r="F35" s="174" t="str">
        <v/>
      </c>
      <c r="H35" s="179" t="str">
        <v/>
      </c>
      <c r="I35" s="223" t="str">
        <v/>
      </c>
      <c r="J35" s="222" t="str">
        <v/>
      </c>
      <c r="K35" s="223" t="str">
        <v/>
      </c>
      <c r="M35" s="224" t="str">
        <v/>
      </c>
      <c r="N35" s="72" t="str">
        <v/>
      </c>
      <c r="O35" s="176" t="str">
        <v/>
      </c>
      <c r="P35" s="176" t="str">
        <v/>
      </c>
      <c r="Q35" s="176" t="str">
        <v/>
      </c>
      <c r="R35" s="176" t="str">
        <v/>
      </c>
      <c r="S35" s="176" t="str">
        <v/>
      </c>
      <c r="T35" s="176" t="str">
        <v/>
      </c>
      <c r="U35" s="174" t="str">
        <v/>
      </c>
      <c r="X35" s="224" t="str">
        <v/>
      </c>
      <c r="Y35" s="176" t="str">
        <v/>
      </c>
      <c r="Z35" s="176" t="str">
        <v/>
      </c>
      <c r="AA35" s="176" t="str">
        <v/>
      </c>
      <c r="AB35" s="176" t="str">
        <v/>
      </c>
      <c r="AC35" s="176" t="str">
        <v/>
      </c>
      <c r="AD35" s="176" t="str">
        <v/>
      </c>
      <c r="AE35" s="176" t="str">
        <v/>
      </c>
      <c r="AF35" s="174" t="str">
        <v/>
      </c>
    </row>
    <row r="36" spans="1:32">
      <c r="A36" s="168"/>
      <c r="B36" s="174"/>
      <c r="C36" s="182"/>
      <c r="D36" s="182"/>
      <c r="E36" s="182"/>
      <c r="F36" s="183"/>
      <c r="H36" s="179"/>
      <c r="I36" s="223"/>
      <c r="J36" s="222"/>
      <c r="K36" s="223"/>
      <c r="M36" s="224" t="str">
        <v/>
      </c>
      <c r="N36" s="72" t="str">
        <v/>
      </c>
      <c r="O36" s="176" t="str">
        <v/>
      </c>
      <c r="P36" s="176" t="str">
        <v/>
      </c>
      <c r="Q36" s="176" t="str">
        <v/>
      </c>
      <c r="R36" s="176" t="str">
        <v/>
      </c>
      <c r="S36" s="176" t="str">
        <v/>
      </c>
      <c r="T36" s="176" t="str">
        <v/>
      </c>
      <c r="U36" s="174" t="str">
        <v/>
      </c>
      <c r="X36" s="224" t="str">
        <v/>
      </c>
      <c r="Y36" s="176" t="str">
        <v/>
      </c>
      <c r="Z36" s="176" t="str">
        <v/>
      </c>
      <c r="AA36" s="176" t="str">
        <v/>
      </c>
      <c r="AB36" s="176" t="str">
        <v/>
      </c>
      <c r="AC36" s="176" t="str">
        <v/>
      </c>
      <c r="AD36" s="176" t="str">
        <v/>
      </c>
      <c r="AE36" s="176" t="str">
        <v/>
      </c>
      <c r="AF36" s="174" t="str">
        <v/>
      </c>
    </row>
    <row r="37" ht="14.55" spans="1:32">
      <c r="A37" s="184"/>
      <c r="B37" s="185"/>
      <c r="C37" s="186"/>
      <c r="D37" s="186"/>
      <c r="E37" s="186"/>
      <c r="F37" s="187"/>
      <c r="H37" s="188"/>
      <c r="I37" s="226"/>
      <c r="J37" s="227"/>
      <c r="K37" s="226"/>
      <c r="M37" s="224" t="str">
        <v/>
      </c>
      <c r="N37" s="72" t="str">
        <v/>
      </c>
      <c r="O37" s="176" t="str">
        <v/>
      </c>
      <c r="P37" s="176" t="str">
        <v/>
      </c>
      <c r="Q37" s="176" t="str">
        <v/>
      </c>
      <c r="R37" s="176" t="str">
        <v/>
      </c>
      <c r="S37" s="176" t="str">
        <v/>
      </c>
      <c r="T37" s="176" t="str">
        <v/>
      </c>
      <c r="U37" s="174" t="str">
        <v/>
      </c>
      <c r="X37" s="224" t="str">
        <v/>
      </c>
      <c r="Y37" s="176" t="str">
        <v/>
      </c>
      <c r="Z37" s="176" t="str">
        <v/>
      </c>
      <c r="AA37" s="176" t="str">
        <v/>
      </c>
      <c r="AB37" s="176" t="str">
        <v/>
      </c>
      <c r="AC37" s="176" t="str">
        <v/>
      </c>
      <c r="AD37" s="176" t="str">
        <v/>
      </c>
      <c r="AE37" s="176" t="str">
        <v/>
      </c>
      <c r="AF37" s="174" t="str">
        <v/>
      </c>
    </row>
    <row r="38" ht="15" customHeight="1" spans="5:32">
      <c r="E38" s="189" t="s">
        <v>1775</v>
      </c>
      <c r="F38" s="190"/>
      <c r="H38" s="191"/>
      <c r="I38" s="191"/>
      <c r="J38" s="191"/>
      <c r="K38" s="191"/>
      <c r="M38" s="228" t="s">
        <v>470</v>
      </c>
      <c r="N38" s="229"/>
      <c r="O38" s="230">
        <f>IFERROR(INDEX(performace_data!$B$3:$AN$293,MATCH(TRIM($M$38),performace_data!$B$3:$B$294,0),MATCH(TRIM(O$4),performace_data!$B$4:$AM$4,0)),"")</f>
        <v>-0.0116284987700614</v>
      </c>
      <c r="P38" s="230">
        <f>IFERROR(INDEX(performace_data!$B$3:$AN$293,MATCH(TRIM($M$38),performace_data!$B$3:$B$294,0),MATCH(TRIM(P$4),performace_data!$B$4:$AM$4,0)),"")</f>
        <v>0.02937935006152</v>
      </c>
      <c r="Q38" s="230">
        <f>IFERROR(INDEX(performace_data!$B$3:$AN$293,MATCH(TRIM($M$38),performace_data!$B$3:$B$294,0),MATCH(TRIM(Q$4),performace_data!$B$4:$AM$4,0)),"")</f>
        <v>0.0542720523586115</v>
      </c>
      <c r="R38" s="230">
        <f>IFERROR(INDEX(performace_data!$B$3:$AN$293,MATCH(TRIM($M$38),performace_data!$B$3:$B$294,0),MATCH(TRIM(R$4),performace_data!$B$4:$AM$4,0)),"")</f>
        <v>0.0280292519567873</v>
      </c>
      <c r="S38" s="230">
        <f>IFERROR(INDEX(performace_data!$B$3:$AN$293,MATCH(TRIM($M$38),performace_data!$B$3:$B$294,0),MATCH(TRIM(S$4),performace_data!$B$4:$AM$4,0)),"")</f>
        <v>0.11763739546963</v>
      </c>
      <c r="T38" s="230">
        <f>IFERROR(INDEX(performace_data!$B$3:$AN$293,MATCH(TRIM($M$38),performace_data!$B$3:$B$294,0),MATCH(TRIM(T$4),performace_data!$B$4:$AM$4,0)),"")</f>
        <v>0.133154908114355</v>
      </c>
      <c r="U38" s="243">
        <f>IFERROR(INDEX(performace_data!$B$3:$AN$293,MATCH(TRIM($M$38),performace_data!$B$3:$B$294,0),MATCH(TRIM(U$4),performace_data!$B$4:$AM$4,0)),"")</f>
        <v>0.102254024682437</v>
      </c>
      <c r="X38" s="228" t="s">
        <v>470</v>
      </c>
      <c r="Y38" s="230">
        <f>_xlfn.IFNA(INDEX(performace_data!$B$4:$AN$294,MATCH($X$38,performace_data!$B$4:$B$294,0),MATCH(Y$4,performace_data!$B$4:$AM$4,0)),"")</f>
        <v>0.0394817439618318</v>
      </c>
      <c r="Z38" s="230">
        <f>_xlfn.IFNA(INDEX(performace_data!$B$4:$AN$294,MATCH($X$38,performace_data!$B$4:$B$294,0),MATCH(Z$4,performace_data!$B$4:$AM$4,0)),"")</f>
        <v>0.115148190648015</v>
      </c>
      <c r="AA38" s="230">
        <f>_xlfn.IFNA(INDEX(performace_data!$B$4:$AN$294,MATCH($X$38,performace_data!$B$4:$B$294,0),MATCH(AA$4,performace_data!$B$4:$AM$4,0)),"")</f>
        <v>0.158535642831628</v>
      </c>
      <c r="AB38" s="230">
        <f>_xlfn.IFNA(INDEX(performace_data!$B$4:$AN$294,MATCH($X$38,performace_data!$B$4:$B$294,0),MATCH(AB$4,performace_data!$B$4:$AM$4,0)),"")</f>
        <v>0.0384086093157168</v>
      </c>
      <c r="AC38" s="230">
        <f>_xlfn.IFNA(INDEX(performace_data!$B$4:$AN$294,MATCH($X$38,performace_data!$B$4:$B$294,0),MATCH(AC$4,performace_data!$B$4:$AM$4,0)),"")</f>
        <v>0.168711766321198</v>
      </c>
      <c r="AD38" s="230">
        <f>_xlfn.IFNA(INDEX(performace_data!$B$4:$AN$294,MATCH($X$38,performace_data!$B$4:$B$294,0),MATCH(AD$4,performace_data!$B$4:$AM$4,0)),"")</f>
        <v>0.148189449432945</v>
      </c>
      <c r="AE38" s="230">
        <f>_xlfn.IFNA(INDEX(performace_data!$B$4:$AN$294,MATCH($X$38,performace_data!$B$4:$B$294,0),MATCH(AE$4,performace_data!$B$4:$AM$4,0)),"")</f>
        <v>0.0888221485237766</v>
      </c>
      <c r="AF38" s="243">
        <f>_xlfn.IFNA(INDEX(performace_data!$B$4:$AN$294,MATCH($X$38,performace_data!$B$4:$B$294,0),MATCH(AF$4,performace_data!$B$4:$AM$4,0)),"")</f>
        <v>0.0188333181532216</v>
      </c>
    </row>
    <row r="39" ht="14.5" customHeight="1" spans="1:11">
      <c r="A39" s="189" t="s">
        <v>1776</v>
      </c>
      <c r="B39" s="190"/>
      <c r="E39" s="192"/>
      <c r="F39" s="193"/>
      <c r="H39" s="191"/>
      <c r="I39" s="191"/>
      <c r="J39" s="191"/>
      <c r="K39" s="191"/>
    </row>
    <row r="40" ht="14.55" spans="1:11">
      <c r="A40" s="192"/>
      <c r="B40" s="193"/>
      <c r="E40" s="194"/>
      <c r="F40" s="191"/>
      <c r="H40" s="191"/>
      <c r="I40" s="191"/>
      <c r="J40" s="191"/>
      <c r="K40" s="191"/>
    </row>
    <row r="41" ht="14.55" spans="1:11">
      <c r="A41" s="163" t="s">
        <v>35</v>
      </c>
      <c r="B41" s="164"/>
      <c r="C41" s="164"/>
      <c r="D41" s="164"/>
      <c r="E41" s="194"/>
      <c r="F41" s="191"/>
      <c r="K41" s="191"/>
    </row>
    <row r="42" ht="14.55" spans="8:26">
      <c r="H42" s="62" t="s">
        <v>96</v>
      </c>
      <c r="I42" s="203"/>
      <c r="J42" s="63"/>
      <c r="M42" s="62" t="s">
        <v>36</v>
      </c>
      <c r="N42" s="203"/>
      <c r="O42" s="203"/>
      <c r="P42" s="203"/>
      <c r="Q42" s="203"/>
      <c r="R42" s="203"/>
      <c r="S42" s="203"/>
      <c r="T42" s="203"/>
      <c r="U42" s="203"/>
      <c r="X42" s="62" t="s">
        <v>37</v>
      </c>
      <c r="Y42" s="203"/>
      <c r="Z42" s="203"/>
    </row>
    <row r="43" ht="14.55" spans="6:11">
      <c r="F43" s="195"/>
      <c r="H43" s="196" t="s">
        <v>804</v>
      </c>
      <c r="I43" s="231" cm="1">
        <f t="array" ref="I43">SUMPRODUCT(_xlfn._xlws.FILTER($B$5:$B$37,($B$5:$B$37&lt;&gt;"")*(J5:J37&lt;&gt;""))/SUM(_xlfn._xlws.FILTER($B$5:$B$37,($B$5:$B$37&lt;&gt;"")*(J5:J37&lt;&gt;""))),_xlfn._xlws.FILTER(J5:J37,($B$5:$B$37&lt;&gt;"")*(J5:J37&lt;&gt;"")))</f>
        <v>24.7458333333333</v>
      </c>
      <c r="J43" s="232"/>
      <c r="K43" s="195"/>
    </row>
    <row r="44" ht="14.55" spans="1:11">
      <c r="A44" s="166" t="s">
        <v>11</v>
      </c>
      <c r="B44" s="63" t="s">
        <v>12</v>
      </c>
      <c r="C44" s="90" t="str">
        <f>IF(B44='Drop Downs'!$I$18,'Drop Downs'!$D$2,'Drop Downs'!$E$2)</f>
        <v>Nifty 50</v>
      </c>
      <c r="D44" s="90" t="s">
        <v>234</v>
      </c>
      <c r="F44" s="195"/>
      <c r="H44" s="197" t="s">
        <v>1774</v>
      </c>
      <c r="I44" s="231" cm="1">
        <f t="array" ref="I44">SUMPRODUCT(_xlfn._xlws.FILTER($B$5:$B$37,($B$5:$B$37&lt;&gt;"")*(K5:K37&lt;&gt;""))/SUM(_xlfn._xlws.FILTER($B$5:$B$37,($B$5:$B$37&lt;&gt;"")*(K5:K37&lt;&gt;""))),_xlfn._xlws.FILTER(K5:K37,($B$5:$B$37&lt;&gt;"")*(K5:K37&lt;&gt;"")))</f>
        <v>2.32416666666667</v>
      </c>
      <c r="J44" s="232"/>
      <c r="K44" s="195"/>
    </row>
    <row r="45" ht="14.55" spans="1:26">
      <c r="A45" s="198" t="s">
        <v>25</v>
      </c>
      <c r="B45" s="199" cm="1">
        <f t="array" ref="B45">_xlfn.LET(_xlpm.FilteredList,_xlfn._xlws.FILTER('Drop Downs'!$J$26:$J$59,'Drop Downs'!$I$26:$I$59=$B$44),_xlpm.DataValues,_xlfn.IFNA(VLOOKUP(_xlpm.FilteredList,$X$5:$AF$38,2,FALSE),0),_xlpm.Weights,_xlfn.IFNA(VLOOKUP(_xlpm.FilteredList,'Selector Sheet '!$B$14:$D$59,2,FALSE),0),_xlpm.RebacedW,(_xlpm.Weights*1)/SUM(_xlpm.Weights),SUMPRODUCT(_xlpm.DataValues,_xlpm.RebacedW))</f>
        <v>0.0169283900164112</v>
      </c>
      <c r="C45" s="199" cm="1">
        <f t="array" ref="C45">INDEX('Drop Downs'!$P$3:$U$10,ROWS($A$1:A1),MATCH($C$44,'Drop Downs'!$P$2:$U$2,0))</f>
        <v>0.047518</v>
      </c>
      <c r="D45" s="199" cm="1">
        <f t="array" ref="D45">INDEX('Drop Downs'!$P$3:$T$10,ROWS($A$1:A1),MATCH($D$44,'Drop Downs'!$P$2:$T$2,0))</f>
        <v>0.022527</v>
      </c>
      <c r="H45" s="200" t="s">
        <v>107</v>
      </c>
      <c r="I45" s="233" cm="1">
        <f t="array" ref="I45">SUMPRODUCT(_xlfn._xlws.FILTER($B$5:$B$37,($B$5:$B$37&lt;&gt;"")*(I5:I37&lt;&gt;""))/SUM(_xlfn._xlws.FILTER($B$5:$B$37,($B$5:$B$37&lt;&gt;"")*(I5:I37&lt;&gt;""))),_xlfn._xlws.FILTER(I5:I37,($B$5:$B$37&lt;&gt;"")*(I5:I37&lt;&gt;"")))</f>
        <v>0.929166666666667</v>
      </c>
      <c r="J45" s="234"/>
      <c r="M45" s="62" t="s">
        <v>786</v>
      </c>
      <c r="N45" s="63"/>
      <c r="P45" s="235" t="s">
        <v>7</v>
      </c>
      <c r="Q45" s="244"/>
      <c r="R45" s="244"/>
      <c r="T45" s="62" t="s">
        <v>8</v>
      </c>
      <c r="U45" s="63"/>
      <c r="X45" s="245" t="s">
        <v>29</v>
      </c>
      <c r="Y45" s="276" t="s">
        <v>30</v>
      </c>
      <c r="Z45" s="164" t="s">
        <v>31</v>
      </c>
    </row>
    <row r="46" ht="14.55" spans="1:27">
      <c r="A46" s="201">
        <v>2024</v>
      </c>
      <c r="B46" s="174" cm="1">
        <f t="array" ref="B46">_xlfn.LET(_xlpm.FilteredList,_xlfn._xlws.FILTER('Drop Downs'!$J$26:$J$59,'Drop Downs'!$I$26:$I$59=$B$44),_xlpm.DataValues,_xlfn.IFNA(VLOOKUP(_xlpm.FilteredList,$X$5:$AF$38,3,FALSE),0),_xlpm.Weights,_xlfn.IFNA(VLOOKUP(_xlpm.FilteredList,'Selector Sheet '!$B$14:$D$59,2,FALSE),0),_xlpm.RebacedW,(_xlpm.Weights*1)/SUM(_xlpm.Weights),SUMPRODUCT(_xlpm.DataValues,_xlpm.RebacedW))</f>
        <v>0.215521868016952</v>
      </c>
      <c r="C46" s="174" cm="1">
        <f t="array" ref="C46">INDEX('Drop Downs'!$P$3:$U$10,ROWS($A$1:A2),MATCH($C$44,'Drop Downs'!$P$2:$U$2,0))</f>
        <v>0.0880476902077809</v>
      </c>
      <c r="D46" s="174" cm="1">
        <f t="array" ref="D46">INDEX('Drop Downs'!$P$3:$T$10,ROWS($A$1:A2),MATCH($D$44,'Drop Downs'!$P$2:$T$2,0))</f>
        <v>0.145465796535709</v>
      </c>
      <c r="M46" s="236" t="s">
        <v>13</v>
      </c>
      <c r="N46" s="90" t="s">
        <v>14</v>
      </c>
      <c r="P46" s="237" t="s">
        <v>15</v>
      </c>
      <c r="Q46" s="246">
        <f>SUM($N$47:$N$49)</f>
        <v>0.207885660816042</v>
      </c>
      <c r="R46" s="247"/>
      <c r="T46" s="248" t="s">
        <v>1777</v>
      </c>
      <c r="U46" s="249" t="s">
        <v>95</v>
      </c>
      <c r="X46" s="250" t="s">
        <v>3</v>
      </c>
      <c r="Y46" s="277">
        <f>SUMPRODUCT(_xlfn.ANCHORARRAY($B$5),_xlfn.ANCHORARRAY($C$5))</f>
        <v>0.3589668</v>
      </c>
      <c r="Z46" s="278">
        <f>($Y46/SUM($Y$46:$Y$48))*1</f>
        <v>0.761714577356999</v>
      </c>
      <c r="AA46" s="32"/>
    </row>
    <row r="47" spans="1:27">
      <c r="A47" s="201">
        <v>2023</v>
      </c>
      <c r="B47" s="174" cm="1">
        <f t="array" ref="B47">_xlfn.LET(_xlpm.FilteredList,_xlfn._xlws.FILTER('Drop Downs'!$J$26:$J$59,'Drop Downs'!$I$26:$I$59=$B$44),_xlpm.DataValues,_xlfn.IFNA(VLOOKUP(_xlpm.FilteredList,$X$5:$AF$38,4,FALSE),0),_xlpm.Weights,_xlfn.IFNA(VLOOKUP(_xlpm.FilteredList,'Selector Sheet '!$B$14:$D$59,2,FALSE),0),_xlpm.RebacedW,(_xlpm.Weights*1)/SUM(_xlpm.Weights),SUMPRODUCT(_xlpm.DataValues,_xlpm.RebacedW))</f>
        <v>0.289874632355859</v>
      </c>
      <c r="C47" s="174" cm="1">
        <f t="array" ref="C47">INDEX('Drop Downs'!$P$3:$U$10,ROWS($A$1:A3),MATCH($C$44,'Drop Downs'!$P$2:$U$2,0))</f>
        <v>0.200278393101744</v>
      </c>
      <c r="D47" s="174" cm="1">
        <f t="array" ref="D47">INDEX('Drop Downs'!$P$3:$T$10,ROWS($A$1:A3),MATCH($D$44,'Drop Downs'!$P$2:$T$2,0))</f>
        <v>0.248498523517645</v>
      </c>
      <c r="M47" s="238" t="str" cm="1">
        <f t="array" ref="M47:N66">IF($M$45='Drop Downs'!$B$14,_xlfn._xlws.SORT(_xlfn.TAKE(_xlfn._xlws.SORT(_xlfn.HSTACK(_xlfn.UNIQUE(sheet_2!$C$2:$C$1175),_xlfn.BYROW(_xlfn.UNIQUE(sheet_2!$C$2:$C$1175),_xlfn.LAMBDA(_xlpm.x,SUMIF(sheet_2!$C$2:$C$1175,_xlpm.x,sheet_2!E2:E1175)))),2,-1),20),2,-1),_xlfn._xlws.SORT(_xlfn.TAKE(_xlfn._xlws.SORT(_xlfn.HSTACK(_xlfn.UNIQUE(sheet_2!$O$2:$O$372),_xlfn.BYROW(_xlfn.UNIQUE(sheet_2!$O$2:$O$372),_xlfn.LAMBDA(_xlpm.x,SUMIF(sheet_2!$O$2:$O$372,_xlpm.x,sheet_2!$Q$2:$Q$372)))),2,-1),20),2,-1))</f>
        <v>HDFC Bank Ltd</v>
      </c>
      <c r="N47" s="54">
        <v>0.093156791150946</v>
      </c>
      <c r="P47" s="239" t="s">
        <v>1778</v>
      </c>
      <c r="Q47" s="251">
        <f>SUM($N$47:$N$51)</f>
        <v>0.285819319162048</v>
      </c>
      <c r="R47" s="252"/>
      <c r="T47" s="253" t="str" cm="1">
        <f t="array" ref="T47:U59">IF($T$45='Drop Downs'!$B$16,_xlfn.IFNA(_xlfn._xlws.SORT(_xlfn.HSTACK(_xlfn.UNIQUE(sheet_2!$F$2:$F$1175),_xlfn.BYROW(_xlfn.UNIQUE(sheet_2!$F$2:$F$1175),_xlfn.LAMBDA(_xlpm.x,SUMIF(sheet_2!$F$2:$F$1175,_xlpm.x,sheet_2!$G$2:$G$1175)))),2,-1),""),_xlfn.IFNA(_xlfn._xlws.SORT(_xlfn.HSTACK(_xlfn.UNIQUE(sheet_2!$R$2:$R$372),_xlfn.BYROW(_xlfn.UNIQUE(sheet_2!$R$2:$R$372),_xlfn.LAMBDA(_xlpm.x,SUMIF(sheet_2!$R$2:$R$372,_xlpm.x,sheet_2!$S$2:$S$372)))),2,-1),""))</f>
        <v>Financials</v>
      </c>
      <c r="U47" s="254">
        <v>0.349198613078581</v>
      </c>
      <c r="X47" s="255" t="s">
        <v>32</v>
      </c>
      <c r="Y47" s="279">
        <f>SUMPRODUCT(_xlfn.ANCHORARRAY($B$5),_xlfn.ANCHORARRAY($D$5))</f>
        <v>0.0795708</v>
      </c>
      <c r="Z47" s="280">
        <f>($Y47/SUM($Y$46:$Y$48))*1</f>
        <v>0.168846362092423</v>
      </c>
      <c r="AA47" s="32"/>
    </row>
    <row r="48" spans="1:27">
      <c r="A48" s="201">
        <v>2022</v>
      </c>
      <c r="B48" s="174" cm="1">
        <f t="array" ref="B48">_xlfn.LET(_xlpm.FilteredList,_xlfn._xlws.FILTER('Drop Downs'!$J$26:$J$59,'Drop Downs'!$I$26:$I$59=$B$44),_xlpm.DataValues,_xlfn.IFNA(VLOOKUP(_xlpm.FilteredList,$X$5:$AF$38,5,FALSE),0),_xlpm.Weights,_xlfn.IFNA(VLOOKUP(_xlpm.FilteredList,'Selector Sheet '!$B$14:$D$59,2,FALSE),0),_xlpm.RebacedW,(_xlpm.Weights*1)/SUM(_xlpm.Weights),SUMPRODUCT(_xlpm.DataValues,_xlpm.RebacedW))</f>
        <v>0.0939143078295527</v>
      </c>
      <c r="C48" s="174" cm="1">
        <f t="array" ref="C48">INDEX('Drop Downs'!$P$3:$U$10,ROWS($A$1:A4),MATCH($C$44,'Drop Downs'!$P$2:$U$2,0))</f>
        <v>0.0432896067488569</v>
      </c>
      <c r="D48" s="174" cm="1">
        <f t="array" ref="D48">INDEX('Drop Downs'!$P$3:$T$10,ROWS($A$1:A4),MATCH($D$44,'Drop Downs'!$P$2:$T$2,0))</f>
        <v>0.0333786905211876</v>
      </c>
      <c r="M48" s="238" t="str">
        <v>Reliance Industries Ltd</v>
      </c>
      <c r="N48" s="54">
        <v>0.0581249503598166</v>
      </c>
      <c r="P48" s="239" t="s">
        <v>27</v>
      </c>
      <c r="Q48" s="251">
        <f>SUM($N$47:$N$56)</f>
        <v>0.414732503673146</v>
      </c>
      <c r="R48" s="252"/>
      <c r="T48" s="238" t="str">
        <v>Consumer Discretionary</v>
      </c>
      <c r="U48" s="54">
        <v>0.129842083290504</v>
      </c>
      <c r="X48" s="256" t="s">
        <v>33</v>
      </c>
      <c r="Y48" s="281">
        <f>SUMPRODUCT(_xlfn.ANCHORARRAY($B$5),_xlfn.ANCHORARRAY($E$5))</f>
        <v>0.03272396</v>
      </c>
      <c r="Z48" s="282">
        <f>($Y48/SUM($Y$46:$Y$48))*1</f>
        <v>0.0694390605505783</v>
      </c>
      <c r="AA48" s="32"/>
    </row>
    <row r="49" spans="1:21">
      <c r="A49" s="201">
        <v>2021</v>
      </c>
      <c r="B49" s="174" cm="1">
        <f t="array" ref="B49">_xlfn.LET(_xlpm.FilteredList,_xlfn._xlws.FILTER('Drop Downs'!$J$26:$J$59,'Drop Downs'!$I$26:$I$59=$B$44),_xlpm.DataValues,_xlfn.IFNA(VLOOKUP(_xlpm.FilteredList,$X$5:$AF$38,6,FALSE),0),_xlpm.Weights,_xlfn.IFNA(VLOOKUP(_xlpm.FilteredList,'Selector Sheet '!$B$14:$D$59,2,FALSE),0),_xlpm.RebacedW,(_xlpm.Weights*1)/SUM(_xlpm.Weights),SUMPRODUCT(_xlpm.DataValues,_xlpm.RebacedW))</f>
        <v>0.349974242465597</v>
      </c>
      <c r="C49" s="174" cm="1">
        <f t="array" ref="C49">INDEX('Drop Downs'!$P$3:$U$10,ROWS($A$1:A5),MATCH($C$44,'Drop Downs'!$P$2:$U$2,0))</f>
        <v>0.241192983710909</v>
      </c>
      <c r="D49" s="174" cm="1">
        <f t="array" ref="D49">INDEX('Drop Downs'!$P$3:$T$10,ROWS($A$1:A5),MATCH($D$44,'Drop Downs'!$P$2:$T$2,0))</f>
        <v>0.301140430926607</v>
      </c>
      <c r="M49" s="238" t="str">
        <v>ICICI Bank Ltd</v>
      </c>
      <c r="N49" s="54">
        <v>0.056603919305279</v>
      </c>
      <c r="P49" s="240" t="s">
        <v>28</v>
      </c>
      <c r="Q49" s="257">
        <f>SUM($N$47:$N$66)</f>
        <v>0.571783510727566</v>
      </c>
      <c r="R49" s="258"/>
      <c r="T49" s="238" t="str">
        <v>Information Technology</v>
      </c>
      <c r="U49" s="54">
        <v>0.0880291988118266</v>
      </c>
    </row>
    <row r="50" spans="1:21">
      <c r="A50" s="201">
        <v>2020</v>
      </c>
      <c r="B50" s="174" cm="1">
        <f t="array" ref="B50">_xlfn.LET(_xlpm.FilteredList,_xlfn._xlws.FILTER('Drop Downs'!$J$26:$J$59,'Drop Downs'!$I$26:$I$59=$B$44),_xlpm.DataValues,_xlfn.IFNA(VLOOKUP(_xlpm.FilteredList,$X$5:$AF$38,7,FALSE),0),_xlpm.Weights,_xlfn.IFNA(VLOOKUP(_xlpm.FilteredList,'Selector Sheet '!$B$14:$D$59,2,FALSE),0),_xlpm.RebacedW,(_xlpm.Weights*1)/SUM(_xlpm.Weights),SUMPRODUCT(_xlpm.DataValues,_xlpm.RebacedW))</f>
        <v>0.0912704643516934</v>
      </c>
      <c r="C50" s="174" cm="1">
        <f t="array" ref="C50">INDEX('Drop Downs'!$P$3:$U$10,ROWS($A$1:A6),MATCH($C$44,'Drop Downs'!$P$2:$U$2,0))</f>
        <v>0.149016514017808</v>
      </c>
      <c r="D50" s="174" cm="1">
        <f t="array" ref="D50">INDEX('Drop Downs'!$P$3:$T$10,ROWS($A$1:A6),MATCH($D$44,'Drop Downs'!$P$2:$T$2,0))</f>
        <v>0.168033833223551</v>
      </c>
      <c r="M50" s="238" t="str">
        <v>State Bank of India</v>
      </c>
      <c r="N50" s="54">
        <v>0.0467224913218753</v>
      </c>
      <c r="T50" s="238" t="str">
        <v>Consumer Staples</v>
      </c>
      <c r="U50" s="54">
        <v>0.086652395294001</v>
      </c>
    </row>
    <row r="51" spans="1:21">
      <c r="A51" s="201">
        <v>2019</v>
      </c>
      <c r="B51" s="174" cm="1">
        <f t="array" ref="B51">_xlfn.LET(_xlpm.FilteredList,_xlfn._xlws.FILTER('Drop Downs'!$J$26:$J$59,'Drop Downs'!$I$26:$I$59=$B$44),_xlpm.DataValues,_xlfn.IFNA(VLOOKUP(_xlpm.FilteredList,$X$5:$AF$38,8,FALSE),0),_xlpm.Weights,_xlfn.IFNA(VLOOKUP(_xlpm.FilteredList,'Selector Sheet '!$B$14:$D$59,2,FALSE),0),_xlpm.RebacedW,(_xlpm.Weights*1)/SUM(_xlpm.Weights),SUMPRODUCT(_xlpm.DataValues,_xlpm.RebacedW))</f>
        <v>0.0886789253218191</v>
      </c>
      <c r="C51" s="174" cm="1">
        <f t="array" ref="C51">INDEX('Drop Downs'!$P$3:$U$10,ROWS($A$1:A7),MATCH($C$44,'Drop Downs'!$P$2:$U$2,0))</f>
        <v>0.120220390239861</v>
      </c>
      <c r="D51" s="174" cm="1">
        <f t="array" ref="D51">INDEX('Drop Downs'!$P$3:$T$10,ROWS($A$1:A7),MATCH($D$44,'Drop Downs'!$P$2:$T$2,0))</f>
        <v>0.077511676096721</v>
      </c>
      <c r="M51" s="238" t="str">
        <v>Infosys Ltd</v>
      </c>
      <c r="N51" s="54">
        <v>0.0312111670241314</v>
      </c>
      <c r="T51" s="238" t="str">
        <v>Industrials</v>
      </c>
      <c r="U51" s="54">
        <v>0.082686362109032</v>
      </c>
    </row>
    <row r="52" ht="14.55" spans="1:21">
      <c r="A52" s="202">
        <v>2018</v>
      </c>
      <c r="B52" s="185" cm="1">
        <f t="array" ref="B52">_xlfn.LET(_xlpm.FilteredList,_xlfn._xlws.FILTER('Drop Downs'!$J$26:$J$59,'Drop Downs'!$I$26:$I$59=$B$44),_xlpm.DataValues,_xlfn.IFNA(VLOOKUP(_xlpm.FilteredList,$X$5:$AF$38,9,FALSE),0),_xlpm.Weights,_xlfn.IFNA(VLOOKUP(_xlpm.FilteredList,'Selector Sheet '!$B$14:$D$59,2,FALSE),0),_xlpm.RebacedW,(_xlpm.Weights*1)/SUM(_xlpm.Weights),SUMPRODUCT(_xlpm.DataValues,_xlpm.RebacedW))</f>
        <v>-0.0451110892506647</v>
      </c>
      <c r="C52" s="185" cm="1">
        <f t="array" ref="C52">INDEX('Drop Downs'!$P$3:$U$10,ROWS($A$1:A8),MATCH($C$44,'Drop Downs'!$P$2:$U$2,0))</f>
        <v>0.0315126249916908</v>
      </c>
      <c r="D52" s="185" cm="1">
        <f t="array" ref="D52">INDEX('Drop Downs'!$P$3:$T$10,ROWS($A$1:A8),MATCH($D$44,'Drop Downs'!$P$2:$T$2,0))</f>
        <v>-0.0308170579621176</v>
      </c>
      <c r="M52" s="238" t="str">
        <v>HDFC Asset Management Co Ltd</v>
      </c>
      <c r="N52" s="54">
        <v>0.0301061403543155</v>
      </c>
      <c r="T52" s="238" t="str">
        <v>Health Care</v>
      </c>
      <c r="U52" s="54">
        <v>0.0620361858748765</v>
      </c>
    </row>
    <row r="53" spans="13:21">
      <c r="M53" s="238" t="str">
        <v>Kotak Mahindra Bank Ltd</v>
      </c>
      <c r="N53" s="54">
        <v>0.0279288409946347</v>
      </c>
      <c r="T53" s="238" t="str">
        <v>Energy</v>
      </c>
      <c r="U53" s="54">
        <v>0.060389651098023</v>
      </c>
    </row>
    <row r="54" spans="13:21">
      <c r="M54" s="238" t="str">
        <v>Tech Mahindra Ltd</v>
      </c>
      <c r="N54" s="54">
        <v>0.0271098526722582</v>
      </c>
      <c r="T54" s="238" t="str">
        <v>Materials</v>
      </c>
      <c r="U54" s="54">
        <v>0.0598518228441031</v>
      </c>
    </row>
    <row r="55" spans="13:21">
      <c r="M55" s="238" t="str">
        <v>Larsen &amp; Toubro Ltd</v>
      </c>
      <c r="N55" s="54">
        <v>0.0246916417168476</v>
      </c>
      <c r="T55" s="238" t="str">
        <v>Utilities</v>
      </c>
      <c r="U55" s="54">
        <v>0.0332652034221374</v>
      </c>
    </row>
    <row r="56" spans="13:21">
      <c r="M56" s="238" t="str">
        <v>Axis Bank Ltd</v>
      </c>
      <c r="N56" s="54">
        <v>0.0190767087730417</v>
      </c>
      <c r="T56" s="238" t="str">
        <v>Communication Services</v>
      </c>
      <c r="U56" s="54">
        <v>0.0287694306845381</v>
      </c>
    </row>
    <row r="57" ht="14.55" spans="13:21">
      <c r="M57" s="238" t="str">
        <v>Tata Steel Ltd</v>
      </c>
      <c r="N57" s="54">
        <v>0.0183305197674064</v>
      </c>
      <c r="T57" s="259" t="str">
        <v>Real Estate</v>
      </c>
      <c r="U57" s="260">
        <v>0.0008727043123762</v>
      </c>
    </row>
    <row r="58" spans="13:21">
      <c r="M58" s="238" t="str">
        <v>Info Edge India Ltd</v>
      </c>
      <c r="N58" s="54">
        <v>0.0179549388479747</v>
      </c>
      <c r="T58" s="261" t="str">
        <v>#N/A Invalid Security</v>
      </c>
      <c r="U58" s="262">
        <v>0</v>
      </c>
    </row>
    <row r="59" spans="13:21">
      <c r="M59" s="238" t="str">
        <v>NTPC Ltd</v>
      </c>
      <c r="N59" s="54">
        <v>0.0177444345778064</v>
      </c>
      <c r="T59" s="263" t="str">
        <v>#N/A N/A</v>
      </c>
      <c r="U59" s="263">
        <v>0</v>
      </c>
    </row>
    <row r="60" spans="13:21">
      <c r="M60" s="238" t="str">
        <v>United Spirits Ltd</v>
      </c>
      <c r="N60" s="54">
        <v>0.0170316732964789</v>
      </c>
      <c r="T60" s="263"/>
      <c r="U60" s="263"/>
    </row>
    <row r="61" spans="13:22">
      <c r="M61" s="238" t="str">
        <v>Jubilant Foodworks Ltd</v>
      </c>
      <c r="N61" s="54">
        <v>0.0157254678614764</v>
      </c>
      <c r="T61" s="264" t="s">
        <v>1779</v>
      </c>
      <c r="U61" s="265"/>
      <c r="V61" s="266"/>
    </row>
    <row r="62" spans="13:22">
      <c r="M62" s="238" t="str">
        <v>ABB India Ltd</v>
      </c>
      <c r="N62" s="54">
        <v>0.0144128944357297</v>
      </c>
      <c r="T62" s="237" t="s">
        <v>15</v>
      </c>
      <c r="U62" s="267">
        <f>SUM($U$47:$U$49)</f>
        <v>0.567069895180911</v>
      </c>
      <c r="V62" s="268"/>
    </row>
    <row r="63" spans="13:22">
      <c r="M63" s="238" t="str">
        <v>Tata Consumer Products Ltd</v>
      </c>
      <c r="N63" s="54">
        <v>0.0143254438371717</v>
      </c>
      <c r="T63" s="239" t="s">
        <v>1778</v>
      </c>
      <c r="U63" s="269">
        <f>SUM($U$47:$U$51)</f>
        <v>0.736408652583944</v>
      </c>
      <c r="V63" s="270"/>
    </row>
    <row r="64" spans="13:22">
      <c r="M64" s="238" t="str">
        <v>Bajaj Finance Ltd</v>
      </c>
      <c r="N64" s="54">
        <v>0.0139151003705381</v>
      </c>
      <c r="T64" s="240" t="s">
        <v>1780</v>
      </c>
      <c r="U64" s="271">
        <f>SUM($U$47:$U$57)</f>
        <v>0.981593650819998</v>
      </c>
      <c r="V64" s="272"/>
    </row>
    <row r="65" spans="13:14">
      <c r="M65" s="238" t="str">
        <v>Federal Bank Ltd</v>
      </c>
      <c r="N65" s="54">
        <v>0.013879644408706</v>
      </c>
    </row>
    <row r="66" ht="14.55" spans="13:14">
      <c r="M66" s="287" t="str">
        <v>ITC Ltd</v>
      </c>
      <c r="N66" s="260">
        <v>0.0137308896511312</v>
      </c>
    </row>
    <row r="70" ht="14.55"/>
    <row r="71" ht="14.55" spans="1:4">
      <c r="A71" s="166" t="s">
        <v>11</v>
      </c>
      <c r="B71" s="63" t="s">
        <v>12</v>
      </c>
      <c r="C71" s="90" t="str">
        <f>IF(B71='Drop Downs'!$I$18,'Drop Downs'!$D$2,'Drop Downs'!$E$2)</f>
        <v>Nifty 50</v>
      </c>
      <c r="D71" s="90" t="s">
        <v>234</v>
      </c>
    </row>
    <row r="72" spans="1:4">
      <c r="A72" s="198" t="s">
        <v>1781</v>
      </c>
      <c r="B72" s="199" cm="1">
        <f t="array" ref="B72">_xlfn.LET(_xlpm.FilteredList,_xlfn._xlws.FILTER('Drop Downs'!$J$26:$J$59,'Drop Downs'!$I$26:$I$59=$B$44),_xlpm.DataValues,_xlfn.IFNA(VLOOKUP(_xlpm.FilteredList,$M$5:$U$38,3,FALSE),0),_xlpm.Weights,_xlfn.IFNA(VLOOKUP(_xlpm.FilteredList,'Selector Sheet '!$B$14:$D$59,2,FALSE),0),_xlpm.RebacedW,(_xlpm.Weights*1)/SUM(_xlpm.Weights),SUMPRODUCT(_xlpm.DataValues,_xlpm.RebacedW))</f>
        <v>-0.0244159166666667</v>
      </c>
      <c r="C72" s="199" cm="1">
        <f t="array" ref="C72">INDEX('Drop Downs'!$P$13:$U$19,ROWS($A$1:A1),MATCH($C$71,'Drop Downs'!$P$12:$U$12,0))</f>
        <v>-0.029341</v>
      </c>
      <c r="D72" s="199" cm="1">
        <f t="array" ref="D72">INDEX('Drop Downs'!$P$13:$U$19,ROWS($A$1:A1),MATCH($D$71,'Drop Downs'!$P$12:$U$12,0))</f>
        <v>-0.028654</v>
      </c>
    </row>
    <row r="73" spans="1:4">
      <c r="A73" s="201" t="s">
        <v>1782</v>
      </c>
      <c r="B73" s="174" cm="1">
        <f t="array" ref="B73">_xlfn.LET(_xlpm.FilteredList,_xlfn._xlws.FILTER('Drop Downs'!$J$26:$J$59,'Drop Downs'!$I$26:$I$59=$B$44),_xlpm.DataValues,_xlfn.IFNA(VLOOKUP(_xlpm.FilteredList,$M$5:$U$38,4,FALSE),0),_xlpm.Weights,_xlfn.IFNA(VLOOKUP(_xlpm.FilteredList,'Selector Sheet '!$B$14:$D$59,2,FALSE),0),_xlpm.RebacedW,(_xlpm.Weights*1)/SUM(_xlpm.Weights),SUMPRODUCT(_xlpm.DataValues,_xlpm.RebacedW))</f>
        <v>0.0353251876233334</v>
      </c>
      <c r="C73" s="174" cm="1">
        <f t="array" ref="C73">INDEX('Drop Downs'!$P$13:$U$19,ROWS($A$1:A2),MATCH($C$71,'Drop Downs'!$P$12:$U$12,0))</f>
        <v>0.017841</v>
      </c>
      <c r="D73" s="174" cm="1">
        <f t="array" ref="D73">INDEX('Drop Downs'!$P$13:$U$19,ROWS($A$1:A2),MATCH($D$71,'Drop Downs'!$P$12:$U$12,0))</f>
        <v>0.038723</v>
      </c>
    </row>
    <row r="74" spans="1:4">
      <c r="A74" s="201" t="s">
        <v>1783</v>
      </c>
      <c r="B74" s="174" cm="1">
        <f t="array" ref="B74">_xlfn.LET(_xlpm.FilteredList,_xlfn._xlws.FILTER('Drop Downs'!$J$26:$J$59,'Drop Downs'!$I$26:$I$59=$B$44),_xlpm.DataValues,_xlfn.IFNA(VLOOKUP(_xlpm.FilteredList,$M$5:$U$38,5,FALSE),0),_xlpm.Weights,_xlfn.IFNA(VLOOKUP(_xlpm.FilteredList,'Selector Sheet '!$B$14:$D$59,2,FALSE),0),_xlpm.RebacedW,(_xlpm.Weights*1)/SUM(_xlpm.Weights),SUMPRODUCT(_xlpm.DataValues,_xlpm.RebacedW))</f>
        <v>0.0599328739582837</v>
      </c>
      <c r="C74" s="174" cm="1">
        <f t="array" ref="C74">INDEX('Drop Downs'!$P$13:$U$19,ROWS($A$1:A3),MATCH($C$71,'Drop Downs'!$P$12:$U$12,0))</f>
        <v>0.053596</v>
      </c>
      <c r="D74" s="174" cm="1">
        <f t="array" ref="D74">INDEX('Drop Downs'!$P$13:$U$19,ROWS($A$1:A3),MATCH($D$71,'Drop Downs'!$P$12:$U$12,0))</f>
        <v>0.05945</v>
      </c>
    </row>
    <row r="75" spans="1:4">
      <c r="A75" s="201" t="s">
        <v>1784</v>
      </c>
      <c r="B75" s="174" cm="1">
        <f t="array" ref="B75">_xlfn.LET(_xlpm.FilteredList,_xlfn._xlws.FILTER('Drop Downs'!$J$26:$J$59,'Drop Downs'!$I$26:$I$59=$B$44),_xlpm.DataValues,_xlfn.IFNA(VLOOKUP(_xlpm.FilteredList,$M$5:$U$38,6,FALSE),0),_xlpm.Weights,_xlfn.IFNA(VLOOKUP(_xlpm.FilteredList,'Selector Sheet '!$B$14:$D$59,2,FALSE),0),_xlpm.RebacedW,(_xlpm.Weights*1)/SUM(_xlpm.Weights),SUMPRODUCT(_xlpm.DataValues,_xlpm.RebacedW))</f>
        <v>-0.00621968185143298</v>
      </c>
      <c r="C75" s="174" cm="1">
        <f t="array" ref="C75">INDEX('Drop Downs'!$P$13:$U$19,ROWS($A$1:A4),MATCH($C$71,'Drop Downs'!$P$12:$U$12,0))</f>
        <v>-0.007326</v>
      </c>
      <c r="D75" s="174" cm="1">
        <f t="array" ref="D75">INDEX('Drop Downs'!$P$13:$U$19,ROWS($A$1:A4),MATCH($D$71,'Drop Downs'!$P$12:$U$12,0))</f>
        <v>-0.032041</v>
      </c>
    </row>
    <row r="76" spans="1:4">
      <c r="A76" s="201" t="s">
        <v>1785</v>
      </c>
      <c r="B76" s="174" cm="1">
        <f t="array" ref="B76">_xlfn.LET(_xlpm.FilteredList,_xlfn._xlws.FILTER('Drop Downs'!$J$26:$J$59,'Drop Downs'!$I$26:$I$59=$B$44),_xlpm.DataValues,_xlfn.IFNA(VLOOKUP(_xlpm.FilteredList,$M$5:$U$38,7,FALSE),0),_xlpm.Weights,_xlfn.IFNA(VLOOKUP(_xlpm.FilteredList,'Selector Sheet '!$B$14:$D$59,2,FALSE),0),_xlpm.RebacedW,(_xlpm.Weights*1)/SUM(_xlpm.Weights),SUMPRODUCT(_xlpm.DataValues,_xlpm.RebacedW))</f>
        <v>0.191902105226011</v>
      </c>
      <c r="C76" s="174" cm="1">
        <f t="array" ref="C76">INDEX('Drop Downs'!$P$13:$U$19,ROWS($A$1:A5),MATCH($C$71,'Drop Downs'!$P$12:$U$12,0))</f>
        <v>0.129786</v>
      </c>
      <c r="D76" s="174" cm="1">
        <f t="array" ref="D76">INDEX('Drop Downs'!$P$13:$U$19,ROWS($A$1:A5),MATCH($D$71,'Drop Downs'!$P$12:$U$12,0))</f>
        <v>0.154431</v>
      </c>
    </row>
    <row r="77" spans="1:4">
      <c r="A77" s="201" t="s">
        <v>1786</v>
      </c>
      <c r="B77" s="174" cm="1">
        <f t="array" ref="B77">_xlfn.LET(_xlpm.FilteredList,_xlfn._xlws.FILTER('Drop Downs'!$J$26:$J$59,'Drop Downs'!$I$26:$I$59=$B$44),_xlpm.DataValues,_xlfn.IFNA(VLOOKUP(_xlpm.FilteredList,$M$5:$U$38,8,FALSE),0),_xlpm.Weights,_xlfn.IFNA(VLOOKUP(_xlpm.FilteredList,'Selector Sheet '!$B$14:$D$59,2,FALSE),0),_xlpm.RebacedW,(_xlpm.Weights*1)/SUM(_xlpm.Weights),SUMPRODUCT(_xlpm.DataValues,_xlpm.RebacedW))</f>
        <v>0.251830832730093</v>
      </c>
      <c r="C77" s="174" cm="1">
        <f t="array" ref="C77">INDEX('Drop Downs'!$P$13:$U$19,ROWS($A$1:A6),MATCH($C$71,'Drop Downs'!$P$12:$U$12,0))</f>
        <v>0.174585</v>
      </c>
      <c r="D77" s="174" cm="1">
        <f t="array" ref="D77">INDEX('Drop Downs'!$P$13:$U$19,ROWS($A$1:A6),MATCH($D$71,'Drop Downs'!$P$12:$U$12,0))</f>
        <v>0.201781</v>
      </c>
    </row>
    <row r="78" ht="14.55" spans="1:4">
      <c r="A78" s="202" t="s">
        <v>1787</v>
      </c>
      <c r="B78" s="185" cm="1">
        <f t="array" ref="B78">_xlfn.LET(_xlpm.FilteredList,_xlfn._xlws.FILTER('Drop Downs'!$J$26:$J$59,'Drop Downs'!$I$26:$I$59=$B$44),_xlpm.DataValues,_xlfn.IFNA(VLOOKUP(_xlpm.FilteredList,$M$5:$U$38,9,FALSE),0),_xlpm.Weights,_xlfn.IFNA(VLOOKUP(_xlpm.FilteredList,'Selector Sheet '!$B$14:$D$59,2,FALSE),0),_xlpm.RebacedW,(_xlpm.Weights*1)/SUM(_xlpm.Weights),SUMPRODUCT(_xlpm.DataValues,_xlpm.RebacedW))</f>
        <v>0.0812585</v>
      </c>
      <c r="C78" s="185" cm="1">
        <f t="array" ref="C78">INDEX('Drop Downs'!$P$13:$U$19,ROWS($A$1:A7),MATCH($C$71,'Drop Downs'!$P$12:$U$12,0))</f>
        <v>0.112352</v>
      </c>
      <c r="D78" s="185" cm="1">
        <f t="array" ref="D78">INDEX('Drop Downs'!$P$13:$U$19,ROWS($A$1:A7),MATCH($D$71,'Drop Downs'!$P$12:$U$12,0))</f>
        <v>0.123351</v>
      </c>
    </row>
    <row r="79" spans="3:3">
      <c r="C79" s="125"/>
    </row>
    <row r="80" hidden="1" spans="1:3">
      <c r="A80" s="163" t="s">
        <v>1788</v>
      </c>
      <c r="B80" s="164"/>
      <c r="C80" s="164"/>
    </row>
    <row r="81" ht="14.55" hidden="1"/>
    <row r="82" ht="14.55" hidden="1" spans="1:3">
      <c r="A82" s="166" t="s">
        <v>11</v>
      </c>
      <c r="B82" s="166" t="s">
        <v>0</v>
      </c>
      <c r="C82" s="90" t="s">
        <v>234</v>
      </c>
    </row>
    <row r="83" hidden="1" spans="1:3">
      <c r="A83" s="198" t="s">
        <v>25</v>
      </c>
      <c r="B83" s="199" cm="1">
        <f t="array" ref="B83">_xlfn.LET(_xlpm.names,$A$5:$A$37,_xlpm.Weights,$B$5:$B$37,_xlpm.returns_raw,VLOOKUP(_xlpm.names,$X$5:$AF$38,2,FALSE),_xlpm.returns,IFERROR(_xlpm.returns_raw,NA()),_xlpm.valid,(_xlpm.Weights&lt;&gt;"")*(ISNUMBER(_xlpm.returns)),_xlpm.w,_xlfn._xlws.FILTER(_xlpm.Weights,_xlpm.valid),_xlpm.r,_xlfn._xlws.FILTER(_xlpm.returns,_xlpm.valid),_xlpm.rebased_w,_xlpm.w/SUM(_xlpm.w),SUMPRODUCT(_xlpm.rebased_w,_xlpm.r))</f>
        <v>0.0169283900164112</v>
      </c>
      <c r="C83" s="199" cm="1">
        <f t="array" ref="C83">INDEX('Drop Downs'!$P$3:$T$10,ROWS($A$1:A1),MATCH($D$44,'Drop Downs'!$P$2:$T$2,0))</f>
        <v>0.022527</v>
      </c>
    </row>
    <row r="84" hidden="1" spans="1:3">
      <c r="A84" s="201">
        <v>2024</v>
      </c>
      <c r="B84" s="174" cm="1">
        <f t="array" ref="B84">_xlfn.LET(_xlpm.names,$A$5:$A$37,_xlpm.Weights,$B$5:$B$37,_xlpm.returns_raw,VLOOKUP(_xlpm.names,$X$5:$AF$38,3,FALSE),_xlpm.returns,IFERROR(_xlpm.returns_raw,NA()),_xlpm.valid,(_xlpm.Weights&lt;&gt;"")*(ISNUMBER(_xlpm.returns)),_xlpm.w,_xlfn._xlws.FILTER(_xlpm.Weights,_xlpm.valid),_xlpm.r,_xlfn._xlws.FILTER(_xlpm.returns,_xlpm.valid),_xlpm.rebased_w,_xlpm.w/SUM(_xlpm.w),SUMPRODUCT(_xlpm.rebased_w,_xlpm.r))</f>
        <v>0.215521868016952</v>
      </c>
      <c r="C84" s="174" cm="1">
        <f t="array" ref="C84">INDEX('Drop Downs'!$P$3:$T$10,ROWS($A$1:A2),MATCH($D$44,'Drop Downs'!$P$2:$T$2,0))</f>
        <v>0.145465796535709</v>
      </c>
    </row>
    <row r="85" hidden="1" spans="1:3">
      <c r="A85" s="201">
        <v>2023</v>
      </c>
      <c r="B85" s="174" cm="1">
        <f t="array" ref="B85">_xlfn.LET(_xlpm.names,$A$5:$A$37,_xlpm.Weights,$B$5:$B$37,_xlpm.returns_raw,VLOOKUP(_xlpm.names,$X$5:$AF$38,4,FALSE),_xlpm.returns,IFERROR(_xlpm.returns_raw,NA()),_xlpm.valid,(_xlpm.Weights&lt;&gt;"")*(ISNUMBER(_xlpm.returns)),_xlpm.w,_xlfn._xlws.FILTER(_xlpm.Weights,_xlpm.valid),_xlpm.r,_xlfn._xlws.FILTER(_xlpm.returns,_xlpm.valid),_xlpm.rebased_w,_xlpm.w/SUM(_xlpm.w),SUMPRODUCT(_xlpm.rebased_w,_xlpm.r))</f>
        <v>0.289874632355859</v>
      </c>
      <c r="C85" s="174" cm="1">
        <f t="array" ref="C85">INDEX('Drop Downs'!$P$3:$T$10,ROWS($A$1:A3),MATCH($D$44,'Drop Downs'!$P$2:$T$2,0))</f>
        <v>0.248498523517645</v>
      </c>
    </row>
    <row r="86" hidden="1" spans="1:3">
      <c r="A86" s="201">
        <v>2022</v>
      </c>
      <c r="B86" s="174" cm="1">
        <f t="array" ref="B86">_xlfn.LET(_xlpm.names,$A$5:$A$37,_xlpm.Weights,$B$5:$B$37,_xlpm.returns_raw,VLOOKUP(_xlpm.names,$X$5:$AF$38,5,FALSE),_xlpm.returns,IFERROR(_xlpm.returns_raw,NA()),_xlpm.valid,(_xlpm.Weights&lt;&gt;"")*(ISNUMBER(_xlpm.returns)),_xlpm.w,_xlfn._xlws.FILTER(_xlpm.Weights,_xlpm.valid),_xlpm.r,_xlfn._xlws.FILTER(_xlpm.returns,_xlpm.valid),_xlpm.rebased_w,_xlpm.w/SUM(_xlpm.w),SUMPRODUCT(_xlpm.rebased_w,_xlpm.r))</f>
        <v>0.0939143078295527</v>
      </c>
      <c r="C86" s="174" cm="1">
        <f t="array" ref="C86">INDEX('Drop Downs'!$P$3:$T$10,ROWS($A$1:A4),MATCH($D$44,'Drop Downs'!$P$2:$T$2,0))</f>
        <v>0.0333786905211876</v>
      </c>
    </row>
    <row r="87" hidden="1" spans="1:3">
      <c r="A87" s="201">
        <v>2021</v>
      </c>
      <c r="B87" s="174" cm="1">
        <f t="array" ref="B87">_xlfn.LET(_xlpm.names,$A$5:$A$37,_xlpm.Weights,$B$5:$B$37,_xlpm.returns_raw,VLOOKUP(_xlpm.names,$X$5:$AF$38,6,FALSE),_xlpm.returns,IFERROR(_xlpm.returns_raw,NA()),_xlpm.valid,(_xlpm.Weights&lt;&gt;"")*(ISNUMBER(_xlpm.returns)),_xlpm.w,_xlfn._xlws.FILTER(_xlpm.Weights,_xlpm.valid),_xlpm.r,_xlfn._xlws.FILTER(_xlpm.returns,_xlpm.valid),_xlpm.rebased_w,_xlpm.w/SUM(_xlpm.w),SUMPRODUCT(_xlpm.rebased_w,_xlpm.r))</f>
        <v>0.349974242465597</v>
      </c>
      <c r="C87" s="174" cm="1">
        <f t="array" ref="C87">INDEX('Drop Downs'!$P$3:$T$10,ROWS($A$1:A5),MATCH($D$44,'Drop Downs'!$P$2:$T$2,0))</f>
        <v>0.301140430926607</v>
      </c>
    </row>
    <row r="88" hidden="1" spans="1:3">
      <c r="A88" s="201">
        <v>2020</v>
      </c>
      <c r="B88" s="174" cm="1">
        <f t="array" ref="B88">_xlfn.LET(_xlpm.names,$A$5:$A$37,_xlpm.Weights,$B$5:$B$37,_xlpm.returns_raw,VLOOKUP(_xlpm.names,$X$5:$AF$38,7,FALSE),_xlpm.returns,IFERROR(_xlpm.returns_raw,NA()),_xlpm.valid,(_xlpm.Weights&lt;&gt;"")*(ISNUMBER(_xlpm.returns)),_xlpm.w,_xlfn._xlws.FILTER(_xlpm.Weights,_xlpm.valid),_xlpm.r,_xlfn._xlws.FILTER(_xlpm.returns,_xlpm.valid),_xlpm.rebased_w,_xlpm.w/SUM(_xlpm.w),SUMPRODUCT(_xlpm.rebased_w,_xlpm.r))</f>
        <v>0.0912704643516934</v>
      </c>
      <c r="C88" s="174" cm="1">
        <f t="array" ref="C88">INDEX('Drop Downs'!$P$3:$T$10,ROWS($A$1:A6),MATCH($D$44,'Drop Downs'!$P$2:$T$2,0))</f>
        <v>0.168033833223551</v>
      </c>
    </row>
    <row r="89" hidden="1" spans="1:3">
      <c r="A89" s="201">
        <v>2019</v>
      </c>
      <c r="B89" s="174" cm="1">
        <f t="array" ref="B89">_xlfn.LET(_xlpm.names,$A$5:$A$37,_xlpm.Weights,$B$5:$B$37,_xlpm.returns_raw,VLOOKUP(_xlpm.names,$X$5:$AF$38,8,FALSE),_xlpm.returns,IFERROR(_xlpm.returns_raw,NA()),_xlpm.valid,(_xlpm.Weights&lt;&gt;"")*(ISNUMBER(_xlpm.returns)),_xlpm.w,_xlfn._xlws.FILTER(_xlpm.Weights,_xlpm.valid),_xlpm.r,_xlfn._xlws.FILTER(_xlpm.returns,_xlpm.valid),_xlpm.rebased_w,_xlpm.w/SUM(_xlpm.w),SUMPRODUCT(_xlpm.rebased_w,_xlpm.r))</f>
        <v>0.0886789253218191</v>
      </c>
      <c r="C89" s="174" cm="1">
        <f t="array" ref="C89">INDEX('Drop Downs'!$P$3:$T$10,ROWS($A$1:A7),MATCH($D$44,'Drop Downs'!$P$2:$T$2,0))</f>
        <v>0.077511676096721</v>
      </c>
    </row>
    <row r="90" ht="14.55" hidden="1" spans="1:10">
      <c r="A90" s="202">
        <v>2018</v>
      </c>
      <c r="B90" s="185" cm="1">
        <f t="array" ref="B90">_xlfn.LET(_xlpm.names,$A$5:$A$37,_xlpm.Weights,$B$5:$B$37,_xlpm.returns_raw,VLOOKUP(_xlpm.names,$X$5:$AF$38,9,FALSE),_xlpm.returns,IFERROR(_xlpm.returns_raw,NA()),_xlpm.valid,(_xlpm.Weights&lt;&gt;"")*(ISNUMBER(_xlpm.returns)),_xlpm.w,_xlfn._xlws.FILTER(_xlpm.Weights,_xlpm.valid),_xlpm.r,_xlfn._xlws.FILTER(_xlpm.returns,_xlpm.valid),_xlpm.rebased_w,_xlpm.w/SUM(_xlpm.w),SUMPRODUCT(_xlpm.rebased_w,_xlpm.r))</f>
        <v>-0.0451110892506647</v>
      </c>
      <c r="C90" s="185" cm="1">
        <f t="array" ref="C90">INDEX('Drop Downs'!$P$3:$T$10,ROWS($A$1:A8),MATCH($D$44,'Drop Downs'!$P$2:$T$2,0))</f>
        <v>-0.0308170579621176</v>
      </c>
      <c r="H90" s="34"/>
      <c r="I90" s="34"/>
      <c r="J90" s="34"/>
    </row>
    <row r="91" ht="14.55" hidden="1" spans="5:11">
      <c r="E91" s="34"/>
      <c r="F91" s="34"/>
      <c r="K91" s="34"/>
    </row>
    <row r="92" ht="14.55" hidden="1" spans="1:3">
      <c r="A92" s="166" t="s">
        <v>11</v>
      </c>
      <c r="B92" s="166" t="s">
        <v>0</v>
      </c>
      <c r="C92" s="90" t="s">
        <v>234</v>
      </c>
    </row>
    <row r="93" hidden="1" spans="1:15">
      <c r="A93" s="198" t="s">
        <v>17</v>
      </c>
      <c r="B93" s="283" cm="1">
        <f t="array" ref="B93">_xlfn.LET(_xlpm.names,$A$5:$A$37,_xlpm.Weights,$B$5:$B$37,_xlpm.returns_raw,VLOOKUP(_xlpm.names,$M$5:$U$38,3,FALSE),_xlpm.returns,IFERROR(_xlpm.returns_raw,NA()),_xlpm.valid,(_xlpm.Weights&lt;&gt;"")*(ISNUMBER(_xlpm.returns)),_xlpm.w,_xlfn._xlws.FILTER(_xlpm.Weights,_xlpm.valid),_xlpm.r,_xlfn._xlws.FILTER(_xlpm.returns,_xlpm.valid),_xlpm.rebased_w,_xlpm.w/SUM(_xlpm.w),SUMPRODUCT(_xlpm.rebased_w,_xlpm.r))</f>
        <v>-0.0244159166666667</v>
      </c>
      <c r="C93" s="199" cm="1">
        <f t="array" ref="C93">INDEX('Drop Downs'!$P$13:$U$19,ROWS($A$1:A1),MATCH($D$71,'Drop Downs'!$P$12:$U$12,0))</f>
        <v>-0.028654</v>
      </c>
      <c r="N93" s="34"/>
      <c r="O93" s="34"/>
    </row>
    <row r="94" hidden="1" spans="1:15">
      <c r="A94" s="201" t="s">
        <v>18</v>
      </c>
      <c r="B94" s="284" cm="1">
        <f t="array" ref="B94">_xlfn.LET(_xlpm.names,$A$5:$A$37,_xlpm.Weights,$B$5:$B$37,_xlpm.returns_raw,VLOOKUP(_xlpm.names,$M$5:$U$38,4,FALSE),_xlpm.returns,IFERROR(_xlpm.returns_raw,NA()),_xlpm.valid,(_xlpm.Weights&lt;&gt;"")*(ISNUMBER(_xlpm.returns)),_xlpm.w,_xlfn._xlws.FILTER(_xlpm.Weights,_xlpm.valid),_xlpm.r,_xlfn._xlws.FILTER(_xlpm.returns,_xlpm.valid),_xlpm.rebased_w,_xlpm.w/SUM(_xlpm.w),SUMPRODUCT(_xlpm.rebased_w,_xlpm.r))</f>
        <v>0.0353251876233334</v>
      </c>
      <c r="C94" s="174" cm="1">
        <f t="array" ref="C94">INDEX('Drop Downs'!$P$13:$U$19,ROWS($A$1:A2),MATCH($D$71,'Drop Downs'!$P$12:$U$12,0))</f>
        <v>0.038723</v>
      </c>
      <c r="N94" s="34"/>
      <c r="O94" s="34"/>
    </row>
    <row r="95" hidden="1" spans="1:15">
      <c r="A95" s="201" t="s">
        <v>19</v>
      </c>
      <c r="B95" s="284" cm="1">
        <f t="array" ref="B95">_xlfn.LET(_xlpm.names,$A$5:$A$37,_xlpm.Weights,$B$5:$B$37,_xlpm.returns_raw,VLOOKUP(_xlpm.names,$M$5:$U$38,5,FALSE),_xlpm.returns,IFERROR(_xlpm.returns_raw,NA()),_xlpm.valid,(_xlpm.Weights&lt;&gt;"")*(ISNUMBER(_xlpm.returns)),_xlpm.w,_xlfn._xlws.FILTER(_xlpm.Weights,_xlpm.valid),_xlpm.r,_xlfn._xlws.FILTER(_xlpm.returns,_xlpm.valid),_xlpm.rebased_w,_xlpm.w/SUM(_xlpm.w),SUMPRODUCT(_xlpm.rebased_w,_xlpm.r))</f>
        <v>0.0599328739582837</v>
      </c>
      <c r="C95" s="174" cm="1">
        <f t="array" ref="C95">INDEX('Drop Downs'!$P$13:$U$19,ROWS($A$1:A3),MATCH($D$71,'Drop Downs'!$P$12:$U$12,0))</f>
        <v>0.05945</v>
      </c>
      <c r="N95" s="34"/>
      <c r="O95" s="34"/>
    </row>
    <row r="96" hidden="1" spans="1:15">
      <c r="A96" s="201" t="s">
        <v>20</v>
      </c>
      <c r="B96" s="284" cm="1">
        <f t="array" ref="B96">_xlfn.LET(_xlpm.names,$A$5:$A$37,_xlpm.Weights,$B$5:$B$37,_xlpm.returns_raw,VLOOKUP(_xlpm.names,$M$5:$U$38,6,FALSE),_xlpm.returns,IFERROR(_xlpm.returns_raw,NA()),_xlpm.valid,(_xlpm.Weights&lt;&gt;"")*(ISNUMBER(_xlpm.returns)),_xlpm.w,_xlfn._xlws.FILTER(_xlpm.Weights,_xlpm.valid),_xlpm.r,_xlfn._xlws.FILTER(_xlpm.returns,_xlpm.valid),_xlpm.rebased_w,_xlpm.w/SUM(_xlpm.w),SUMPRODUCT(_xlpm.rebased_w,_xlpm.r))</f>
        <v>-0.00621968185143298</v>
      </c>
      <c r="C96" s="174" cm="1">
        <f t="array" ref="C96">INDEX('Drop Downs'!$P$13:$U$19,ROWS($A$1:A4),MATCH($D$71,'Drop Downs'!$P$12:$U$12,0))</f>
        <v>-0.032041</v>
      </c>
      <c r="N96" s="34"/>
      <c r="O96" s="34"/>
    </row>
    <row r="97" hidden="1" spans="1:15">
      <c r="A97" s="201" t="s">
        <v>22</v>
      </c>
      <c r="B97" s="284" cm="1">
        <f t="array" ref="B97">_xlfn.LET(_xlpm.names,$A$5:$A$37,_xlpm.Weights,$B$5:$B$37,_xlpm.returns_raw,VLOOKUP(_xlpm.names,$M$5:$U$38,7,FALSE),_xlpm.returns,IFERROR(_xlpm.returns_raw,NA()),_xlpm.valid,(_xlpm.Weights&lt;&gt;"")*(ISNUMBER(_xlpm.returns)),_xlpm.w,_xlfn._xlws.FILTER(_xlpm.Weights,_xlpm.valid),_xlpm.r,_xlfn._xlws.FILTER(_xlpm.returns,_xlpm.valid),_xlpm.rebased_w,_xlpm.w/SUM(_xlpm.w),SUMPRODUCT(_xlpm.rebased_w,_xlpm.r))</f>
        <v>0.191902105226011</v>
      </c>
      <c r="C97" s="174" cm="1">
        <f t="array" ref="C97">INDEX('Drop Downs'!$P$13:$U$19,ROWS($A$1:A5),MATCH($D$71,'Drop Downs'!$P$12:$U$12,0))</f>
        <v>0.154431</v>
      </c>
      <c r="N97" s="34"/>
      <c r="O97" s="34"/>
    </row>
    <row r="98" hidden="1" spans="1:15">
      <c r="A98" s="201" t="s">
        <v>23</v>
      </c>
      <c r="B98" s="285" cm="1">
        <f t="array" ref="B98">_xlfn.LET(_xlpm.names,$A$5:$A$37,_xlpm.Weights,$B$5:$B$37,_xlpm.returns_raw,VLOOKUP(_xlpm.names,$M$5:$U$38,8,FALSE),_xlpm.returns,IFERROR(_xlpm.returns_raw,NA()),_xlpm.valid,(_xlpm.Weights&lt;&gt;"")*(ISNUMBER(_xlpm.returns)),_xlpm.w,_xlfn._xlws.FILTER(_xlpm.Weights,_xlpm.valid),_xlpm.r,_xlfn._xlws.FILTER(_xlpm.returns,_xlpm.valid),_xlpm.rebased_w,_xlpm.w/SUM(_xlpm.w),SUMPRODUCT(_xlpm.rebased_w,_xlpm.r))</f>
        <v>0.251830832730093</v>
      </c>
      <c r="C98" s="174" cm="1">
        <f t="array" ref="C98">INDEX('Drop Downs'!$P$13:$U$19,ROWS($A$1:A6),MATCH($D$71,'Drop Downs'!$P$12:$U$12,0))</f>
        <v>0.201781</v>
      </c>
      <c r="N98" s="34"/>
      <c r="O98" s="34"/>
    </row>
    <row r="99" ht="14.55" hidden="1" spans="1:15">
      <c r="A99" s="202" t="s">
        <v>24</v>
      </c>
      <c r="B99" s="286" cm="1">
        <f t="array" ref="B99">_xlfn.LET(_xlpm.names,$A$5:$A$37,_xlpm.Weights,$B$5:$B$37,_xlpm.returns_raw,VLOOKUP(_xlpm.names,$M$5:$U$38,9,FALSE),_xlpm.returns,IFERROR(_xlpm.returns_raw,NA()),_xlpm.valid,(_xlpm.Weights&lt;&gt;"")*(ISNUMBER(_xlpm.returns)),_xlpm.w,_xlfn._xlws.FILTER(_xlpm.Weights,_xlpm.valid),_xlpm.r,_xlfn._xlws.FILTER(_xlpm.returns,_xlpm.valid),_xlpm.rebased_w,_xlpm.w/SUM(_xlpm.w),SUMPRODUCT(_xlpm.rebased_w,_xlpm.r))</f>
        <v>0.139300285714286</v>
      </c>
      <c r="C99" s="185" cm="1">
        <f t="array" ref="C99">INDEX('Drop Downs'!$P$13:$U$19,ROWS($A$1:A7),MATCH($D$71,'Drop Downs'!$P$12:$U$12,0))</f>
        <v>0.123351</v>
      </c>
      <c r="N99" s="34"/>
      <c r="O99" s="34"/>
    </row>
    <row r="100" spans="14:15">
      <c r="N100" s="34"/>
      <c r="O100" s="34"/>
    </row>
    <row r="101" spans="14:15">
      <c r="N101" s="34"/>
      <c r="O101" s="34"/>
    </row>
    <row r="102" spans="14:15">
      <c r="N102" s="34"/>
      <c r="O102" s="34"/>
    </row>
    <row r="103" spans="14:15">
      <c r="N103" s="34"/>
      <c r="O103" s="34"/>
    </row>
    <row r="104" spans="14:15">
      <c r="N104" s="34"/>
      <c r="O104" s="34"/>
    </row>
    <row r="105" spans="14:15">
      <c r="N105" s="34"/>
      <c r="O105" s="34"/>
    </row>
    <row r="106" spans="14:15">
      <c r="N106" s="34"/>
      <c r="O106" s="34"/>
    </row>
    <row r="107" spans="14:15">
      <c r="N107" s="34"/>
      <c r="O107" s="34"/>
    </row>
    <row r="108" spans="14:15">
      <c r="N108" s="34"/>
      <c r="O108" s="34"/>
    </row>
    <row r="109" spans="14:15">
      <c r="N109" s="34"/>
      <c r="O109" s="34"/>
    </row>
    <row r="110" spans="14:15">
      <c r="N110" s="34"/>
      <c r="O110" s="34"/>
    </row>
    <row r="111" spans="14:15">
      <c r="N111" s="34"/>
      <c r="O111" s="34"/>
    </row>
  </sheetData>
  <mergeCells count="23">
    <mergeCell ref="O3:U3"/>
    <mergeCell ref="Y3:AF3"/>
    <mergeCell ref="H42:J42"/>
    <mergeCell ref="M42:U42"/>
    <mergeCell ref="X42:Z42"/>
    <mergeCell ref="I43:J43"/>
    <mergeCell ref="I44:J44"/>
    <mergeCell ref="I45:J45"/>
    <mergeCell ref="M45:N45"/>
    <mergeCell ref="P45:R45"/>
    <mergeCell ref="T45:U45"/>
    <mergeCell ref="Q46:R46"/>
    <mergeCell ref="Q47:R47"/>
    <mergeCell ref="Q48:R48"/>
    <mergeCell ref="Q49:R49"/>
    <mergeCell ref="T61:V61"/>
    <mergeCell ref="U62:V62"/>
    <mergeCell ref="U63:V63"/>
    <mergeCell ref="U64:V64"/>
    <mergeCell ref="A80:C80"/>
    <mergeCell ref="A39:B40"/>
    <mergeCell ref="E38:F39"/>
    <mergeCell ref="M1:AF2"/>
  </mergeCells>
  <conditionalFormatting sqref="M6:AF38">
    <cfRule type="notContainsBlanks" priority="12">
      <formula>LEN(TRIM(M6))&gt;0</formula>
    </cfRule>
  </conditionalFormatting>
  <conditionalFormatting sqref="O6:U10">
    <cfRule type="containsBlanks" priority="11" stopIfTrue="1">
      <formula>LEN(TRIM(O6))=0</formula>
    </cfRule>
    <cfRule type="notContainsBlanks" priority="13">
      <formula>LEN(TRIM(O6))&gt;0</formula>
    </cfRule>
    <cfRule type="cellIs" dxfId="1" priority="31" operator="greaterThan">
      <formula>O$11</formula>
    </cfRule>
    <cfRule type="cellIs" dxfId="0" priority="32" operator="lessThan">
      <formula>O$11</formula>
    </cfRule>
  </conditionalFormatting>
  <conditionalFormatting sqref="Z18:AF19 Y6:AF10 Z13:AF13 Y14:AF15 Z22:AF22 Y23:AF30">
    <cfRule type="cellIs" dxfId="0" priority="44" operator="lessThan">
      <formula>0</formula>
    </cfRule>
    <cfRule type="cellIs" dxfId="1" priority="45" operator="greaterThan">
      <formula>0</formula>
    </cfRule>
  </conditionalFormatting>
  <conditionalFormatting sqref="Y6:AF10">
    <cfRule type="containsBlanks" priority="5" stopIfTrue="1">
      <formula>LEN(TRIM(Y6))=0</formula>
    </cfRule>
  </conditionalFormatting>
  <conditionalFormatting sqref="O13:U15 Y13:AF15">
    <cfRule type="cellIs" dxfId="0" priority="29" operator="lessThan">
      <formula>O$16</formula>
    </cfRule>
    <cfRule type="cellIs" dxfId="1" priority="30" operator="greaterThan">
      <formula>O$16</formula>
    </cfRule>
  </conditionalFormatting>
  <conditionalFormatting sqref="O13:U15">
    <cfRule type="containsBlanks" priority="10" stopIfTrue="1">
      <formula>LEN(TRIM(O13))=0</formula>
    </cfRule>
  </conditionalFormatting>
  <conditionalFormatting sqref="Y13:AF15">
    <cfRule type="containsBlanks" priority="4" stopIfTrue="1">
      <formula>LEN(TRIM(Y13))=0</formula>
    </cfRule>
  </conditionalFormatting>
  <conditionalFormatting sqref="O18:U19 Y18:AF19">
    <cfRule type="cellIs" dxfId="0" priority="25" operator="lessThan">
      <formula>O$20</formula>
    </cfRule>
    <cfRule type="cellIs" dxfId="1" priority="26" operator="greaterThan">
      <formula>O$20</formula>
    </cfRule>
  </conditionalFormatting>
  <conditionalFormatting sqref="O18:U19">
    <cfRule type="containsBlanks" priority="9" stopIfTrue="1">
      <formula>LEN(TRIM(O18))=0</formula>
    </cfRule>
  </conditionalFormatting>
  <conditionalFormatting sqref="Y18:AF19">
    <cfRule type="containsBlanks" priority="3" stopIfTrue="1">
      <formula>LEN(TRIM(Y18))=0</formula>
    </cfRule>
  </conditionalFormatting>
  <conditionalFormatting sqref="Y22:AF30 O22:U30">
    <cfRule type="cellIs" dxfId="0" priority="21" operator="lessThan">
      <formula>O$31</formula>
    </cfRule>
    <cfRule type="cellIs" dxfId="1" priority="22" operator="greaterThan">
      <formula>O$31</formula>
    </cfRule>
  </conditionalFormatting>
  <conditionalFormatting sqref="O22:U30">
    <cfRule type="containsBlanks" priority="7" stopIfTrue="1">
      <formula>LEN(TRIM(O22))=0</formula>
    </cfRule>
  </conditionalFormatting>
  <conditionalFormatting sqref="Y22:AF30">
    <cfRule type="containsBlanks" priority="2" stopIfTrue="1">
      <formula>LEN(TRIM(Y22))=0</formula>
    </cfRule>
  </conditionalFormatting>
  <conditionalFormatting sqref="O33:U37 Y33:AF37">
    <cfRule type="cellIs" dxfId="0" priority="17" operator="lessThan">
      <formula>O$38</formula>
    </cfRule>
    <cfRule type="cellIs" dxfId="1" priority="18" operator="greaterThan">
      <formula>O$38</formula>
    </cfRule>
  </conditionalFormatting>
  <conditionalFormatting sqref="O33:U37">
    <cfRule type="containsBlanks" priority="6" stopIfTrue="1">
      <formula>LEN(TRIM(O33))=0</formula>
    </cfRule>
  </conditionalFormatting>
  <conditionalFormatting sqref="Z33:AF33 Y34:AF36">
    <cfRule type="cellIs" dxfId="0" priority="42" operator="lessThan">
      <formula>0</formula>
    </cfRule>
    <cfRule type="cellIs" dxfId="1" priority="43" operator="greaterThan">
      <formula>0</formula>
    </cfRule>
  </conditionalFormatting>
  <conditionalFormatting sqref="Y33:AF37">
    <cfRule type="containsBlanks" priority="1" stopIfTrue="1">
      <formula>LEN(TRIM(Y33))=0</formula>
    </cfRule>
  </conditionalFormatting>
  <dataValidations count="4">
    <dataValidation type="list" allowBlank="1" showInputMessage="1" showErrorMessage="1" sqref="B44 B71">
      <formula1>'Drop Downs'!$I$18:$I$19</formula1>
    </dataValidation>
    <dataValidation type="list" allowBlank="1" showInputMessage="1" showErrorMessage="1" sqref="D44 D71 C82 C92">
      <formula1>'Drop Downs'!$P$2:$T$2</formula1>
    </dataValidation>
    <dataValidation type="list" allowBlank="1" showInputMessage="1" showErrorMessage="1" sqref="M45:N45">
      <formula1>'Drop Downs'!$B$14:$B$15</formula1>
    </dataValidation>
    <dataValidation type="list" allowBlank="1" showInputMessage="1" showErrorMessage="1" sqref="T45:U45">
      <formula1>'Drop Downs'!$B$16:$B$17</formula1>
    </dataValidation>
  </dataValidations>
  <pageMargins left="0.7" right="0.7" top="0.75" bottom="0.75" header="0.3" footer="0.3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H69"/>
  <sheetViews>
    <sheetView showGridLines="0" workbookViewId="0">
      <selection activeCell="B64" sqref="B64:B65"/>
    </sheetView>
  </sheetViews>
  <sheetFormatPr defaultColWidth="9" defaultRowHeight="13.8" outlineLevelCol="7"/>
  <cols>
    <col min="1" max="1" width="12.725" customWidth="1"/>
    <col min="2" max="2" width="50" customWidth="1"/>
    <col min="3" max="3" width="21.175" customWidth="1"/>
    <col min="4" max="5" width="29" customWidth="1"/>
    <col min="6" max="6" width="38.3583333333333" customWidth="1"/>
    <col min="7" max="7" width="20.6333333333333" customWidth="1"/>
    <col min="8" max="8" width="66.3583333333333" customWidth="1"/>
  </cols>
  <sheetData>
    <row r="1" ht="14.55"/>
    <row r="2" ht="14.55" spans="2:3">
      <c r="B2" s="86" t="s">
        <v>791</v>
      </c>
      <c r="C2" s="87" t="str">
        <f>D5</f>
        <v>Conservative</v>
      </c>
    </row>
    <row r="3" ht="14.55" spans="2:3">
      <c r="B3" s="88" t="s">
        <v>1789</v>
      </c>
      <c r="C3" s="89">
        <v>500000000</v>
      </c>
    </row>
    <row r="4" ht="14.55"/>
    <row r="5" ht="14.55" spans="1:8">
      <c r="A5" s="86" t="s">
        <v>1790</v>
      </c>
      <c r="B5" s="41"/>
      <c r="C5" s="90"/>
      <c r="D5" s="91" t="s">
        <v>781</v>
      </c>
      <c r="E5" s="92" t="s">
        <v>1791</v>
      </c>
      <c r="H5" s="93" t="s">
        <v>1792</v>
      </c>
    </row>
    <row r="6" ht="14.5" customHeight="1" spans="1:8">
      <c r="A6" s="94" t="s">
        <v>12</v>
      </c>
      <c r="D6" s="95">
        <f>VLOOKUP('Selector Sheet '!D5,'Drop Downs'!$B$25:$F$29,3,FALSE)</f>
        <v>0.4</v>
      </c>
      <c r="E6" s="96"/>
      <c r="H6" s="97" t="s">
        <v>1793</v>
      </c>
    </row>
    <row r="7" spans="1:8">
      <c r="A7" s="94" t="s">
        <v>789</v>
      </c>
      <c r="D7" s="95">
        <f>VLOOKUP('Selector Sheet '!D5,'Drop Downs'!$B$25:$F$29,4,FALSE)</f>
        <v>0.2</v>
      </c>
      <c r="E7" s="96"/>
      <c r="H7" s="98"/>
    </row>
    <row r="8" spans="1:8">
      <c r="A8" s="94" t="s">
        <v>1794</v>
      </c>
      <c r="D8" s="95">
        <f>VLOOKUP('Selector Sheet '!D5,'Drop Downs'!$B$25:$F$29,5,FALSE)</f>
        <v>0.1</v>
      </c>
      <c r="E8" s="96"/>
      <c r="H8" s="98"/>
    </row>
    <row r="9" ht="14.55" spans="1:8">
      <c r="A9" s="94" t="s">
        <v>67</v>
      </c>
      <c r="D9" s="95">
        <f>VLOOKUP('Selector Sheet '!D5,'Drop Downs'!$B$25:$F$29,2,FALSE)</f>
        <v>0.3</v>
      </c>
      <c r="E9" s="99"/>
      <c r="H9" s="98"/>
    </row>
    <row r="10" ht="14.55" spans="1:8">
      <c r="A10" s="86" t="s">
        <v>1795</v>
      </c>
      <c r="B10" s="41"/>
      <c r="C10" s="90"/>
      <c r="D10" s="100">
        <f>SUM(D6:D9)</f>
        <v>1</v>
      </c>
      <c r="E10" s="101"/>
      <c r="F10" s="101"/>
      <c r="H10" s="98"/>
    </row>
    <row r="11" spans="2:8">
      <c r="B11" s="102"/>
      <c r="F11" s="101"/>
      <c r="H11" s="98"/>
    </row>
    <row r="12" ht="14.55" spans="1:8">
      <c r="A12" s="103" t="s">
        <v>1796</v>
      </c>
      <c r="B12" s="104"/>
      <c r="C12" s="104"/>
      <c r="D12" s="104"/>
      <c r="E12" s="104"/>
      <c r="F12" s="101"/>
      <c r="H12" s="105"/>
    </row>
    <row r="13" ht="15" customHeight="1" spans="1:6">
      <c r="A13" s="106" t="s">
        <v>31</v>
      </c>
      <c r="B13" s="107"/>
      <c r="C13" s="108">
        <v>1</v>
      </c>
      <c r="D13" s="109">
        <f>$C$13*$D$6</f>
        <v>0.4</v>
      </c>
      <c r="E13" s="110" t="s">
        <v>1797</v>
      </c>
      <c r="F13" s="92" t="s">
        <v>1798</v>
      </c>
    </row>
    <row r="14" ht="14.55" spans="1:8">
      <c r="A14" s="111" t="s">
        <v>41</v>
      </c>
      <c r="B14" s="112"/>
      <c r="C14" s="113">
        <v>1</v>
      </c>
      <c r="D14" s="113">
        <f>C14*$D$6</f>
        <v>0.4</v>
      </c>
      <c r="E14" s="114">
        <f>IF(D14*$C$3=0,"",D14*$C$3)</f>
        <v>200000000</v>
      </c>
      <c r="F14" s="99"/>
      <c r="H14" s="115" t="s">
        <v>1799</v>
      </c>
    </row>
    <row r="15" spans="1:8">
      <c r="A15" s="116" t="b">
        <v>1</v>
      </c>
      <c r="B15" s="117" t="s">
        <v>42</v>
      </c>
      <c r="C15" s="118">
        <f>IF(A15=FALSE,0,$C$14/COUNTIF($A$15:$A$19,TRUE))</f>
        <v>0.5</v>
      </c>
      <c r="D15" s="119">
        <f>C15*$D$6</f>
        <v>0.2</v>
      </c>
      <c r="E15" s="120">
        <f t="shared" ref="E15:E66" si="0">IF(D15*$C$3=0,"",D15*$C$3)</f>
        <v>100000000</v>
      </c>
      <c r="H15" s="121" t="s">
        <v>1800</v>
      </c>
    </row>
    <row r="16" ht="14.55" spans="1:8">
      <c r="A16" s="116" t="b">
        <v>1</v>
      </c>
      <c r="B16" s="122" t="s">
        <v>43</v>
      </c>
      <c r="C16" s="118">
        <f>IF(A16=FALSE,0,$C$14/COUNTIF($A$15:$A$19,TRUE))</f>
        <v>0.5</v>
      </c>
      <c r="D16" s="119">
        <f>C16*$D$6</f>
        <v>0.2</v>
      </c>
      <c r="E16" s="120">
        <f t="shared" si="0"/>
        <v>100000000</v>
      </c>
      <c r="H16" s="123" t="s">
        <v>1801</v>
      </c>
    </row>
    <row r="17" spans="1:7">
      <c r="A17" s="116" t="b">
        <v>0</v>
      </c>
      <c r="B17" s="124" t="s">
        <v>44</v>
      </c>
      <c r="C17" s="118">
        <f>IF(A17=FALSE,0,$C$14/COUNTIF($A$15:$A$19,TRUE))</f>
        <v>0</v>
      </c>
      <c r="D17" s="119">
        <f>C17*$D$6</f>
        <v>0</v>
      </c>
      <c r="E17" s="120" t="str">
        <f t="shared" si="0"/>
        <v/>
      </c>
      <c r="F17" s="125"/>
      <c r="G17" s="84"/>
    </row>
    <row r="18" spans="1:7">
      <c r="A18" s="126" t="b">
        <v>0</v>
      </c>
      <c r="B18" s="127" t="s">
        <v>45</v>
      </c>
      <c r="C18" s="128">
        <f>IF(A18=FALSE,0,$C$14/COUNTIF($A$15:$A$19,TRUE))</f>
        <v>0</v>
      </c>
      <c r="D18" s="129">
        <f>$D$6*C18</f>
        <v>0</v>
      </c>
      <c r="E18" s="130" t="str">
        <f t="shared" si="0"/>
        <v/>
      </c>
      <c r="F18" s="131"/>
      <c r="G18" s="131"/>
    </row>
    <row r="19" ht="14.55" spans="1:7">
      <c r="A19" s="126" t="b">
        <v>0</v>
      </c>
      <c r="B19" s="127" t="s">
        <v>46</v>
      </c>
      <c r="C19" s="128">
        <f>IF(A19=FALSE,0,$C$14/COUNTIF($A$15:$A$19,TRUE))</f>
        <v>0</v>
      </c>
      <c r="D19" s="129">
        <f>$D$6*C19</f>
        <v>0</v>
      </c>
      <c r="E19" s="130" t="str">
        <f t="shared" si="0"/>
        <v/>
      </c>
      <c r="F19" s="131"/>
      <c r="G19" s="131"/>
    </row>
    <row r="20" ht="14.55" spans="1:7">
      <c r="A20" s="111" t="s">
        <v>47</v>
      </c>
      <c r="B20" s="112"/>
      <c r="C20" s="132">
        <f>VLOOKUP($D$5,'Drop Downs'!$I$3:$M$7,3,FALSE)</f>
        <v>0.2</v>
      </c>
      <c r="D20" s="113">
        <f>C20*$D$6</f>
        <v>0.08</v>
      </c>
      <c r="E20" s="114">
        <f t="shared" si="0"/>
        <v>40000000</v>
      </c>
      <c r="F20" s="131"/>
      <c r="G20" s="131"/>
    </row>
    <row r="21" spans="1:7">
      <c r="A21" s="116" t="b">
        <v>1</v>
      </c>
      <c r="B21" s="117" t="s">
        <v>48</v>
      </c>
      <c r="C21" s="118">
        <f>IF(A21=FALSE,0,$C$20/COUNTIF($A$21:$A$23,TRUE))</f>
        <v>0.1</v>
      </c>
      <c r="D21" s="119">
        <f>C21*$D$6</f>
        <v>0.04</v>
      </c>
      <c r="E21" s="120">
        <f t="shared" si="0"/>
        <v>20000000</v>
      </c>
      <c r="F21" s="131"/>
      <c r="G21" s="131"/>
    </row>
    <row r="22" spans="1:7">
      <c r="A22" s="116" t="b">
        <v>0</v>
      </c>
      <c r="B22" s="117" t="s">
        <v>49</v>
      </c>
      <c r="C22" s="118">
        <f>IF(A22=FALSE,0,$C$20/COUNTIF($A$21:$A$23,TRUE))</f>
        <v>0</v>
      </c>
      <c r="D22" s="119">
        <f>C22*$D$6</f>
        <v>0</v>
      </c>
      <c r="E22" s="120" t="str">
        <f t="shared" si="0"/>
        <v/>
      </c>
      <c r="F22" s="131"/>
      <c r="G22" s="131"/>
    </row>
    <row r="23" ht="14.55" spans="1:7">
      <c r="A23" s="126" t="b">
        <v>1</v>
      </c>
      <c r="B23" s="127" t="s">
        <v>50</v>
      </c>
      <c r="C23" s="128">
        <f>IF(A23=FALSE,0,$C$20/COUNTIF($A$21:$A$23,TRUE))</f>
        <v>0.1</v>
      </c>
      <c r="D23" s="129">
        <f>C23*$D$6</f>
        <v>0.04</v>
      </c>
      <c r="E23" s="130">
        <f t="shared" si="0"/>
        <v>20000000</v>
      </c>
      <c r="F23" s="131"/>
      <c r="G23" s="131"/>
    </row>
    <row r="24" ht="14.55" spans="1:7">
      <c r="A24" s="111" t="s">
        <v>51</v>
      </c>
      <c r="B24" s="112"/>
      <c r="C24" s="132">
        <f>VLOOKUP($D$5,'Drop Downs'!$I$3:$M$7,5,FALSE)</f>
        <v>0</v>
      </c>
      <c r="D24" s="113">
        <f>C24*$D$6</f>
        <v>0</v>
      </c>
      <c r="E24" s="114" t="str">
        <f t="shared" si="0"/>
        <v/>
      </c>
      <c r="F24" s="131"/>
      <c r="G24" s="131"/>
    </row>
    <row r="25" spans="1:7">
      <c r="A25" s="116" t="b">
        <v>0</v>
      </c>
      <c r="B25" s="117" t="s">
        <v>558</v>
      </c>
      <c r="C25" s="118">
        <f>IF(A25=FALSE,0,$C$24/COUNTIF($A$25:$A$26,TRUE))</f>
        <v>0</v>
      </c>
      <c r="D25" s="119">
        <f>$D$6*C25</f>
        <v>0</v>
      </c>
      <c r="E25" s="120" t="str">
        <f t="shared" si="0"/>
        <v/>
      </c>
      <c r="F25" s="131"/>
      <c r="G25" s="131"/>
    </row>
    <row r="26" ht="14.55" spans="1:7">
      <c r="A26" s="126" t="b">
        <v>0</v>
      </c>
      <c r="B26" s="127" t="s">
        <v>565</v>
      </c>
      <c r="C26" s="128">
        <f>IF(A26=FALSE,0,$C$24/COUNTIF($A$25:$A$26,TRUE))</f>
        <v>0</v>
      </c>
      <c r="D26" s="129">
        <f>$D$6*C26</f>
        <v>0</v>
      </c>
      <c r="E26" s="130" t="str">
        <f t="shared" si="0"/>
        <v/>
      </c>
      <c r="F26" s="131"/>
      <c r="G26" s="131"/>
    </row>
    <row r="27" ht="14.55" spans="1:7">
      <c r="A27" s="111" t="s">
        <v>780</v>
      </c>
      <c r="B27" s="112"/>
      <c r="C27" s="132">
        <f>VLOOKUP($D$5,'Drop Downs'!$I$3:$M$7,4,FALSE)</f>
        <v>0.5</v>
      </c>
      <c r="D27" s="113">
        <f>C27*$D$6</f>
        <v>0.2</v>
      </c>
      <c r="E27" s="114">
        <f t="shared" si="0"/>
        <v>100000000</v>
      </c>
      <c r="F27" s="131"/>
      <c r="G27" s="131"/>
    </row>
    <row r="28" spans="1:7">
      <c r="A28" s="116" t="b">
        <v>0</v>
      </c>
      <c r="B28" s="117" t="s">
        <v>52</v>
      </c>
      <c r="C28" s="118">
        <f t="shared" ref="C28:C36" si="1">IF(A28=FALSE,0,$C$27/COUNTIF($A$28:$A$36,TRUE))</f>
        <v>0</v>
      </c>
      <c r="D28" s="119">
        <f>C28*$D$6</f>
        <v>0</v>
      </c>
      <c r="E28" s="120" t="str">
        <f t="shared" si="0"/>
        <v/>
      </c>
      <c r="F28" s="131"/>
      <c r="G28" s="131"/>
    </row>
    <row r="29" spans="1:7">
      <c r="A29" s="116" t="b">
        <v>0</v>
      </c>
      <c r="B29" s="117" t="s">
        <v>53</v>
      </c>
      <c r="C29" s="118">
        <f t="shared" si="1"/>
        <v>0</v>
      </c>
      <c r="D29" s="119">
        <f>$D$6*C29</f>
        <v>0</v>
      </c>
      <c r="E29" s="120" t="str">
        <f t="shared" si="0"/>
        <v/>
      </c>
      <c r="F29" s="131"/>
      <c r="G29" s="131"/>
    </row>
    <row r="30" spans="1:7">
      <c r="A30" s="126" t="b">
        <v>0</v>
      </c>
      <c r="B30" s="127" t="s">
        <v>54</v>
      </c>
      <c r="C30" s="133">
        <f t="shared" si="1"/>
        <v>0</v>
      </c>
      <c r="D30" s="129">
        <f>C30*$D$6</f>
        <v>0</v>
      </c>
      <c r="E30" s="130" t="str">
        <f t="shared" si="0"/>
        <v/>
      </c>
      <c r="F30" s="131"/>
      <c r="G30" s="131"/>
    </row>
    <row r="31" spans="1:7">
      <c r="A31" s="116" t="b">
        <v>0</v>
      </c>
      <c r="B31" s="117" t="s">
        <v>55</v>
      </c>
      <c r="C31" s="118">
        <f t="shared" si="1"/>
        <v>0</v>
      </c>
      <c r="D31" s="119">
        <f>$D$6*C31</f>
        <v>0</v>
      </c>
      <c r="E31" s="120" t="str">
        <f t="shared" si="0"/>
        <v/>
      </c>
      <c r="F31" s="131"/>
      <c r="G31" s="131"/>
    </row>
    <row r="32" spans="1:7">
      <c r="A32" s="116" t="b">
        <v>0</v>
      </c>
      <c r="B32" s="117" t="s">
        <v>56</v>
      </c>
      <c r="C32" s="118">
        <f t="shared" si="1"/>
        <v>0</v>
      </c>
      <c r="D32" s="119">
        <f>C32*$D$6</f>
        <v>0</v>
      </c>
      <c r="E32" s="120" t="str">
        <f t="shared" si="0"/>
        <v/>
      </c>
      <c r="F32" s="131"/>
      <c r="G32" s="131"/>
    </row>
    <row r="33" spans="1:7">
      <c r="A33" s="116" t="b">
        <v>0</v>
      </c>
      <c r="B33" s="117" t="s">
        <v>57</v>
      </c>
      <c r="C33" s="118">
        <f t="shared" si="1"/>
        <v>0</v>
      </c>
      <c r="D33" s="119">
        <f>C33*$D$6</f>
        <v>0</v>
      </c>
      <c r="E33" s="120" t="str">
        <f t="shared" si="0"/>
        <v/>
      </c>
      <c r="F33" s="131"/>
      <c r="G33" s="131"/>
    </row>
    <row r="34" spans="1:7">
      <c r="A34" s="116" t="b">
        <v>0</v>
      </c>
      <c r="B34" s="117" t="s">
        <v>58</v>
      </c>
      <c r="C34" s="118">
        <f t="shared" si="1"/>
        <v>0</v>
      </c>
      <c r="D34" s="119">
        <f>C34*$D$6</f>
        <v>0</v>
      </c>
      <c r="E34" s="120" t="str">
        <f t="shared" si="0"/>
        <v/>
      </c>
      <c r="F34" s="131"/>
      <c r="G34" s="131"/>
    </row>
    <row r="35" spans="1:7">
      <c r="A35" s="126" t="b">
        <v>0</v>
      </c>
      <c r="B35" s="127" t="s">
        <v>59</v>
      </c>
      <c r="C35" s="133">
        <f t="shared" si="1"/>
        <v>0</v>
      </c>
      <c r="D35" s="129">
        <f>$D$6*C35</f>
        <v>0</v>
      </c>
      <c r="E35" s="130" t="str">
        <f t="shared" si="0"/>
        <v/>
      </c>
      <c r="F35" s="131"/>
      <c r="G35" s="131"/>
    </row>
    <row r="36" ht="14.55" spans="1:7">
      <c r="A36" s="134" t="b">
        <v>0</v>
      </c>
      <c r="B36" s="135" t="s">
        <v>60</v>
      </c>
      <c r="C36" s="136">
        <f t="shared" si="1"/>
        <v>0</v>
      </c>
      <c r="D36" s="137">
        <f>$D$6*C36</f>
        <v>0</v>
      </c>
      <c r="E36" s="138" t="str">
        <f t="shared" si="0"/>
        <v/>
      </c>
      <c r="F36" s="131"/>
      <c r="G36" s="131"/>
    </row>
    <row r="37" ht="14.55" spans="1:7">
      <c r="A37" s="139" t="s">
        <v>1802</v>
      </c>
      <c r="B37" s="139"/>
      <c r="C37" s="140">
        <f>SUM($C$28:$C$36)+C26+SUM($C$21:$C$23)+SUM($C$15:$C$19)</f>
        <v>1.2</v>
      </c>
      <c r="D37" s="141">
        <f>SUM($D$28:$D$36)+$D$26+SUM($D$21:$D$23)+SUM($D$15:$D$19)</f>
        <v>0.48</v>
      </c>
      <c r="E37" s="142">
        <f t="shared" si="0"/>
        <v>240000000</v>
      </c>
      <c r="F37" s="131"/>
      <c r="G37" s="131"/>
    </row>
    <row r="38" ht="14.55" spans="1:7">
      <c r="A38" s="106" t="s">
        <v>61</v>
      </c>
      <c r="B38" s="107"/>
      <c r="C38" s="143">
        <v>1</v>
      </c>
      <c r="D38" s="144">
        <f>C38*$D$7</f>
        <v>0.2</v>
      </c>
      <c r="E38" s="145">
        <f t="shared" si="0"/>
        <v>100000000</v>
      </c>
      <c r="F38" s="131"/>
      <c r="G38" s="131"/>
    </row>
    <row r="39" spans="1:7">
      <c r="A39" s="116" t="b">
        <v>0</v>
      </c>
      <c r="B39" s="117" t="s">
        <v>63</v>
      </c>
      <c r="C39" s="118">
        <f>IF(A39=FALSE,0,$C$38/COUNTIF($A$39:$A$42,TRUE))</f>
        <v>0</v>
      </c>
      <c r="D39" s="119">
        <f>$D$7*C39</f>
        <v>0</v>
      </c>
      <c r="E39" s="120" t="str">
        <f t="shared" si="0"/>
        <v/>
      </c>
      <c r="F39" s="131"/>
      <c r="G39" s="131"/>
    </row>
    <row r="40" spans="1:7">
      <c r="A40" s="116" t="b">
        <v>0</v>
      </c>
      <c r="B40" s="117" t="s">
        <v>64</v>
      </c>
      <c r="C40" s="118">
        <f>IF(A40=FALSE,0,$C$38/COUNTIF($A$39:$A$42,TRUE))</f>
        <v>0</v>
      </c>
      <c r="D40" s="119">
        <f>$D$7*C40</f>
        <v>0</v>
      </c>
      <c r="E40" s="120" t="str">
        <f t="shared" si="0"/>
        <v/>
      </c>
      <c r="F40" s="131"/>
      <c r="G40" s="131"/>
    </row>
    <row r="41" spans="1:7">
      <c r="A41" s="116" t="b">
        <v>0</v>
      </c>
      <c r="B41" s="117" t="s">
        <v>65</v>
      </c>
      <c r="C41" s="118">
        <f>IF(A41=FALSE,0,$C$38/COUNTIF($A$39:$A$42,TRUE))</f>
        <v>0</v>
      </c>
      <c r="D41" s="119">
        <f>$D$7*C41</f>
        <v>0</v>
      </c>
      <c r="E41" s="120" t="str">
        <f t="shared" si="0"/>
        <v/>
      </c>
      <c r="F41" s="131"/>
      <c r="G41" s="131"/>
    </row>
    <row r="42" ht="14.55" spans="1:7">
      <c r="A42" s="126" t="b">
        <v>0</v>
      </c>
      <c r="B42" s="146" t="s">
        <v>66</v>
      </c>
      <c r="C42" s="128">
        <f>IF(A42=FALSE,0,$C$38/COUNTIF($A$39:$A$42,TRUE))</f>
        <v>0</v>
      </c>
      <c r="D42" s="129">
        <f>$D$7*C42</f>
        <v>0</v>
      </c>
      <c r="E42" s="130" t="str">
        <f t="shared" si="0"/>
        <v/>
      </c>
      <c r="F42" s="131"/>
      <c r="G42" s="131"/>
    </row>
    <row r="43" ht="14.55" spans="1:7">
      <c r="A43" s="147" t="s">
        <v>1803</v>
      </c>
      <c r="B43" s="148"/>
      <c r="C43" s="141">
        <f>SUM($C$39:$C$42)</f>
        <v>0</v>
      </c>
      <c r="D43" s="149">
        <f>SUM(D39:D42)</f>
        <v>0</v>
      </c>
      <c r="E43" s="150" t="str">
        <f t="shared" si="0"/>
        <v/>
      </c>
      <c r="F43" s="131"/>
      <c r="G43" s="131"/>
    </row>
    <row r="44" ht="14.55" spans="1:5">
      <c r="A44" s="106" t="s">
        <v>67</v>
      </c>
      <c r="B44" s="107"/>
      <c r="C44" s="143">
        <v>1</v>
      </c>
      <c r="D44" s="144">
        <f>C44*$D$9</f>
        <v>0.3</v>
      </c>
      <c r="E44" s="145">
        <f t="shared" si="0"/>
        <v>150000000</v>
      </c>
    </row>
    <row r="45" ht="14.55" spans="1:5">
      <c r="A45" s="151" t="s">
        <v>68</v>
      </c>
      <c r="B45" s="151"/>
      <c r="C45" s="132">
        <f>VLOOKUP($D$5,'Drop Downs'!$I$9:$L$14,2,FALSE)</f>
        <v>0.7</v>
      </c>
      <c r="D45" s="113">
        <f>C45*$D$9</f>
        <v>0.21</v>
      </c>
      <c r="E45" s="114">
        <f t="shared" si="0"/>
        <v>105000000</v>
      </c>
    </row>
    <row r="46" spans="1:5">
      <c r="A46" s="116" t="b">
        <v>0</v>
      </c>
      <c r="B46" s="117" t="s">
        <v>69</v>
      </c>
      <c r="C46" s="118">
        <f t="shared" ref="C46:C51" si="2">IF($A46=FALSE,0,$C$45/COUNTIF($A$46:$A$51,TRUE))</f>
        <v>0</v>
      </c>
      <c r="D46" s="119">
        <f>$D$9*C46</f>
        <v>0</v>
      </c>
      <c r="E46" s="120" t="str">
        <f t="shared" si="0"/>
        <v/>
      </c>
    </row>
    <row r="47" spans="1:5">
      <c r="A47" s="116" t="b">
        <v>0</v>
      </c>
      <c r="B47" s="117" t="s">
        <v>70</v>
      </c>
      <c r="C47" s="118">
        <f t="shared" si="2"/>
        <v>0</v>
      </c>
      <c r="D47" s="119">
        <f t="shared" ref="D47:D51" si="3">$D$9*C47</f>
        <v>0</v>
      </c>
      <c r="E47" s="120" t="str">
        <f t="shared" si="0"/>
        <v/>
      </c>
    </row>
    <row r="48" spans="1:5">
      <c r="A48" s="116" t="b">
        <v>0</v>
      </c>
      <c r="B48" s="117" t="s">
        <v>71</v>
      </c>
      <c r="C48" s="118">
        <f t="shared" si="2"/>
        <v>0</v>
      </c>
      <c r="D48" s="119">
        <f t="shared" si="3"/>
        <v>0</v>
      </c>
      <c r="E48" s="120" t="str">
        <f t="shared" si="0"/>
        <v/>
      </c>
    </row>
    <row r="49" spans="1:7">
      <c r="A49" s="126" t="b">
        <v>0</v>
      </c>
      <c r="B49" s="127" t="s">
        <v>72</v>
      </c>
      <c r="C49" s="128">
        <f t="shared" si="2"/>
        <v>0</v>
      </c>
      <c r="D49" s="129">
        <f t="shared" si="3"/>
        <v>0</v>
      </c>
      <c r="E49" s="130" t="str">
        <f t="shared" si="0"/>
        <v/>
      </c>
      <c r="F49" s="131"/>
      <c r="G49" s="131"/>
    </row>
    <row r="50" spans="1:7">
      <c r="A50" s="126" t="b">
        <v>0</v>
      </c>
      <c r="B50" s="127" t="s">
        <v>73</v>
      </c>
      <c r="C50" s="128">
        <f t="shared" si="2"/>
        <v>0</v>
      </c>
      <c r="D50" s="129">
        <f t="shared" si="3"/>
        <v>0</v>
      </c>
      <c r="E50" s="130" t="str">
        <f t="shared" si="0"/>
        <v/>
      </c>
      <c r="F50" s="131"/>
      <c r="G50" s="131"/>
    </row>
    <row r="51" ht="14.55" spans="1:7">
      <c r="A51" s="126" t="b">
        <v>0</v>
      </c>
      <c r="B51" s="127" t="s">
        <v>74</v>
      </c>
      <c r="C51" s="128">
        <f t="shared" si="2"/>
        <v>0</v>
      </c>
      <c r="D51" s="129">
        <f t="shared" si="3"/>
        <v>0</v>
      </c>
      <c r="E51" s="130" t="str">
        <f t="shared" si="0"/>
        <v/>
      </c>
      <c r="F51" s="131"/>
      <c r="G51" s="131"/>
    </row>
    <row r="52" ht="14.55" spans="1:6">
      <c r="A52" s="151" t="s">
        <v>75</v>
      </c>
      <c r="B52" s="151"/>
      <c r="C52" s="132">
        <f>VLOOKUP($D$5,'Drop Downs'!$I$9:$L$14,3,FALSE)</f>
        <v>0.15</v>
      </c>
      <c r="D52" s="113">
        <f>C52*$D$9</f>
        <v>0.045</v>
      </c>
      <c r="E52" s="114">
        <f t="shared" si="0"/>
        <v>22500000</v>
      </c>
      <c r="F52" s="152" t="s">
        <v>1804</v>
      </c>
    </row>
    <row r="53" ht="14.55" spans="1:6">
      <c r="A53" s="116" t="b">
        <v>0</v>
      </c>
      <c r="B53" s="117" t="s">
        <v>76</v>
      </c>
      <c r="C53" s="118">
        <f>IF($A53=FALSE,0,$C$52/COUNTIF($A$53:$A$56,TRUE))</f>
        <v>0</v>
      </c>
      <c r="D53" s="119">
        <f>$D$9*C53</f>
        <v>0</v>
      </c>
      <c r="E53" s="120" t="str">
        <f t="shared" si="0"/>
        <v/>
      </c>
      <c r="F53" s="153"/>
    </row>
    <row r="54" spans="1:5">
      <c r="A54" s="116" t="b">
        <v>0</v>
      </c>
      <c r="B54" s="117" t="s">
        <v>77</v>
      </c>
      <c r="C54" s="118">
        <f>IF($A54=FALSE,0,$C$52/COUNTIF($A$53:$A$56,TRUE))</f>
        <v>0</v>
      </c>
      <c r="D54" s="119">
        <f>$D$9*C54</f>
        <v>0</v>
      </c>
      <c r="E54" s="120" t="str">
        <f t="shared" si="0"/>
        <v/>
      </c>
    </row>
    <row r="55" spans="1:5">
      <c r="A55" s="116" t="b">
        <v>0</v>
      </c>
      <c r="B55" s="117" t="s">
        <v>78</v>
      </c>
      <c r="C55" s="118">
        <f>IF($A55=FALSE,0,$C$52/COUNTIF($A$53:$A$56,TRUE))</f>
        <v>0</v>
      </c>
      <c r="D55" s="119">
        <f>$D$9*C55</f>
        <v>0</v>
      </c>
      <c r="E55" s="120" t="str">
        <f t="shared" si="0"/>
        <v/>
      </c>
    </row>
    <row r="56" ht="14.55" spans="1:7">
      <c r="A56" s="126" t="b">
        <v>0</v>
      </c>
      <c r="B56" s="127" t="s">
        <v>79</v>
      </c>
      <c r="C56" s="128">
        <f>IF($A56=FALSE,0,$C$52/COUNTIF($A$53:$A$56,TRUE))</f>
        <v>0</v>
      </c>
      <c r="D56" s="129">
        <f>$D$9*C56</f>
        <v>0</v>
      </c>
      <c r="E56" s="130" t="str">
        <f t="shared" si="0"/>
        <v/>
      </c>
      <c r="F56" s="131"/>
      <c r="G56" s="131"/>
    </row>
    <row r="57" ht="14.55" spans="1:7">
      <c r="A57" s="151" t="s">
        <v>80</v>
      </c>
      <c r="B57" s="151"/>
      <c r="C57" s="132">
        <f>VLOOKUP($D$5,'Drop Downs'!$I$9:$L$14,4,FALSE)</f>
        <v>0.15</v>
      </c>
      <c r="D57" s="113">
        <f>C57*$D$9</f>
        <v>0.045</v>
      </c>
      <c r="E57" s="114">
        <f t="shared" si="0"/>
        <v>22500000</v>
      </c>
      <c r="F57" s="131"/>
      <c r="G57" s="131"/>
    </row>
    <row r="58" ht="14.55" spans="1:5">
      <c r="A58" s="116" t="b">
        <v>0</v>
      </c>
      <c r="B58" s="117" t="s">
        <v>81</v>
      </c>
      <c r="C58" s="118">
        <f>IF(A58=FALSE,0,$C$57)</f>
        <v>0</v>
      </c>
      <c r="D58" s="119">
        <f>$D$7*C58</f>
        <v>0</v>
      </c>
      <c r="E58" s="120" t="str">
        <f t="shared" si="0"/>
        <v/>
      </c>
    </row>
    <row r="59" ht="14.55" spans="1:5">
      <c r="A59" s="147" t="s">
        <v>1805</v>
      </c>
      <c r="B59" s="148"/>
      <c r="C59" s="140">
        <f>SUM($C$46:$C$51)+SUM($C$53:$C$56)+$C$58</f>
        <v>0</v>
      </c>
      <c r="D59" s="141">
        <f>$D$58+SUM($D$53:$D$56)+SUM($D$46:$D$51)</f>
        <v>0</v>
      </c>
      <c r="E59" s="142" t="str">
        <f t="shared" si="0"/>
        <v/>
      </c>
    </row>
    <row r="60" ht="14.55" spans="1:6">
      <c r="A60" s="106" t="s">
        <v>82</v>
      </c>
      <c r="B60" s="107"/>
      <c r="C60" s="154"/>
      <c r="D60" s="144"/>
      <c r="E60" s="145" t="str">
        <f t="shared" si="0"/>
        <v/>
      </c>
      <c r="F60" s="152" t="s">
        <v>1806</v>
      </c>
    </row>
    <row r="61" ht="14.55" spans="1:6">
      <c r="A61" s="151" t="s">
        <v>83</v>
      </c>
      <c r="B61" s="151"/>
      <c r="C61" s="155">
        <v>0.5</v>
      </c>
      <c r="D61" s="113">
        <f>C61*$D$8</f>
        <v>0.05</v>
      </c>
      <c r="E61" s="114">
        <f t="shared" si="0"/>
        <v>25000000</v>
      </c>
      <c r="F61" s="153"/>
    </row>
    <row r="62" ht="14.55" spans="1:5">
      <c r="A62" s="116" t="b">
        <v>0</v>
      </c>
      <c r="B62" s="122" t="s">
        <v>84</v>
      </c>
      <c r="C62" s="118">
        <f>IF(A62=FALSE,0,C61)</f>
        <v>0</v>
      </c>
      <c r="D62" s="119">
        <f>C62*$D$8</f>
        <v>0</v>
      </c>
      <c r="E62" s="120" t="str">
        <f t="shared" si="0"/>
        <v/>
      </c>
    </row>
    <row r="63" ht="14.55" spans="1:5">
      <c r="A63" s="151" t="s">
        <v>85</v>
      </c>
      <c r="B63" s="151"/>
      <c r="C63" s="155">
        <v>0.5</v>
      </c>
      <c r="D63" s="113"/>
      <c r="E63" s="114" t="str">
        <f t="shared" si="0"/>
        <v/>
      </c>
    </row>
    <row r="64" spans="1:5">
      <c r="A64" s="116" t="b">
        <v>0</v>
      </c>
      <c r="B64" s="117" t="s">
        <v>86</v>
      </c>
      <c r="C64" s="156">
        <f>IF($A64=FALSE,0,$C$45/COUNTIF($A$64:$A$65,TRUE))</f>
        <v>0</v>
      </c>
      <c r="D64" s="157">
        <f>C64*$D$8</f>
        <v>0</v>
      </c>
      <c r="E64" s="158" t="str">
        <f t="shared" si="0"/>
        <v/>
      </c>
    </row>
    <row r="65" ht="14.55" spans="1:5">
      <c r="A65" s="126" t="b">
        <v>0</v>
      </c>
      <c r="B65" s="127" t="s">
        <v>87</v>
      </c>
      <c r="C65" s="159">
        <f>IF($A65=FALSE,0,$C$45/COUNTIF($A$64:$A$65,TRUE))</f>
        <v>0</v>
      </c>
      <c r="D65" s="160">
        <f>C65*$D$8</f>
        <v>0</v>
      </c>
      <c r="E65" s="161" t="str">
        <f t="shared" si="0"/>
        <v/>
      </c>
    </row>
    <row r="66" ht="14.55" spans="1:5">
      <c r="A66" s="147" t="s">
        <v>1795</v>
      </c>
      <c r="B66" s="148"/>
      <c r="C66" s="140">
        <f>C64+C65+C62</f>
        <v>0</v>
      </c>
      <c r="D66" s="141">
        <f>D65+D64+D62</f>
        <v>0</v>
      </c>
      <c r="E66" s="142" t="str">
        <f t="shared" si="0"/>
        <v/>
      </c>
    </row>
    <row r="67" spans="1:1">
      <c r="A67" s="162"/>
    </row>
    <row r="69" spans="1:1">
      <c r="A69" t="s">
        <v>41</v>
      </c>
    </row>
  </sheetData>
  <sheetProtection selectLockedCells="1"/>
  <mergeCells count="8">
    <mergeCell ref="A5:C5"/>
    <mergeCell ref="A10:C10"/>
    <mergeCell ref="A12:E12"/>
    <mergeCell ref="E5:E9"/>
    <mergeCell ref="F13:F14"/>
    <mergeCell ref="F52:F53"/>
    <mergeCell ref="F60:F61"/>
    <mergeCell ref="H6:H12"/>
  </mergeCells>
  <dataValidations count="1">
    <dataValidation type="list" allowBlank="1" showInputMessage="1" showErrorMessage="1" sqref="D5">
      <formula1>'Drop Downs'!$B$25:$B$29</formula1>
    </dataValidation>
  </dataValidation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AM567"/>
  <sheetViews>
    <sheetView zoomScale="78" zoomScaleNormal="78" workbookViewId="0">
      <selection activeCell="I10" sqref="I10"/>
    </sheetView>
  </sheetViews>
  <sheetFormatPr defaultColWidth="9" defaultRowHeight="13.8"/>
  <cols>
    <col min="1" max="1" width="35.9083333333333" customWidth="1"/>
    <col min="2" max="2" width="44.55" customWidth="1"/>
    <col min="3" max="3" width="18.3583333333333" customWidth="1"/>
    <col min="4" max="4" width="12.175" customWidth="1"/>
    <col min="5" max="5" width="43.725" hidden="1" customWidth="1"/>
    <col min="6" max="6" width="20.6333333333333" hidden="1" customWidth="1"/>
    <col min="9" max="9" width="35" customWidth="1"/>
    <col min="10" max="10" width="28.55" customWidth="1"/>
    <col min="11" max="11" width="18.3583333333333" customWidth="1"/>
    <col min="12" max="12" width="12.175" customWidth="1"/>
    <col min="13" max="13" width="13.55" hidden="1" customWidth="1"/>
    <col min="14" max="14" width="18.9083333333333" hidden="1" customWidth="1"/>
    <col min="20" max="20" width="35.9083333333333" customWidth="1"/>
    <col min="21" max="21" width="12.0916666666667" customWidth="1"/>
    <col min="22" max="22" width="9.26666666666667" customWidth="1"/>
    <col min="23" max="23" width="9.35833333333333" customWidth="1"/>
    <col min="24" max="24" width="10.9083333333333" customWidth="1"/>
    <col min="25" max="25" width="10.8166666666667" customWidth="1"/>
    <col min="26" max="26" width="10.3583333333333" customWidth="1"/>
    <col min="33" max="33" width="36.6333333333333" customWidth="1"/>
    <col min="39" max="39" width="10.3583333333333" customWidth="1"/>
  </cols>
  <sheetData>
    <row r="1" ht="14.55" spans="1:28">
      <c r="A1" t="s">
        <v>9</v>
      </c>
      <c r="B1" t="s">
        <v>1807</v>
      </c>
      <c r="C1" t="s">
        <v>1808</v>
      </c>
      <c r="D1" t="s">
        <v>1809</v>
      </c>
      <c r="E1" t="s">
        <v>1810</v>
      </c>
      <c r="F1" t="s">
        <v>1811</v>
      </c>
      <c r="G1" t="s">
        <v>1812</v>
      </c>
      <c r="I1" t="s">
        <v>1813</v>
      </c>
      <c r="J1" t="s">
        <v>1814</v>
      </c>
      <c r="K1" t="s">
        <v>1808</v>
      </c>
      <c r="L1" t="s">
        <v>1809</v>
      </c>
      <c r="M1" t="s">
        <v>1815</v>
      </c>
      <c r="N1" t="s">
        <v>1816</v>
      </c>
      <c r="T1" s="40" t="s">
        <v>1813</v>
      </c>
      <c r="U1" s="40" t="s">
        <v>1817</v>
      </c>
      <c r="V1" s="40" t="s">
        <v>1818</v>
      </c>
      <c r="W1" s="40" t="s">
        <v>1819</v>
      </c>
      <c r="X1" s="41" t="s">
        <v>1820</v>
      </c>
      <c r="Y1" s="62" t="s">
        <v>106</v>
      </c>
      <c r="Z1" s="63" t="s">
        <v>107</v>
      </c>
      <c r="AA1" s="62" t="s">
        <v>804</v>
      </c>
      <c r="AB1" s="63" t="s">
        <v>1774</v>
      </c>
    </row>
    <row r="2" spans="1:39">
      <c r="A2" s="31" t="s">
        <v>1821</v>
      </c>
      <c r="B2" s="32" t="s">
        <v>1822</v>
      </c>
      <c r="C2" s="32">
        <v>0.0745</v>
      </c>
      <c r="D2" s="32" t="e">
        <f>C2*VLOOKUP($A2,'Selector Sheet '!$B$13:$D$43,2,FALSE)</f>
        <v>#N/A</v>
      </c>
      <c r="E2" t="s">
        <v>1822</v>
      </c>
      <c r="F2" s="32" t="e">
        <f t="shared" ref="F2:F65" si="0">SUMIF($B$2:$B$305,E2,$D$2:$D$305)</f>
        <v>#N/A</v>
      </c>
      <c r="G2" s="32" t="e">
        <f>C2*VLOOKUP($A2,'Selector Sheet '!$B$13:$D$43,2,FALSE)</f>
        <v>#N/A</v>
      </c>
      <c r="I2" s="31" t="s">
        <v>1821</v>
      </c>
      <c r="J2" t="s">
        <v>1823</v>
      </c>
      <c r="K2" s="32">
        <v>0.2732</v>
      </c>
      <c r="L2" s="36" t="e">
        <f>K2*VLOOKUP($I2,'Selector Sheet '!$B$13:$D$43,3,FALSE)</f>
        <v>#N/A</v>
      </c>
      <c r="M2" t="str" cm="1">
        <f t="array" ref="M2:M12">_xlfn.UNIQUE($J$2:$J$145)</f>
        <v>Financial</v>
      </c>
      <c r="N2" s="32" t="e">
        <f t="shared" ref="N2:N11" si="1">SUMIF($J$2:$J$145,M2,$L$2:$L$145)</f>
        <v>#N/A</v>
      </c>
      <c r="T2" s="42" t="s">
        <v>42</v>
      </c>
      <c r="U2" s="43">
        <v>0.78</v>
      </c>
      <c r="V2" s="43">
        <v>0.14</v>
      </c>
      <c r="W2" s="43">
        <v>0.07</v>
      </c>
      <c r="X2" s="44">
        <f>1-SUM(U2:W2)</f>
        <v>0.01</v>
      </c>
      <c r="Y2" s="64">
        <v>0.55</v>
      </c>
      <c r="Z2" s="65">
        <v>0.95</v>
      </c>
      <c r="AA2" s="66">
        <v>22.6</v>
      </c>
      <c r="AB2" s="66" t="s">
        <v>113</v>
      </c>
      <c r="AD2" s="51"/>
      <c r="AE2" s="51"/>
      <c r="AF2" s="51"/>
      <c r="AG2" t="s">
        <v>42</v>
      </c>
      <c r="AH2" s="81">
        <v>78</v>
      </c>
      <c r="AI2" s="33">
        <v>14</v>
      </c>
      <c r="AJ2" s="33">
        <v>7</v>
      </c>
      <c r="AK2" s="33">
        <v>1</v>
      </c>
      <c r="AM2">
        <v>100</v>
      </c>
    </row>
    <row r="3" spans="1:37">
      <c r="A3" s="31" t="s">
        <v>1821</v>
      </c>
      <c r="B3" s="32" t="s">
        <v>1824</v>
      </c>
      <c r="C3" s="32">
        <v>0.0632</v>
      </c>
      <c r="D3" s="32" t="e">
        <f>C3*VLOOKUP($A3,'Selector Sheet '!$B$13:$D$43,2,FALSE)</f>
        <v>#N/A</v>
      </c>
      <c r="E3" t="s">
        <v>1824</v>
      </c>
      <c r="F3" s="32" t="e">
        <f t="shared" si="0"/>
        <v>#N/A</v>
      </c>
      <c r="G3" s="32" t="e">
        <f>C3*VLOOKUP($A3,'Selector Sheet '!$B$13:$D$43,2,FALSE)</f>
        <v>#N/A</v>
      </c>
      <c r="I3" s="31" t="s">
        <v>1821</v>
      </c>
      <c r="J3" t="s">
        <v>1825</v>
      </c>
      <c r="K3" s="32">
        <v>0.1784</v>
      </c>
      <c r="L3" s="36" t="e">
        <f>K3*VLOOKUP($I3,'Selector Sheet '!$B$13:$D$43,3,FALSE)</f>
        <v>#N/A</v>
      </c>
      <c r="M3" t="str">
        <v>Technology</v>
      </c>
      <c r="N3" s="32" t="e">
        <f t="shared" si="1"/>
        <v>#N/A</v>
      </c>
      <c r="T3" s="42" t="s">
        <v>43</v>
      </c>
      <c r="U3" s="45">
        <v>0.837409</v>
      </c>
      <c r="V3" s="46">
        <v>0.107269</v>
      </c>
      <c r="W3" s="46">
        <v>0.038736</v>
      </c>
      <c r="X3" s="47">
        <v>0.016586</v>
      </c>
      <c r="Y3" s="65">
        <v>1.1</v>
      </c>
      <c r="Z3" s="65">
        <v>0.92</v>
      </c>
      <c r="AA3" s="65">
        <v>24.11</v>
      </c>
      <c r="AB3" s="65">
        <v>3.69</v>
      </c>
      <c r="AG3" t="s">
        <v>43</v>
      </c>
      <c r="AH3" s="33">
        <v>83.7409</v>
      </c>
      <c r="AI3" s="33">
        <v>10.7269</v>
      </c>
      <c r="AJ3" s="33">
        <v>3.8736</v>
      </c>
      <c r="AK3" s="33">
        <v>1.6586</v>
      </c>
    </row>
    <row r="4" spans="1:37">
      <c r="A4" s="31" t="s">
        <v>1821</v>
      </c>
      <c r="B4" s="32" t="s">
        <v>1826</v>
      </c>
      <c r="C4" s="32">
        <v>0.0524</v>
      </c>
      <c r="D4" s="32" t="e">
        <f>C4*VLOOKUP($A4,'Selector Sheet '!$B$13:$D$43,2,FALSE)</f>
        <v>#N/A</v>
      </c>
      <c r="E4" t="s">
        <v>1827</v>
      </c>
      <c r="F4" s="32" t="e">
        <f t="shared" si="0"/>
        <v>#N/A</v>
      </c>
      <c r="G4" s="32" t="e">
        <f>C4*VLOOKUP($A4,'Selector Sheet '!$B$13:$D$43,2,FALSE)</f>
        <v>#N/A</v>
      </c>
      <c r="I4" s="31" t="s">
        <v>1821</v>
      </c>
      <c r="J4" t="s">
        <v>838</v>
      </c>
      <c r="K4" s="32">
        <v>0.1048</v>
      </c>
      <c r="L4" s="36" t="e">
        <f>K4*VLOOKUP($I4,'Selector Sheet '!$B$13:$D$43,3,FALSE)</f>
        <v>#N/A</v>
      </c>
      <c r="M4" t="str">
        <v>Consumer Discretionary</v>
      </c>
      <c r="N4" s="32" t="e">
        <f t="shared" si="1"/>
        <v>#N/A</v>
      </c>
      <c r="T4" s="42" t="s">
        <v>44</v>
      </c>
      <c r="U4" s="45">
        <v>0.818837</v>
      </c>
      <c r="V4" s="46">
        <v>0.08557</v>
      </c>
      <c r="W4" s="46">
        <v>0.00184</v>
      </c>
      <c r="X4" s="47">
        <v>0.093753</v>
      </c>
      <c r="Y4" s="65">
        <v>1.01</v>
      </c>
      <c r="Z4" s="65">
        <v>0.91</v>
      </c>
      <c r="AA4" s="65">
        <v>23.22</v>
      </c>
      <c r="AB4" s="65">
        <v>3.45</v>
      </c>
      <c r="AG4" t="s">
        <v>44</v>
      </c>
      <c r="AH4" s="33">
        <v>81.8837</v>
      </c>
      <c r="AI4" s="33">
        <v>8.557</v>
      </c>
      <c r="AJ4" s="33">
        <v>0.184</v>
      </c>
      <c r="AK4" s="33">
        <v>9.3753</v>
      </c>
    </row>
    <row r="5" spans="1:37">
      <c r="A5" s="31" t="s">
        <v>1821</v>
      </c>
      <c r="B5" s="32" t="s">
        <v>1827</v>
      </c>
      <c r="C5" s="32">
        <v>0.052</v>
      </c>
      <c r="D5" s="32" t="e">
        <f>C5*VLOOKUP($A5,'Selector Sheet '!$B$13:$D$43,2,FALSE)</f>
        <v>#N/A</v>
      </c>
      <c r="E5" t="s">
        <v>1826</v>
      </c>
      <c r="F5" s="32" t="e">
        <f t="shared" si="0"/>
        <v>#N/A</v>
      </c>
      <c r="G5" s="32" t="e">
        <f>C5*VLOOKUP($A5,'Selector Sheet '!$B$13:$D$43,2,FALSE)</f>
        <v>#N/A</v>
      </c>
      <c r="I5" s="31" t="s">
        <v>1821</v>
      </c>
      <c r="J5" t="s">
        <v>1828</v>
      </c>
      <c r="K5" s="32">
        <v>0.1033</v>
      </c>
      <c r="L5" s="36" t="e">
        <f>K5*VLOOKUP($I5,'Selector Sheet '!$B$13:$D$43,3,FALSE)</f>
        <v>#N/A</v>
      </c>
      <c r="M5" t="str">
        <v>Energy &amp; Utilities</v>
      </c>
      <c r="N5" s="32" t="e">
        <f t="shared" si="1"/>
        <v>#N/A</v>
      </c>
      <c r="T5" s="48" t="s">
        <v>45</v>
      </c>
      <c r="U5" s="45">
        <v>0.821469</v>
      </c>
      <c r="V5" s="46">
        <v>0.086009</v>
      </c>
      <c r="W5" s="46">
        <v>0.045192</v>
      </c>
      <c r="X5" s="47">
        <v>0.047329</v>
      </c>
      <c r="Y5" s="65">
        <v>0.76</v>
      </c>
      <c r="Z5" s="65">
        <v>0.95</v>
      </c>
      <c r="AA5" s="65">
        <v>23.41</v>
      </c>
      <c r="AB5" s="65">
        <v>3.59</v>
      </c>
      <c r="AG5" t="s">
        <v>45</v>
      </c>
      <c r="AH5" s="33">
        <v>82.1469</v>
      </c>
      <c r="AI5" s="33">
        <v>8.6009</v>
      </c>
      <c r="AJ5" s="33">
        <v>4.5192</v>
      </c>
      <c r="AK5" s="33">
        <v>4.7329</v>
      </c>
    </row>
    <row r="6" spans="1:37">
      <c r="A6" s="31" t="s">
        <v>1821</v>
      </c>
      <c r="B6" s="32" t="s">
        <v>1829</v>
      </c>
      <c r="C6" s="32">
        <v>0.0368</v>
      </c>
      <c r="D6" s="32" t="e">
        <f>C6*VLOOKUP($A6,'Selector Sheet '!$B$13:$D$43,2,FALSE)</f>
        <v>#N/A</v>
      </c>
      <c r="E6" t="s">
        <v>1829</v>
      </c>
      <c r="F6" s="32" t="e">
        <f t="shared" si="0"/>
        <v>#N/A</v>
      </c>
      <c r="G6" s="32" t="e">
        <f>C6*VLOOKUP($A6,'Selector Sheet '!$B$13:$D$43,2,FALSE)</f>
        <v>#N/A</v>
      </c>
      <c r="I6" s="31" t="s">
        <v>1821</v>
      </c>
      <c r="J6" t="s">
        <v>980</v>
      </c>
      <c r="K6" s="32">
        <v>0.0848</v>
      </c>
      <c r="L6" s="36" t="e">
        <f>K6*VLOOKUP($I6,'Selector Sheet '!$B$13:$D$43,3,FALSE)</f>
        <v>#N/A</v>
      </c>
      <c r="M6" t="str">
        <v>Consumer Staples</v>
      </c>
      <c r="N6" s="32" t="e">
        <f t="shared" si="1"/>
        <v>#N/A</v>
      </c>
      <c r="T6" s="42" t="s">
        <v>46</v>
      </c>
      <c r="U6" s="49">
        <v>0.904036</v>
      </c>
      <c r="V6" s="46">
        <v>0.053861</v>
      </c>
      <c r="W6" s="46">
        <v>0</v>
      </c>
      <c r="X6" s="47">
        <v>0.042103</v>
      </c>
      <c r="Y6" s="65">
        <v>0.81</v>
      </c>
      <c r="Z6" s="65">
        <v>0.91</v>
      </c>
      <c r="AA6" s="65">
        <v>26.47</v>
      </c>
      <c r="AB6" s="65">
        <v>4.07</v>
      </c>
      <c r="AG6" t="s">
        <v>46</v>
      </c>
      <c r="AH6" s="33">
        <v>90.4036</v>
      </c>
      <c r="AI6" s="33">
        <v>5.3861</v>
      </c>
      <c r="AJ6" s="33">
        <v>0</v>
      </c>
      <c r="AK6" s="33">
        <v>4.2103</v>
      </c>
    </row>
    <row r="7" spans="1:37">
      <c r="A7" s="31" t="s">
        <v>1821</v>
      </c>
      <c r="B7" s="32" t="s">
        <v>1830</v>
      </c>
      <c r="C7" s="32">
        <v>0.0337</v>
      </c>
      <c r="D7" s="32" t="e">
        <f>C7*VLOOKUP($A7,'Selector Sheet '!$B$13:$D$43,2,FALSE)</f>
        <v>#N/A</v>
      </c>
      <c r="E7" t="s">
        <v>1831</v>
      </c>
      <c r="F7" s="32" t="e">
        <f t="shared" si="0"/>
        <v>#N/A</v>
      </c>
      <c r="G7" s="32" t="e">
        <f>C7*VLOOKUP($A7,'Selector Sheet '!$B$13:$D$43,2,FALSE)</f>
        <v>#N/A</v>
      </c>
      <c r="I7" s="31" t="s">
        <v>1821</v>
      </c>
      <c r="J7" t="s">
        <v>813</v>
      </c>
      <c r="K7" s="32">
        <v>0.0839</v>
      </c>
      <c r="L7" s="36" t="e">
        <f>K7*VLOOKUP($I7,'Selector Sheet '!$B$13:$D$43,3,FALSE)</f>
        <v>#N/A</v>
      </c>
      <c r="M7" t="str">
        <v>Industrials</v>
      </c>
      <c r="N7" s="32" t="e">
        <f t="shared" si="1"/>
        <v>#N/A</v>
      </c>
      <c r="T7" s="42" t="s">
        <v>48</v>
      </c>
      <c r="U7" s="49">
        <v>0.433817</v>
      </c>
      <c r="V7" s="46">
        <v>0.360591</v>
      </c>
      <c r="W7" s="46">
        <v>0.149174</v>
      </c>
      <c r="X7" s="47">
        <v>0.056418</v>
      </c>
      <c r="Y7" s="65">
        <v>1.06</v>
      </c>
      <c r="Z7" s="65">
        <v>0.82</v>
      </c>
      <c r="AA7" s="65">
        <v>25.9</v>
      </c>
      <c r="AB7" s="65">
        <v>3.5</v>
      </c>
      <c r="AG7" t="s">
        <v>48</v>
      </c>
      <c r="AH7" s="33">
        <v>43.3817</v>
      </c>
      <c r="AI7" s="33">
        <v>36.0591</v>
      </c>
      <c r="AJ7" s="33">
        <v>14.9174</v>
      </c>
      <c r="AK7" s="33">
        <v>5.6418</v>
      </c>
    </row>
    <row r="8" spans="1:37">
      <c r="A8" s="31" t="s">
        <v>1821</v>
      </c>
      <c r="B8" s="32" t="s">
        <v>1831</v>
      </c>
      <c r="C8" s="32">
        <v>0.032</v>
      </c>
      <c r="D8" s="32" t="e">
        <f>C8*VLOOKUP($A8,'Selector Sheet '!$B$13:$D$43,2,FALSE)</f>
        <v>#N/A</v>
      </c>
      <c r="E8" t="s">
        <v>1830</v>
      </c>
      <c r="F8" s="32" t="e">
        <f t="shared" si="0"/>
        <v>#N/A</v>
      </c>
      <c r="G8" s="32" t="e">
        <f>C8*VLOOKUP($A8,'Selector Sheet '!$B$13:$D$43,2,FALSE)</f>
        <v>#N/A</v>
      </c>
      <c r="I8" s="31" t="s">
        <v>1821</v>
      </c>
      <c r="J8" t="s">
        <v>823</v>
      </c>
      <c r="K8" s="32">
        <v>0.0704</v>
      </c>
      <c r="L8" s="36" t="e">
        <f>K8*VLOOKUP($I8,'Selector Sheet '!$B$13:$D$43,3,FALSE)</f>
        <v>#N/A</v>
      </c>
      <c r="M8" t="str">
        <v>Materials</v>
      </c>
      <c r="N8" s="32" t="e">
        <f t="shared" si="1"/>
        <v>#N/A</v>
      </c>
      <c r="T8" s="42" t="s">
        <v>49</v>
      </c>
      <c r="U8" s="49">
        <v>0.442567</v>
      </c>
      <c r="V8" s="46">
        <v>0.356136</v>
      </c>
      <c r="W8" s="46">
        <v>0.117589</v>
      </c>
      <c r="X8" s="47">
        <v>0.083708</v>
      </c>
      <c r="Y8" s="67">
        <v>1.19</v>
      </c>
      <c r="Z8" s="67">
        <v>0.86</v>
      </c>
      <c r="AA8" s="67">
        <v>27.74</v>
      </c>
      <c r="AB8" s="67">
        <v>3.67</v>
      </c>
      <c r="AG8" t="s">
        <v>49</v>
      </c>
      <c r="AH8" s="33">
        <v>44.2567</v>
      </c>
      <c r="AI8" s="33">
        <v>35.6136</v>
      </c>
      <c r="AJ8" s="33">
        <v>11.7589</v>
      </c>
      <c r="AK8" s="33">
        <v>8.3708</v>
      </c>
    </row>
    <row r="9" spans="1:37">
      <c r="A9" s="31" t="s">
        <v>1821</v>
      </c>
      <c r="B9" s="32" t="s">
        <v>1832</v>
      </c>
      <c r="C9" s="32">
        <v>0.0315</v>
      </c>
      <c r="D9" s="32" t="e">
        <f>C9*VLOOKUP($A9,'Selector Sheet '!$B$13:$D$43,2,FALSE)</f>
        <v>#N/A</v>
      </c>
      <c r="E9" t="s">
        <v>1833</v>
      </c>
      <c r="F9" s="32" t="e">
        <f t="shared" si="0"/>
        <v>#N/A</v>
      </c>
      <c r="G9" s="32" t="e">
        <f>C9*VLOOKUP($A9,'Selector Sheet '!$B$13:$D$43,2,FALSE)</f>
        <v>#N/A</v>
      </c>
      <c r="I9" s="31" t="s">
        <v>1821</v>
      </c>
      <c r="J9" t="s">
        <v>1834</v>
      </c>
      <c r="K9" s="32">
        <v>0.0377</v>
      </c>
      <c r="L9" s="36" t="e">
        <f>K9*VLOOKUP($I9,'Selector Sheet '!$B$13:$D$43,3,FALSE)</f>
        <v>#N/A</v>
      </c>
      <c r="M9" t="str">
        <v>Healthcare</v>
      </c>
      <c r="N9" s="32" t="e">
        <f t="shared" si="1"/>
        <v>#N/A</v>
      </c>
      <c r="T9" s="42" t="s">
        <v>50</v>
      </c>
      <c r="U9" s="49">
        <v>0.453308</v>
      </c>
      <c r="V9" s="46">
        <v>0.392334</v>
      </c>
      <c r="W9" s="46">
        <v>0.125245</v>
      </c>
      <c r="X9" s="47">
        <v>0.029113</v>
      </c>
      <c r="Y9" s="65">
        <v>0.78</v>
      </c>
      <c r="Z9" s="65">
        <v>0.98</v>
      </c>
      <c r="AA9" s="65">
        <v>37.5</v>
      </c>
      <c r="AB9" s="65">
        <v>5.94</v>
      </c>
      <c r="AG9" t="s">
        <v>50</v>
      </c>
      <c r="AH9" s="33">
        <v>45.3308</v>
      </c>
      <c r="AI9" s="33">
        <v>39.2334</v>
      </c>
      <c r="AJ9" s="33">
        <v>12.5245</v>
      </c>
      <c r="AK9" s="33">
        <v>2.9113</v>
      </c>
    </row>
    <row r="10" spans="1:37">
      <c r="A10" s="31" t="s">
        <v>1821</v>
      </c>
      <c r="B10" s="32" t="s">
        <v>1833</v>
      </c>
      <c r="C10" s="32">
        <v>0.0287</v>
      </c>
      <c r="D10" s="32" t="e">
        <f>C10*VLOOKUP($A10,'Selector Sheet '!$B$13:$D$43,2,FALSE)</f>
        <v>#N/A</v>
      </c>
      <c r="E10" t="s">
        <v>1835</v>
      </c>
      <c r="F10" s="32" t="e">
        <f t="shared" si="0"/>
        <v>#N/A</v>
      </c>
      <c r="G10" s="32" t="e">
        <f>C10*VLOOKUP($A10,'Selector Sheet '!$B$13:$D$43,2,FALSE)</f>
        <v>#N/A</v>
      </c>
      <c r="I10" s="31" t="s">
        <v>1821</v>
      </c>
      <c r="J10" t="s">
        <v>998</v>
      </c>
      <c r="K10" s="32">
        <v>0.0092</v>
      </c>
      <c r="L10" s="36" t="e">
        <f>K10*VLOOKUP($I10,'Selector Sheet '!$B$13:$D$43,3,FALSE)</f>
        <v>#N/A</v>
      </c>
      <c r="M10" t="str">
        <v>Real Estate</v>
      </c>
      <c r="N10" s="32" t="e">
        <f t="shared" si="1"/>
        <v>#N/A</v>
      </c>
      <c r="T10" s="50" t="s">
        <v>565</v>
      </c>
      <c r="U10" s="51">
        <v>0.07</v>
      </c>
      <c r="V10" s="51">
        <v>0.22</v>
      </c>
      <c r="W10" s="51">
        <v>0.67</v>
      </c>
      <c r="X10" s="47">
        <f>1-SUM(U10:W10)</f>
        <v>0.0399999999999999</v>
      </c>
      <c r="Y10" s="68">
        <v>1.36</v>
      </c>
      <c r="Z10" s="67">
        <v>0.86</v>
      </c>
      <c r="AA10" s="69">
        <v>44.4</v>
      </c>
      <c r="AB10" s="70">
        <v>7.3</v>
      </c>
      <c r="AG10" s="34" t="s">
        <v>565</v>
      </c>
      <c r="AH10" s="33">
        <v>7</v>
      </c>
      <c r="AI10" s="33">
        <v>22</v>
      </c>
      <c r="AJ10" s="33">
        <v>67</v>
      </c>
      <c r="AK10" s="33">
        <v>3.99999999999999</v>
      </c>
    </row>
    <row r="11" spans="1:37">
      <c r="A11" s="31" t="s">
        <v>1821</v>
      </c>
      <c r="B11" s="32" t="s">
        <v>1835</v>
      </c>
      <c r="C11" s="32">
        <v>0.0274</v>
      </c>
      <c r="D11" s="32" t="e">
        <f>C11*VLOOKUP($A11,'Selector Sheet '!$B$13:$D$43,2,FALSE)</f>
        <v>#N/A</v>
      </c>
      <c r="E11" t="s">
        <v>1832</v>
      </c>
      <c r="F11" s="32" t="e">
        <f t="shared" si="0"/>
        <v>#N/A</v>
      </c>
      <c r="G11" s="32" t="e">
        <f>C11*VLOOKUP($A11,'Selector Sheet '!$B$13:$D$43,2,FALSE)</f>
        <v>#N/A</v>
      </c>
      <c r="I11" s="31" t="s">
        <v>1836</v>
      </c>
      <c r="J11" t="s">
        <v>838</v>
      </c>
      <c r="K11" s="32">
        <v>0.312</v>
      </c>
      <c r="L11" s="36" t="e">
        <f>K11*VLOOKUP($I11,'Selector Sheet '!$B$13:$D$43,3,FALSE)</f>
        <v>#N/A</v>
      </c>
      <c r="M11" t="str">
        <v>Diversified</v>
      </c>
      <c r="N11" s="32" t="e">
        <f t="shared" si="1"/>
        <v>#N/A</v>
      </c>
      <c r="T11" s="50" t="s">
        <v>52</v>
      </c>
      <c r="U11" s="52">
        <v>0.5</v>
      </c>
      <c r="V11" s="52">
        <v>0.25</v>
      </c>
      <c r="W11" s="52">
        <v>0.21</v>
      </c>
      <c r="X11" s="47">
        <f>1-SUM(U11:W11)</f>
        <v>0.04</v>
      </c>
      <c r="Y11" s="64">
        <v>0.69</v>
      </c>
      <c r="Z11" s="65">
        <v>0.88</v>
      </c>
      <c r="AA11" s="71">
        <v>33.1</v>
      </c>
      <c r="AB11" s="71">
        <v>8</v>
      </c>
      <c r="AG11" s="34" t="s">
        <v>52</v>
      </c>
      <c r="AH11" s="33">
        <v>50</v>
      </c>
      <c r="AI11" s="33">
        <v>25</v>
      </c>
      <c r="AJ11" s="33">
        <v>21</v>
      </c>
      <c r="AK11" s="33">
        <v>4</v>
      </c>
    </row>
    <row r="12" spans="1:37">
      <c r="A12" s="31" t="s">
        <v>1821</v>
      </c>
      <c r="B12" s="32" t="s">
        <v>1837</v>
      </c>
      <c r="C12" s="32">
        <v>0.0256</v>
      </c>
      <c r="D12" s="32" t="e">
        <f>C12*VLOOKUP($A12,'Selector Sheet '!$B$13:$D$43,2,FALSE)</f>
        <v>#N/A</v>
      </c>
      <c r="E12" t="s">
        <v>1838</v>
      </c>
      <c r="F12" s="32" t="e">
        <f t="shared" si="0"/>
        <v>#N/A</v>
      </c>
      <c r="G12" s="32" t="e">
        <f>C12*VLOOKUP($A12,'Selector Sheet '!$B$13:$D$43,2,FALSE)</f>
        <v>#N/A</v>
      </c>
      <c r="I12" s="31" t="s">
        <v>1836</v>
      </c>
      <c r="J12" t="s">
        <v>1823</v>
      </c>
      <c r="K12" s="32">
        <v>0.2033</v>
      </c>
      <c r="L12" s="36" t="e">
        <f>K12*VLOOKUP($I12,'Selector Sheet '!$B$13:$D$43,3,FALSE)</f>
        <v>#N/A</v>
      </c>
      <c r="M12" t="str">
        <v>Cash (Unclassified)</v>
      </c>
      <c r="T12" s="50" t="s">
        <v>53</v>
      </c>
      <c r="U12" s="45">
        <v>0.447219</v>
      </c>
      <c r="V12" s="53">
        <v>0.266036</v>
      </c>
      <c r="W12" s="53">
        <v>0.268235</v>
      </c>
      <c r="X12" s="54">
        <v>0.01851</v>
      </c>
      <c r="Y12" s="67">
        <v>1.29</v>
      </c>
      <c r="Z12" s="67">
        <v>0.84</v>
      </c>
      <c r="AA12" s="67">
        <v>29.82</v>
      </c>
      <c r="AB12" s="67">
        <v>4.18</v>
      </c>
      <c r="AG12" s="34" t="s">
        <v>53</v>
      </c>
      <c r="AH12" s="33">
        <v>44.7219</v>
      </c>
      <c r="AI12" s="33">
        <v>26.6036</v>
      </c>
      <c r="AJ12" s="33">
        <v>26.8235</v>
      </c>
      <c r="AK12" s="33">
        <v>1.851</v>
      </c>
    </row>
    <row r="13" spans="1:37">
      <c r="A13" s="31" t="s">
        <v>1821</v>
      </c>
      <c r="B13" s="32" t="s">
        <v>1839</v>
      </c>
      <c r="C13" s="32">
        <v>0.0252</v>
      </c>
      <c r="D13" s="32" t="e">
        <f>C13*VLOOKUP($A13,'Selector Sheet '!$B$13:$D$43,2,FALSE)</f>
        <v>#N/A</v>
      </c>
      <c r="E13" t="s">
        <v>1837</v>
      </c>
      <c r="F13" s="32" t="e">
        <f t="shared" si="0"/>
        <v>#N/A</v>
      </c>
      <c r="G13" s="32" t="e">
        <f>C13*VLOOKUP($A13,'Selector Sheet '!$B$13:$D$43,2,FALSE)</f>
        <v>#N/A</v>
      </c>
      <c r="I13" s="31" t="s">
        <v>1836</v>
      </c>
      <c r="J13" t="s">
        <v>1825</v>
      </c>
      <c r="K13" s="32">
        <v>0.1185</v>
      </c>
      <c r="L13" s="36" t="e">
        <f>K13*VLOOKUP($I13,'Selector Sheet '!$B$13:$D$43,3,FALSE)</f>
        <v>#N/A</v>
      </c>
      <c r="T13" s="50" t="s">
        <v>54</v>
      </c>
      <c r="U13" s="45">
        <v>0.510944</v>
      </c>
      <c r="V13" s="46">
        <v>0.15019</v>
      </c>
      <c r="W13" s="46">
        <v>0.115491</v>
      </c>
      <c r="X13" s="47">
        <v>0.223374</v>
      </c>
      <c r="Y13" s="67">
        <v>1.17</v>
      </c>
      <c r="Z13" s="67">
        <v>0.87</v>
      </c>
      <c r="AA13" s="67">
        <v>20.07</v>
      </c>
      <c r="AB13" s="67">
        <v>2.57</v>
      </c>
      <c r="AG13" s="34" t="s">
        <v>54</v>
      </c>
      <c r="AH13" s="33">
        <v>51.0944</v>
      </c>
      <c r="AI13" s="33">
        <v>15.019</v>
      </c>
      <c r="AJ13" s="33">
        <v>11.5491</v>
      </c>
      <c r="AK13" s="33">
        <v>22.3374</v>
      </c>
    </row>
    <row r="14" spans="1:37">
      <c r="A14" s="31" t="s">
        <v>1821</v>
      </c>
      <c r="B14" s="32" t="s">
        <v>1838</v>
      </c>
      <c r="C14" s="32">
        <v>0.0228</v>
      </c>
      <c r="D14" s="32" t="e">
        <f>C14*VLOOKUP($A14,'Selector Sheet '!$B$13:$D$43,2,FALSE)</f>
        <v>#N/A</v>
      </c>
      <c r="E14" t="s">
        <v>1839</v>
      </c>
      <c r="F14" s="32" t="e">
        <f t="shared" si="0"/>
        <v>#N/A</v>
      </c>
      <c r="G14" s="32" t="e">
        <f>C14*VLOOKUP($A14,'Selector Sheet '!$B$13:$D$43,2,FALSE)</f>
        <v>#N/A</v>
      </c>
      <c r="I14" s="31" t="s">
        <v>1836</v>
      </c>
      <c r="J14" t="s">
        <v>813</v>
      </c>
      <c r="K14" s="32">
        <v>0.1004</v>
      </c>
      <c r="L14" s="36" t="e">
        <f>K14*VLOOKUP($I14,'Selector Sheet '!$B$13:$D$43,3,FALSE)</f>
        <v>#N/A</v>
      </c>
      <c r="T14" s="50" t="s">
        <v>55</v>
      </c>
      <c r="U14" s="51">
        <v>0.459</v>
      </c>
      <c r="V14" s="51">
        <v>0.336</v>
      </c>
      <c r="W14" s="51">
        <v>0.128</v>
      </c>
      <c r="X14" s="47">
        <f>1-SUM(U14:W14)</f>
        <v>0.0770000000000001</v>
      </c>
      <c r="Y14" s="68">
        <v>1.5</v>
      </c>
      <c r="Z14" s="67">
        <v>0.9</v>
      </c>
      <c r="AA14" s="72" t="s">
        <v>113</v>
      </c>
      <c r="AB14" s="72" t="s">
        <v>113</v>
      </c>
      <c r="AG14" s="34" t="s">
        <v>55</v>
      </c>
      <c r="AH14" s="33">
        <v>45.9</v>
      </c>
      <c r="AI14" s="33">
        <v>33.6</v>
      </c>
      <c r="AJ14" s="33">
        <v>12.8</v>
      </c>
      <c r="AK14" s="33">
        <v>7.70000000000001</v>
      </c>
    </row>
    <row r="15" spans="1:37">
      <c r="A15" s="31" t="s">
        <v>1821</v>
      </c>
      <c r="B15" s="32" t="s">
        <v>1840</v>
      </c>
      <c r="C15" s="32">
        <v>0.0227</v>
      </c>
      <c r="D15" s="32" t="e">
        <f>C15*VLOOKUP($A15,'Selector Sheet '!$B$13:$D$43,2,FALSE)</f>
        <v>#N/A</v>
      </c>
      <c r="E15" t="s">
        <v>1840</v>
      </c>
      <c r="F15" s="32" t="e">
        <f t="shared" si="0"/>
        <v>#N/A</v>
      </c>
      <c r="G15" s="32" t="e">
        <f>C15*VLOOKUP($A15,'Selector Sheet '!$B$13:$D$43,2,FALSE)</f>
        <v>#N/A</v>
      </c>
      <c r="I15" s="31" t="s">
        <v>1836</v>
      </c>
      <c r="J15" t="s">
        <v>1834</v>
      </c>
      <c r="K15" s="32">
        <v>0.0798</v>
      </c>
      <c r="L15" s="36" t="e">
        <f>K15*VLOOKUP($I15,'Selector Sheet '!$B$13:$D$43,3,FALSE)</f>
        <v>#N/A</v>
      </c>
      <c r="T15" s="42" t="s">
        <v>56</v>
      </c>
      <c r="U15" s="51">
        <v>0.54</v>
      </c>
      <c r="V15" s="51">
        <v>0.23</v>
      </c>
      <c r="W15" s="51">
        <v>0.23</v>
      </c>
      <c r="X15" s="47">
        <f>1-SUM(U15:W15)</f>
        <v>0</v>
      </c>
      <c r="Y15" s="73">
        <v>0.71</v>
      </c>
      <c r="Z15" s="67">
        <v>1.02</v>
      </c>
      <c r="AA15" s="69">
        <v>22.5</v>
      </c>
      <c r="AB15" s="69" t="s">
        <v>113</v>
      </c>
      <c r="AG15" t="s">
        <v>56</v>
      </c>
      <c r="AH15" s="33">
        <v>54</v>
      </c>
      <c r="AI15" s="33">
        <v>23</v>
      </c>
      <c r="AJ15" s="33">
        <v>23</v>
      </c>
      <c r="AK15" s="33">
        <v>0</v>
      </c>
    </row>
    <row r="16" spans="1:37">
      <c r="A16" s="31" t="s">
        <v>1821</v>
      </c>
      <c r="B16" s="32" t="s">
        <v>1841</v>
      </c>
      <c r="C16" s="32">
        <v>0.0211</v>
      </c>
      <c r="D16" s="32" t="e">
        <f>C16*VLOOKUP($A16,'Selector Sheet '!$B$13:$D$43,2,FALSE)</f>
        <v>#N/A</v>
      </c>
      <c r="E16" t="s">
        <v>1841</v>
      </c>
      <c r="F16" s="32" t="e">
        <f t="shared" si="0"/>
        <v>#N/A</v>
      </c>
      <c r="G16" s="32" t="e">
        <f>C16*VLOOKUP($A16,'Selector Sheet '!$B$13:$D$43,2,FALSE)</f>
        <v>#N/A</v>
      </c>
      <c r="I16" s="31" t="s">
        <v>1836</v>
      </c>
      <c r="J16" t="s">
        <v>823</v>
      </c>
      <c r="K16" s="32">
        <v>0.0644</v>
      </c>
      <c r="L16" s="36" t="e">
        <f>K16*VLOOKUP($I16,'Selector Sheet '!$B$13:$D$43,3,FALSE)</f>
        <v>#N/A</v>
      </c>
      <c r="T16" s="42" t="s">
        <v>57</v>
      </c>
      <c r="U16" s="45">
        <v>0.620095</v>
      </c>
      <c r="V16" s="46">
        <v>0.020425</v>
      </c>
      <c r="W16" s="46">
        <v>0.02441</v>
      </c>
      <c r="X16" s="47">
        <v>0.335069</v>
      </c>
      <c r="Y16" s="67">
        <v>1.58</v>
      </c>
      <c r="Z16" s="67">
        <v>0.57</v>
      </c>
      <c r="AA16" s="67">
        <v>18.63</v>
      </c>
      <c r="AB16" s="67">
        <v>3.41</v>
      </c>
      <c r="AG16" t="s">
        <v>57</v>
      </c>
      <c r="AH16" s="33">
        <v>62.0095</v>
      </c>
      <c r="AI16" s="33">
        <v>2.0425</v>
      </c>
      <c r="AJ16" s="33">
        <v>2.441</v>
      </c>
      <c r="AK16" s="33">
        <v>33.5069</v>
      </c>
    </row>
    <row r="17" ht="14.55" spans="1:37">
      <c r="A17" s="31" t="s">
        <v>1821</v>
      </c>
      <c r="B17" s="32" t="s">
        <v>1842</v>
      </c>
      <c r="C17" s="32">
        <v>0.0205</v>
      </c>
      <c r="D17" s="32" t="e">
        <f>C17*VLOOKUP($A17,'Selector Sheet '!$B$13:$D$43,2,FALSE)</f>
        <v>#N/A</v>
      </c>
      <c r="E17" t="s">
        <v>1843</v>
      </c>
      <c r="F17" s="32" t="e">
        <f t="shared" si="0"/>
        <v>#N/A</v>
      </c>
      <c r="G17" s="32" t="e">
        <f>C17*VLOOKUP($A17,'Selector Sheet '!$B$13:$D$43,2,FALSE)</f>
        <v>#N/A</v>
      </c>
      <c r="I17" s="31" t="s">
        <v>1836</v>
      </c>
      <c r="J17" t="s">
        <v>980</v>
      </c>
      <c r="K17" s="32">
        <v>0.0477</v>
      </c>
      <c r="L17" s="36" t="e">
        <f>K17*VLOOKUP($I17,'Selector Sheet '!$B$13:$D$43,3,FALSE)</f>
        <v>#N/A</v>
      </c>
      <c r="T17" s="50" t="s">
        <v>59</v>
      </c>
      <c r="U17" s="45">
        <v>0.608892</v>
      </c>
      <c r="V17" s="46">
        <v>0.245183</v>
      </c>
      <c r="W17" s="46">
        <v>0.106638</v>
      </c>
      <c r="X17" s="47">
        <v>0.039286</v>
      </c>
      <c r="Y17" s="74">
        <v>0.4</v>
      </c>
      <c r="Z17" s="74">
        <v>0.82</v>
      </c>
      <c r="AA17" s="74">
        <v>41.33</v>
      </c>
      <c r="AB17" s="74">
        <v>6.01</v>
      </c>
      <c r="AG17" s="34" t="s">
        <v>59</v>
      </c>
      <c r="AH17" s="33">
        <v>60.8892</v>
      </c>
      <c r="AI17" s="33">
        <v>24.5183</v>
      </c>
      <c r="AJ17" s="33">
        <v>10.6638</v>
      </c>
      <c r="AK17" s="33">
        <v>3.9286</v>
      </c>
    </row>
    <row r="18" spans="1:37">
      <c r="A18" s="31" t="s">
        <v>1821</v>
      </c>
      <c r="B18" s="32" t="s">
        <v>1843</v>
      </c>
      <c r="C18" s="32">
        <v>0.0203</v>
      </c>
      <c r="D18" s="32" t="e">
        <f>C18*VLOOKUP($A18,'Selector Sheet '!$B$13:$D$43,2,FALSE)</f>
        <v>#N/A</v>
      </c>
      <c r="E18" t="s">
        <v>1842</v>
      </c>
      <c r="F18" s="32" t="e">
        <f t="shared" si="0"/>
        <v>#N/A</v>
      </c>
      <c r="G18" s="32" t="e">
        <f>C18*VLOOKUP($A18,'Selector Sheet '!$B$13:$D$43,2,FALSE)</f>
        <v>#N/A</v>
      </c>
      <c r="I18" s="31" t="s">
        <v>1836</v>
      </c>
      <c r="J18" t="s">
        <v>1828</v>
      </c>
      <c r="K18" s="32">
        <v>0.0325</v>
      </c>
      <c r="L18" s="36" t="e">
        <f>K18*VLOOKUP($I18,'Selector Sheet '!$B$13:$D$43,3,FALSE)</f>
        <v>#N/A</v>
      </c>
      <c r="T18" s="55" t="s">
        <v>60</v>
      </c>
      <c r="U18" s="56">
        <v>0.7014</v>
      </c>
      <c r="V18" s="56">
        <v>0.1537</v>
      </c>
      <c r="W18" s="56">
        <v>0.1329</v>
      </c>
      <c r="X18" s="47">
        <f>1-SUM(U18:W18)</f>
        <v>0.012</v>
      </c>
      <c r="Y18" s="75" t="s">
        <v>113</v>
      </c>
      <c r="Z18">
        <v>0.73</v>
      </c>
      <c r="AA18" t="s">
        <v>113</v>
      </c>
      <c r="AB18" t="s">
        <v>113</v>
      </c>
      <c r="AG18" s="34" t="s">
        <v>60</v>
      </c>
      <c r="AH18" s="33">
        <v>70.14</v>
      </c>
      <c r="AI18" s="33">
        <v>15.37</v>
      </c>
      <c r="AJ18" s="33">
        <v>13.29</v>
      </c>
      <c r="AK18" s="33">
        <v>1.2</v>
      </c>
    </row>
    <row r="19" spans="1:37">
      <c r="A19" s="31" t="s">
        <v>1821</v>
      </c>
      <c r="B19" s="32" t="s">
        <v>1844</v>
      </c>
      <c r="C19" s="32">
        <v>0.0194</v>
      </c>
      <c r="D19" s="32" t="e">
        <f>C19*VLOOKUP($A19,'Selector Sheet '!$B$13:$D$43,2,FALSE)</f>
        <v>#N/A</v>
      </c>
      <c r="E19" t="s">
        <v>1845</v>
      </c>
      <c r="F19" s="32" t="e">
        <f t="shared" si="0"/>
        <v>#N/A</v>
      </c>
      <c r="G19" s="32" t="e">
        <f>C19*VLOOKUP($A19,'Selector Sheet '!$B$13:$D$43,2,FALSE)</f>
        <v>#N/A</v>
      </c>
      <c r="I19" s="31" t="s">
        <v>1836</v>
      </c>
      <c r="J19" t="s">
        <v>1846</v>
      </c>
      <c r="K19" s="32">
        <v>0.0115</v>
      </c>
      <c r="L19" s="36" t="e">
        <f>K19*VLOOKUP($I19,'Selector Sheet '!$B$13:$D$43,3,FALSE)</f>
        <v>#N/A</v>
      </c>
      <c r="T19" s="42" t="s">
        <v>558</v>
      </c>
      <c r="U19" s="51">
        <v>0.28</v>
      </c>
      <c r="V19" s="51">
        <v>0.615</v>
      </c>
      <c r="W19" s="51">
        <v>0.061</v>
      </c>
      <c r="X19" s="47">
        <f t="shared" ref="X19:X20" si="2">1-SUM(U19:W19)</f>
        <v>0.044</v>
      </c>
      <c r="Y19" s="68">
        <v>1.5</v>
      </c>
      <c r="Z19" s="67">
        <v>1</v>
      </c>
      <c r="AA19" t="s">
        <v>113</v>
      </c>
      <c r="AB19" t="s">
        <v>113</v>
      </c>
      <c r="AG19" t="s">
        <v>558</v>
      </c>
      <c r="AH19" s="33">
        <v>28</v>
      </c>
      <c r="AI19" s="33">
        <v>61.5</v>
      </c>
      <c r="AJ19" s="33">
        <v>6.1</v>
      </c>
      <c r="AK19" s="33">
        <v>4.4</v>
      </c>
    </row>
    <row r="20" ht="14.55" spans="1:37">
      <c r="A20" s="31" t="s">
        <v>1821</v>
      </c>
      <c r="B20" s="32" t="s">
        <v>1845</v>
      </c>
      <c r="C20" s="32">
        <v>0.0178</v>
      </c>
      <c r="D20" s="32" t="e">
        <f>C20*VLOOKUP($A20,'Selector Sheet '!$B$13:$D$43,2,FALSE)</f>
        <v>#N/A</v>
      </c>
      <c r="E20" t="s">
        <v>1847</v>
      </c>
      <c r="F20" s="32" t="e">
        <f t="shared" si="0"/>
        <v>#N/A</v>
      </c>
      <c r="G20" s="32" t="e">
        <f>C20*VLOOKUP($A20,'Selector Sheet '!$B$13:$D$43,2,FALSE)</f>
        <v>#N/A</v>
      </c>
      <c r="I20" s="31" t="s">
        <v>1836</v>
      </c>
      <c r="J20" t="s">
        <v>998</v>
      </c>
      <c r="K20" s="32">
        <v>0.011</v>
      </c>
      <c r="L20" s="36" t="e">
        <f>K20*VLOOKUP($I20,'Selector Sheet '!$B$13:$D$43,3,FALSE)</f>
        <v>#N/A</v>
      </c>
      <c r="T20" s="42" t="s">
        <v>58</v>
      </c>
      <c r="U20" s="51">
        <v>0.422</v>
      </c>
      <c r="V20" s="51">
        <v>0.226</v>
      </c>
      <c r="W20" s="51">
        <v>0.2007</v>
      </c>
      <c r="X20" s="47">
        <f t="shared" si="2"/>
        <v>0.1513</v>
      </c>
      <c r="Y20" s="68">
        <v>1.4</v>
      </c>
      <c r="Z20" s="67">
        <v>0.9</v>
      </c>
      <c r="AA20" s="69" t="s">
        <v>113</v>
      </c>
      <c r="AB20" s="69" t="s">
        <v>113</v>
      </c>
      <c r="AG20" t="s">
        <v>58</v>
      </c>
      <c r="AH20" s="33">
        <v>42.2</v>
      </c>
      <c r="AI20" s="33">
        <v>22.6</v>
      </c>
      <c r="AJ20" s="33">
        <v>20.07</v>
      </c>
      <c r="AK20" s="33">
        <v>15.13</v>
      </c>
    </row>
    <row r="21" spans="1:37">
      <c r="A21" s="31" t="s">
        <v>1821</v>
      </c>
      <c r="B21" s="32" t="s">
        <v>1847</v>
      </c>
      <c r="C21" s="32">
        <v>0.0154</v>
      </c>
      <c r="D21" s="32" t="e">
        <f>C21*VLOOKUP($A21,'Selector Sheet '!$B$13:$D$43,2,FALSE)</f>
        <v>#N/A</v>
      </c>
      <c r="E21" t="s">
        <v>1844</v>
      </c>
      <c r="F21" s="32" t="e">
        <f t="shared" si="0"/>
        <v>#N/A</v>
      </c>
      <c r="G21" s="32" t="e">
        <f>C21*VLOOKUP($A21,'Selector Sheet '!$B$13:$D$43,2,FALSE)</f>
        <v>#N/A</v>
      </c>
      <c r="I21" s="31" t="s">
        <v>1848</v>
      </c>
      <c r="J21" t="s">
        <v>1823</v>
      </c>
      <c r="K21" s="32">
        <v>0.2693</v>
      </c>
      <c r="L21" s="36" t="e">
        <f>K21*VLOOKUP($I21,'Selector Sheet '!$B$13:$D$43,3,FALSE)</f>
        <v>#N/A</v>
      </c>
      <c r="T21" s="57" t="s">
        <v>63</v>
      </c>
      <c r="U21" s="45">
        <v>0.583489</v>
      </c>
      <c r="V21" s="46">
        <v>0.067649</v>
      </c>
      <c r="W21" s="46">
        <v>0.011635</v>
      </c>
      <c r="X21" s="47">
        <v>0.337227</v>
      </c>
      <c r="Y21" s="76">
        <v>1.38</v>
      </c>
      <c r="Z21" s="77">
        <v>0.54</v>
      </c>
      <c r="AA21" s="78">
        <v>27.06</v>
      </c>
      <c r="AB21" s="78">
        <v>4.27</v>
      </c>
      <c r="AG21" t="s">
        <v>63</v>
      </c>
      <c r="AH21" s="33">
        <v>58.3489</v>
      </c>
      <c r="AI21" s="33">
        <v>6.7649</v>
      </c>
      <c r="AJ21" s="33">
        <v>1.1635</v>
      </c>
      <c r="AK21" s="33">
        <v>33.7227</v>
      </c>
    </row>
    <row r="22" spans="1:37">
      <c r="A22" s="31" t="s">
        <v>1821</v>
      </c>
      <c r="B22" s="32" t="s">
        <v>1849</v>
      </c>
      <c r="C22" s="32">
        <v>0.0151</v>
      </c>
      <c r="D22" s="32" t="e">
        <f>C22*VLOOKUP($A22,'Selector Sheet '!$B$13:$D$43,2,FALSE)</f>
        <v>#N/A</v>
      </c>
      <c r="E22" t="s">
        <v>1849</v>
      </c>
      <c r="F22" s="32" t="e">
        <f t="shared" si="0"/>
        <v>#N/A</v>
      </c>
      <c r="G22" s="32" t="e">
        <f>C22*VLOOKUP($A22,'Selector Sheet '!$B$13:$D$43,2,FALSE)</f>
        <v>#N/A</v>
      </c>
      <c r="I22" s="31" t="s">
        <v>1848</v>
      </c>
      <c r="J22" t="s">
        <v>823</v>
      </c>
      <c r="K22" s="32">
        <v>0.1279</v>
      </c>
      <c r="L22" s="36" t="e">
        <f>K22*VLOOKUP($I22,'Selector Sheet '!$B$13:$D$43,3,FALSE)</f>
        <v>#N/A</v>
      </c>
      <c r="T22" s="57" t="s">
        <v>64</v>
      </c>
      <c r="U22" s="45">
        <v>0.517648</v>
      </c>
      <c r="V22" s="46">
        <v>0.092892</v>
      </c>
      <c r="W22" s="46">
        <v>0.050912</v>
      </c>
      <c r="X22" s="47">
        <v>0.338549</v>
      </c>
      <c r="Y22" s="76">
        <v>0.99</v>
      </c>
      <c r="Z22" s="77">
        <v>0.67</v>
      </c>
      <c r="AA22" s="79">
        <v>25.34</v>
      </c>
      <c r="AB22" s="79">
        <v>3.6</v>
      </c>
      <c r="AG22" t="s">
        <v>64</v>
      </c>
      <c r="AH22" s="33">
        <v>51.7648</v>
      </c>
      <c r="AI22" s="33">
        <v>9.2892</v>
      </c>
      <c r="AJ22" s="33">
        <v>5.0912</v>
      </c>
      <c r="AK22" s="33">
        <v>33.8549</v>
      </c>
    </row>
    <row r="23" ht="14.55" spans="1:37">
      <c r="A23" s="31" t="s">
        <v>1821</v>
      </c>
      <c r="B23" s="32" t="s">
        <v>1850</v>
      </c>
      <c r="C23" s="32">
        <v>0.0146</v>
      </c>
      <c r="D23" s="32" t="e">
        <f>C23*VLOOKUP($A23,'Selector Sheet '!$B$13:$D$43,2,FALSE)</f>
        <v>#N/A</v>
      </c>
      <c r="E23" t="s">
        <v>1850</v>
      </c>
      <c r="F23" s="32" t="e">
        <f t="shared" si="0"/>
        <v>#N/A</v>
      </c>
      <c r="G23" s="32" t="e">
        <f>C23*VLOOKUP($A23,'Selector Sheet '!$B$13:$D$43,2,FALSE)</f>
        <v>#N/A</v>
      </c>
      <c r="I23" s="31" t="s">
        <v>1848</v>
      </c>
      <c r="J23" t="s">
        <v>1834</v>
      </c>
      <c r="K23" s="32">
        <v>0.1192</v>
      </c>
      <c r="L23" s="36" t="e">
        <f>K23*VLOOKUP($I23,'Selector Sheet '!$B$13:$D$43,3,FALSE)</f>
        <v>#N/A</v>
      </c>
      <c r="T23" s="57" t="s">
        <v>65</v>
      </c>
      <c r="U23" s="45">
        <v>0.514694</v>
      </c>
      <c r="V23" s="46">
        <v>0.096827</v>
      </c>
      <c r="W23" s="46">
        <v>0.061348</v>
      </c>
      <c r="X23" s="47">
        <v>0.327131</v>
      </c>
      <c r="Y23" s="76">
        <v>1.05</v>
      </c>
      <c r="Z23" s="77">
        <v>0.7</v>
      </c>
      <c r="AA23" s="80">
        <v>25.06</v>
      </c>
      <c r="AB23" s="80">
        <v>4</v>
      </c>
      <c r="AG23" t="s">
        <v>65</v>
      </c>
      <c r="AH23" s="33">
        <v>51.4694</v>
      </c>
      <c r="AI23" s="33">
        <v>9.6827</v>
      </c>
      <c r="AJ23" s="33">
        <v>6.1348</v>
      </c>
      <c r="AK23" s="33">
        <v>32.7131</v>
      </c>
    </row>
    <row r="24" ht="14.55" spans="1:37">
      <c r="A24" s="31" t="s">
        <v>1821</v>
      </c>
      <c r="B24" s="32" t="s">
        <v>1851</v>
      </c>
      <c r="C24" s="32">
        <v>0.0139</v>
      </c>
      <c r="D24" s="32" t="e">
        <f>C24*VLOOKUP($A24,'Selector Sheet '!$B$13:$D$43,2,FALSE)</f>
        <v>#N/A</v>
      </c>
      <c r="E24" t="s">
        <v>1852</v>
      </c>
      <c r="F24" s="32">
        <f t="shared" si="0"/>
        <v>0</v>
      </c>
      <c r="G24" s="32" t="e">
        <f>C24*VLOOKUP($A24,'Selector Sheet '!$B$13:$D$43,2,FALSE)</f>
        <v>#N/A</v>
      </c>
      <c r="I24" s="31" t="s">
        <v>1848</v>
      </c>
      <c r="J24" t="s">
        <v>1825</v>
      </c>
      <c r="K24" s="32">
        <v>0.1115</v>
      </c>
      <c r="L24" s="36" t="e">
        <f>K24*VLOOKUP($I24,'Selector Sheet '!$B$13:$D$43,3,FALSE)</f>
        <v>#N/A</v>
      </c>
      <c r="T24" s="58" t="s">
        <v>66</v>
      </c>
      <c r="U24" s="59">
        <v>0.609027</v>
      </c>
      <c r="V24" s="60">
        <v>0.150987</v>
      </c>
      <c r="W24" s="60">
        <v>0.041655</v>
      </c>
      <c r="X24" s="61">
        <v>0.198332</v>
      </c>
      <c r="Y24" s="76">
        <v>0.99</v>
      </c>
      <c r="Z24" s="77">
        <v>0.81</v>
      </c>
      <c r="AA24" s="79">
        <v>23.42</v>
      </c>
      <c r="AB24" s="79">
        <v>3.81</v>
      </c>
      <c r="AG24" t="s">
        <v>66</v>
      </c>
      <c r="AH24" s="33">
        <v>60.9027</v>
      </c>
      <c r="AI24" s="33">
        <v>15.0987</v>
      </c>
      <c r="AJ24" s="33">
        <v>4.1655</v>
      </c>
      <c r="AK24" s="33">
        <v>19.8332</v>
      </c>
    </row>
    <row r="25" spans="1:12">
      <c r="A25" s="31" t="s">
        <v>1821</v>
      </c>
      <c r="B25" s="32" t="s">
        <v>1853</v>
      </c>
      <c r="C25" s="32">
        <v>0.0132</v>
      </c>
      <c r="D25" s="32" t="e">
        <f>C25*VLOOKUP($A25,'Selector Sheet '!$B$13:$D$43,2,FALSE)</f>
        <v>#N/A</v>
      </c>
      <c r="E25" t="s">
        <v>1854</v>
      </c>
      <c r="F25" s="32">
        <f t="shared" si="0"/>
        <v>0</v>
      </c>
      <c r="G25" s="32" t="e">
        <f>C25*VLOOKUP($A25,'Selector Sheet '!$B$13:$D$43,2,FALSE)</f>
        <v>#N/A</v>
      </c>
      <c r="I25" s="31" t="s">
        <v>1848</v>
      </c>
      <c r="J25" t="s">
        <v>838</v>
      </c>
      <c r="K25" s="32">
        <v>0.109</v>
      </c>
      <c r="L25" s="36" t="e">
        <f>K25*VLOOKUP($I25,'Selector Sheet '!$B$13:$D$43,3,FALSE)</f>
        <v>#N/A</v>
      </c>
    </row>
    <row r="26" spans="1:12">
      <c r="A26" s="31" t="s">
        <v>1821</v>
      </c>
      <c r="B26" s="33" t="s">
        <v>1855</v>
      </c>
      <c r="C26" s="32">
        <v>0.0125</v>
      </c>
      <c r="D26" s="32" t="e">
        <f>C26*VLOOKUP($A26,'Selector Sheet '!$B$13:$D$43,2,FALSE)</f>
        <v>#N/A</v>
      </c>
      <c r="E26" t="s">
        <v>1856</v>
      </c>
      <c r="F26" s="32">
        <f t="shared" si="0"/>
        <v>0</v>
      </c>
      <c r="G26" s="32" t="e">
        <f>C26*VLOOKUP($A26,'Selector Sheet '!$B$13:$D$43,2,FALSE)</f>
        <v>#N/A</v>
      </c>
      <c r="I26" s="31" t="s">
        <v>1848</v>
      </c>
      <c r="J26" t="s">
        <v>813</v>
      </c>
      <c r="K26" s="32">
        <v>0.1052</v>
      </c>
      <c r="L26" s="36" t="e">
        <f>K26*VLOOKUP($I26,'Selector Sheet '!$B$13:$D$43,3,FALSE)</f>
        <v>#N/A</v>
      </c>
    </row>
    <row r="27" spans="1:12">
      <c r="A27" s="31" t="s">
        <v>1836</v>
      </c>
      <c r="B27" t="s">
        <v>1824</v>
      </c>
      <c r="C27" s="34">
        <v>0.0644</v>
      </c>
      <c r="D27" s="32" t="e">
        <f>C27*VLOOKUP($A27,'Selector Sheet '!$B$13:$D$43,2,FALSE)</f>
        <v>#N/A</v>
      </c>
      <c r="E27" t="s">
        <v>1857</v>
      </c>
      <c r="F27" s="32" t="e">
        <f t="shared" si="0"/>
        <v>#N/A</v>
      </c>
      <c r="G27" s="32" t="e">
        <f>C27*VLOOKUP($A27,'Selector Sheet '!$B$13:$D$43,2,FALSE)</f>
        <v>#N/A</v>
      </c>
      <c r="I27" s="31" t="s">
        <v>1848</v>
      </c>
      <c r="J27" t="s">
        <v>980</v>
      </c>
      <c r="K27" s="32">
        <v>0.0568</v>
      </c>
      <c r="L27" s="36" t="e">
        <f>K27*VLOOKUP($I27,'Selector Sheet '!$B$13:$D$43,3,FALSE)</f>
        <v>#N/A</v>
      </c>
    </row>
    <row r="28" spans="1:12">
      <c r="A28" s="31" t="s">
        <v>1836</v>
      </c>
      <c r="B28" t="s">
        <v>1857</v>
      </c>
      <c r="C28" s="34">
        <v>0.0545</v>
      </c>
      <c r="D28" s="32" t="e">
        <f>C28*VLOOKUP($A28,'Selector Sheet '!$B$13:$D$43,2,FALSE)</f>
        <v>#N/A</v>
      </c>
      <c r="E28" t="s">
        <v>1858</v>
      </c>
      <c r="F28" s="32" t="e">
        <f t="shared" si="0"/>
        <v>#N/A</v>
      </c>
      <c r="G28" s="32" t="e">
        <f>C28*VLOOKUP($A28,'Selector Sheet '!$B$13:$D$43,2,FALSE)</f>
        <v>#N/A</v>
      </c>
      <c r="I28" s="31" t="s">
        <v>1848</v>
      </c>
      <c r="J28" t="s">
        <v>1828</v>
      </c>
      <c r="K28" s="32">
        <v>0.0565</v>
      </c>
      <c r="L28" s="36" t="e">
        <f>K28*VLOOKUP($I28,'Selector Sheet '!$B$13:$D$43,3,FALSE)</f>
        <v>#N/A</v>
      </c>
    </row>
    <row r="29" spans="1:12">
      <c r="A29" s="31" t="s">
        <v>1836</v>
      </c>
      <c r="B29" t="s">
        <v>1859</v>
      </c>
      <c r="C29" s="34">
        <v>0.0382</v>
      </c>
      <c r="D29" s="32" t="e">
        <f>C29*VLOOKUP($A29,'Selector Sheet '!$B$13:$D$43,2,FALSE)</f>
        <v>#N/A</v>
      </c>
      <c r="E29" t="s">
        <v>1860</v>
      </c>
      <c r="F29" s="32" t="e">
        <f t="shared" si="0"/>
        <v>#N/A</v>
      </c>
      <c r="G29" s="32" t="e">
        <f>C29*VLOOKUP($A29,'Selector Sheet '!$B$13:$D$43,2,FALSE)</f>
        <v>#N/A</v>
      </c>
      <c r="I29" s="35" t="s">
        <v>1861</v>
      </c>
      <c r="J29" s="37" t="s">
        <v>1823</v>
      </c>
      <c r="K29" s="38">
        <v>0.2521</v>
      </c>
      <c r="L29" s="36" t="e">
        <f>K29*VLOOKUP($I29,'Selector Sheet '!$B$13:$D$43,3,FALSE)</f>
        <v>#N/A</v>
      </c>
    </row>
    <row r="30" spans="1:12">
      <c r="A30" s="31" t="s">
        <v>1836</v>
      </c>
      <c r="B30" t="s">
        <v>1862</v>
      </c>
      <c r="C30" s="34">
        <v>0.0381</v>
      </c>
      <c r="D30" s="32" t="e">
        <f>C30*VLOOKUP($A30,'Selector Sheet '!$B$13:$D$43,2,FALSE)</f>
        <v>#N/A</v>
      </c>
      <c r="E30" t="s">
        <v>1862</v>
      </c>
      <c r="F30" s="32" t="e">
        <f t="shared" si="0"/>
        <v>#N/A</v>
      </c>
      <c r="G30" s="32" t="e">
        <f>C30*VLOOKUP($A30,'Selector Sheet '!$B$13:$D$43,2,FALSE)</f>
        <v>#N/A</v>
      </c>
      <c r="I30" s="35" t="s">
        <v>1861</v>
      </c>
      <c r="J30" s="37" t="s">
        <v>1825</v>
      </c>
      <c r="K30" s="38">
        <v>0.2233</v>
      </c>
      <c r="L30" s="36" t="e">
        <f>K30*VLOOKUP($I30,'Selector Sheet '!$B$13:$D$43,3,FALSE)</f>
        <v>#N/A</v>
      </c>
    </row>
    <row r="31" spans="1:12">
      <c r="A31" s="31" t="s">
        <v>1836</v>
      </c>
      <c r="B31" t="s">
        <v>1858</v>
      </c>
      <c r="C31" s="34">
        <v>0.0371</v>
      </c>
      <c r="D31" s="32" t="e">
        <f>C31*VLOOKUP($A31,'Selector Sheet '!$B$13:$D$43,2,FALSE)</f>
        <v>#N/A</v>
      </c>
      <c r="E31" t="s">
        <v>1863</v>
      </c>
      <c r="F31" s="32" t="e">
        <f t="shared" si="0"/>
        <v>#N/A</v>
      </c>
      <c r="G31" s="32" t="e">
        <f>C31*VLOOKUP($A31,'Selector Sheet '!$B$13:$D$43,2,FALSE)</f>
        <v>#N/A</v>
      </c>
      <c r="I31" s="35" t="s">
        <v>1861</v>
      </c>
      <c r="J31" s="37" t="s">
        <v>838</v>
      </c>
      <c r="K31" s="38">
        <v>0.1712</v>
      </c>
      <c r="L31" s="36" t="e">
        <f>K31*VLOOKUP($I31,'Selector Sheet '!$B$13:$D$43,3,FALSE)</f>
        <v>#N/A</v>
      </c>
    </row>
    <row r="32" spans="1:12">
      <c r="A32" s="31" t="s">
        <v>1836</v>
      </c>
      <c r="B32" t="s">
        <v>1863</v>
      </c>
      <c r="C32" s="34">
        <v>0.0367</v>
      </c>
      <c r="D32" s="32" t="e">
        <f>C32*VLOOKUP($A32,'Selector Sheet '!$B$13:$D$43,2,FALSE)</f>
        <v>#N/A</v>
      </c>
      <c r="E32" t="s">
        <v>1859</v>
      </c>
      <c r="F32" s="32" t="e">
        <f t="shared" si="0"/>
        <v>#N/A</v>
      </c>
      <c r="G32" s="32" t="e">
        <f>C32*VLOOKUP($A32,'Selector Sheet '!$B$13:$D$43,2,FALSE)</f>
        <v>#N/A</v>
      </c>
      <c r="I32" s="35" t="s">
        <v>1861</v>
      </c>
      <c r="J32" s="37" t="s">
        <v>1834</v>
      </c>
      <c r="K32" s="38">
        <v>0.1129</v>
      </c>
      <c r="L32" s="36" t="e">
        <f>K32*VLOOKUP($I32,'Selector Sheet '!$B$13:$D$43,3,FALSE)</f>
        <v>#N/A</v>
      </c>
    </row>
    <row r="33" spans="1:12">
      <c r="A33" s="31" t="s">
        <v>1836</v>
      </c>
      <c r="B33" t="s">
        <v>1860</v>
      </c>
      <c r="C33" s="34">
        <v>0.0355</v>
      </c>
      <c r="D33" s="32" t="e">
        <f>C33*VLOOKUP($A33,'Selector Sheet '!$B$13:$D$43,2,FALSE)</f>
        <v>#N/A</v>
      </c>
      <c r="E33" t="s">
        <v>1864</v>
      </c>
      <c r="F33" s="32" t="e">
        <f t="shared" si="0"/>
        <v>#N/A</v>
      </c>
      <c r="G33" s="32" t="e">
        <f>C33*VLOOKUP($A33,'Selector Sheet '!$B$13:$D$43,2,FALSE)</f>
        <v>#N/A</v>
      </c>
      <c r="I33" s="35" t="s">
        <v>1861</v>
      </c>
      <c r="J33" s="37" t="s">
        <v>823</v>
      </c>
      <c r="K33" s="38">
        <v>0.0751</v>
      </c>
      <c r="L33" s="36" t="e">
        <f>K33*VLOOKUP($I33,'Selector Sheet '!$B$13:$D$43,3,FALSE)</f>
        <v>#N/A</v>
      </c>
    </row>
    <row r="34" spans="1:12">
      <c r="A34" s="31" t="s">
        <v>1836</v>
      </c>
      <c r="B34" t="s">
        <v>1851</v>
      </c>
      <c r="C34" s="34">
        <v>0.0307</v>
      </c>
      <c r="D34" s="32" t="e">
        <f>C34*VLOOKUP($A34,'Selector Sheet '!$B$13:$D$43,2,FALSE)</f>
        <v>#N/A</v>
      </c>
      <c r="E34" t="s">
        <v>1865</v>
      </c>
      <c r="F34" s="32" t="e">
        <f t="shared" si="0"/>
        <v>#N/A</v>
      </c>
      <c r="G34" s="32" t="e">
        <f>C34*VLOOKUP($A34,'Selector Sheet '!$B$13:$D$43,2,FALSE)</f>
        <v>#N/A</v>
      </c>
      <c r="I34" s="35" t="s">
        <v>1861</v>
      </c>
      <c r="J34" s="37" t="s">
        <v>813</v>
      </c>
      <c r="K34" s="38">
        <v>0.0616</v>
      </c>
      <c r="L34" s="36" t="e">
        <f>K34*VLOOKUP($I34,'Selector Sheet '!$B$13:$D$43,3,FALSE)</f>
        <v>#N/A</v>
      </c>
    </row>
    <row r="35" spans="1:12">
      <c r="A35" s="31" t="s">
        <v>1836</v>
      </c>
      <c r="B35" t="s">
        <v>1864</v>
      </c>
      <c r="C35" s="34">
        <v>0.0297</v>
      </c>
      <c r="D35" s="32" t="e">
        <f>C35*VLOOKUP($A35,'Selector Sheet '!$B$13:$D$43,2,FALSE)</f>
        <v>#N/A</v>
      </c>
      <c r="E35" t="s">
        <v>1866</v>
      </c>
      <c r="F35" s="32" t="e">
        <f t="shared" si="0"/>
        <v>#N/A</v>
      </c>
      <c r="G35" s="32" t="e">
        <f>C35*VLOOKUP($A35,'Selector Sheet '!$B$13:$D$43,2,FALSE)</f>
        <v>#N/A</v>
      </c>
      <c r="I35" s="35" t="s">
        <v>1861</v>
      </c>
      <c r="J35" s="37" t="s">
        <v>980</v>
      </c>
      <c r="K35" s="38">
        <v>0.0544</v>
      </c>
      <c r="L35" s="36" t="e">
        <f>K35*VLOOKUP($I35,'Selector Sheet '!$B$13:$D$43,3,FALSE)</f>
        <v>#N/A</v>
      </c>
    </row>
    <row r="36" spans="1:12">
      <c r="A36" s="31" t="s">
        <v>1836</v>
      </c>
      <c r="B36" t="s">
        <v>1866</v>
      </c>
      <c r="C36" s="34">
        <v>0.0274</v>
      </c>
      <c r="D36" s="32" t="e">
        <f>C36*VLOOKUP($A36,'Selector Sheet '!$B$13:$D$43,2,FALSE)</f>
        <v>#N/A</v>
      </c>
      <c r="E36" t="s">
        <v>1867</v>
      </c>
      <c r="F36" s="32" t="e">
        <f t="shared" si="0"/>
        <v>#N/A</v>
      </c>
      <c r="G36" s="32" t="e">
        <f>C36*VLOOKUP($A36,'Selector Sheet '!$B$13:$D$43,2,FALSE)</f>
        <v>#N/A</v>
      </c>
      <c r="I36" s="35" t="s">
        <v>1861</v>
      </c>
      <c r="J36" s="37" t="s">
        <v>1846</v>
      </c>
      <c r="K36" s="38">
        <v>0.0075</v>
      </c>
      <c r="L36" s="36" t="e">
        <f>K36*VLOOKUP($I36,'Selector Sheet '!$B$13:$D$43,3,FALSE)</f>
        <v>#N/A</v>
      </c>
    </row>
    <row r="37" spans="1:12">
      <c r="A37" s="31" t="s">
        <v>1836</v>
      </c>
      <c r="B37" t="s">
        <v>1865</v>
      </c>
      <c r="C37" s="34">
        <v>0.0249</v>
      </c>
      <c r="D37" s="32" t="e">
        <f>C37*VLOOKUP($A37,'Selector Sheet '!$B$13:$D$43,2,FALSE)</f>
        <v>#N/A</v>
      </c>
      <c r="E37" t="s">
        <v>1868</v>
      </c>
      <c r="F37" s="32" t="e">
        <f t="shared" si="0"/>
        <v>#N/A</v>
      </c>
      <c r="G37" s="32" t="e">
        <f>C37*VLOOKUP($A37,'Selector Sheet '!$B$13:$D$43,2,FALSE)</f>
        <v>#N/A</v>
      </c>
      <c r="I37" s="39" t="s">
        <v>1869</v>
      </c>
      <c r="J37" s="37" t="s">
        <v>1823</v>
      </c>
      <c r="K37" s="38">
        <v>0.1185</v>
      </c>
      <c r="L37" s="36" t="e">
        <f>K37*VLOOKUP($I37,'Selector Sheet '!$B$13:$D$43,3,FALSE)</f>
        <v>#N/A</v>
      </c>
    </row>
    <row r="38" spans="1:12">
      <c r="A38" s="31" t="s">
        <v>1836</v>
      </c>
      <c r="B38" t="s">
        <v>1867</v>
      </c>
      <c r="C38" s="34">
        <v>0.0221</v>
      </c>
      <c r="D38" s="32" t="e">
        <f>C38*VLOOKUP($A38,'Selector Sheet '!$B$13:$D$43,2,FALSE)</f>
        <v>#N/A</v>
      </c>
      <c r="E38" t="s">
        <v>1870</v>
      </c>
      <c r="F38" s="32" t="e">
        <f t="shared" si="0"/>
        <v>#N/A</v>
      </c>
      <c r="G38" s="32" t="e">
        <f>C38*VLOOKUP($A38,'Selector Sheet '!$B$13:$D$43,2,FALSE)</f>
        <v>#N/A</v>
      </c>
      <c r="I38" s="39" t="s">
        <v>1869</v>
      </c>
      <c r="J38" s="37" t="s">
        <v>838</v>
      </c>
      <c r="K38" s="38">
        <v>0.093</v>
      </c>
      <c r="L38" s="36" t="e">
        <f>K38*VLOOKUP($I38,'Selector Sheet '!$B$13:$D$43,3,FALSE)</f>
        <v>#N/A</v>
      </c>
    </row>
    <row r="39" spans="1:12">
      <c r="A39" s="31" t="s">
        <v>1836</v>
      </c>
      <c r="B39" t="s">
        <v>1871</v>
      </c>
      <c r="C39" s="34">
        <v>0.0217</v>
      </c>
      <c r="D39" s="32" t="e">
        <f>C39*VLOOKUP($A39,'Selector Sheet '!$B$13:$D$43,2,FALSE)</f>
        <v>#N/A</v>
      </c>
      <c r="E39" t="s">
        <v>1872</v>
      </c>
      <c r="F39" s="32" t="e">
        <f t="shared" si="0"/>
        <v>#N/A</v>
      </c>
      <c r="G39" s="32" t="e">
        <f>C39*VLOOKUP($A39,'Selector Sheet '!$B$13:$D$43,2,FALSE)</f>
        <v>#N/A</v>
      </c>
      <c r="I39" s="39" t="s">
        <v>1869</v>
      </c>
      <c r="J39" s="37" t="s">
        <v>1825</v>
      </c>
      <c r="K39" s="38">
        <v>0.0697</v>
      </c>
      <c r="L39" s="36" t="e">
        <f>K39*VLOOKUP($I39,'Selector Sheet '!$B$13:$D$43,3,FALSE)</f>
        <v>#N/A</v>
      </c>
    </row>
    <row r="40" spans="1:12">
      <c r="A40" s="31" t="s">
        <v>1836</v>
      </c>
      <c r="B40" t="s">
        <v>1868</v>
      </c>
      <c r="C40" s="34">
        <v>0.0212</v>
      </c>
      <c r="D40" s="32" t="e">
        <f>C40*VLOOKUP($A40,'Selector Sheet '!$B$13:$D$43,2,FALSE)</f>
        <v>#N/A</v>
      </c>
      <c r="E40" t="s">
        <v>1871</v>
      </c>
      <c r="F40" s="32" t="e">
        <f t="shared" si="0"/>
        <v>#N/A</v>
      </c>
      <c r="G40" s="32" t="e">
        <f>C40*VLOOKUP($A40,'Selector Sheet '!$B$13:$D$43,2,FALSE)</f>
        <v>#N/A</v>
      </c>
      <c r="I40" s="39" t="s">
        <v>1869</v>
      </c>
      <c r="J40" s="37" t="s">
        <v>813</v>
      </c>
      <c r="K40" s="38">
        <v>0.0437</v>
      </c>
      <c r="L40" s="36" t="e">
        <f>K40*VLOOKUP($I40,'Selector Sheet '!$B$13:$D$43,3,FALSE)</f>
        <v>#N/A</v>
      </c>
    </row>
    <row r="41" spans="1:12">
      <c r="A41" s="31" t="s">
        <v>1836</v>
      </c>
      <c r="B41" t="s">
        <v>1870</v>
      </c>
      <c r="C41" s="34">
        <v>0.0176</v>
      </c>
      <c r="D41" s="32" t="e">
        <f>C41*VLOOKUP($A41,'Selector Sheet '!$B$13:$D$43,2,FALSE)</f>
        <v>#N/A</v>
      </c>
      <c r="E41" t="s">
        <v>1873</v>
      </c>
      <c r="F41" s="32" t="e">
        <f t="shared" si="0"/>
        <v>#N/A</v>
      </c>
      <c r="G41" s="32" t="e">
        <f>C41*VLOOKUP($A41,'Selector Sheet '!$B$13:$D$43,2,FALSE)</f>
        <v>#N/A</v>
      </c>
      <c r="I41" s="39" t="s">
        <v>1869</v>
      </c>
      <c r="J41" s="37" t="s">
        <v>823</v>
      </c>
      <c r="K41" s="38">
        <v>0.0397</v>
      </c>
      <c r="L41" s="36" t="e">
        <f>K41*VLOOKUP($I41,'Selector Sheet '!$B$13:$D$43,3,FALSE)</f>
        <v>#N/A</v>
      </c>
    </row>
    <row r="42" spans="1:12">
      <c r="A42" s="31" t="s">
        <v>1836</v>
      </c>
      <c r="B42" t="s">
        <v>1831</v>
      </c>
      <c r="C42" s="34">
        <v>0.0173</v>
      </c>
      <c r="D42" s="32" t="e">
        <f>C42*VLOOKUP($A42,'Selector Sheet '!$B$13:$D$43,2,FALSE)</f>
        <v>#N/A</v>
      </c>
      <c r="E42" t="s">
        <v>1874</v>
      </c>
      <c r="F42" s="32" t="e">
        <f t="shared" si="0"/>
        <v>#N/A</v>
      </c>
      <c r="G42" s="32" t="e">
        <f>C42*VLOOKUP($A42,'Selector Sheet '!$B$13:$D$43,2,FALSE)</f>
        <v>#N/A</v>
      </c>
      <c r="I42" s="39" t="s">
        <v>1869</v>
      </c>
      <c r="J42" s="37" t="s">
        <v>980</v>
      </c>
      <c r="K42" s="38">
        <v>0.0376</v>
      </c>
      <c r="L42" s="36" t="e">
        <f>K42*VLOOKUP($I42,'Selector Sheet '!$B$13:$D$43,3,FALSE)</f>
        <v>#N/A</v>
      </c>
    </row>
    <row r="43" spans="1:12">
      <c r="A43" s="31" t="s">
        <v>1836</v>
      </c>
      <c r="B43" t="s">
        <v>1872</v>
      </c>
      <c r="C43" s="34">
        <v>0.017</v>
      </c>
      <c r="D43" s="32" t="e">
        <f>C43*VLOOKUP($A43,'Selector Sheet '!$B$13:$D$43,2,FALSE)</f>
        <v>#N/A</v>
      </c>
      <c r="E43" t="s">
        <v>1875</v>
      </c>
      <c r="F43" s="32">
        <f t="shared" si="0"/>
        <v>0</v>
      </c>
      <c r="G43" s="32" t="e">
        <f>C43*VLOOKUP($A43,'Selector Sheet '!$B$13:$D$43,2,FALSE)</f>
        <v>#N/A</v>
      </c>
      <c r="I43" s="39" t="s">
        <v>1869</v>
      </c>
      <c r="J43" s="37" t="s">
        <v>1828</v>
      </c>
      <c r="K43" s="38">
        <v>0.0334</v>
      </c>
      <c r="L43" s="36" t="e">
        <f>K43*VLOOKUP($I43,'Selector Sheet '!$B$13:$D$43,3,FALSE)</f>
        <v>#N/A</v>
      </c>
    </row>
    <row r="44" spans="1:12">
      <c r="A44" s="31" t="s">
        <v>1836</v>
      </c>
      <c r="B44" t="s">
        <v>1830</v>
      </c>
      <c r="C44" s="34">
        <v>0.0166</v>
      </c>
      <c r="D44" s="32" t="e">
        <f>C44*VLOOKUP($A44,'Selector Sheet '!$B$13:$D$43,2,FALSE)</f>
        <v>#N/A</v>
      </c>
      <c r="E44" t="s">
        <v>1876</v>
      </c>
      <c r="F44" s="32" t="e">
        <f t="shared" si="0"/>
        <v>#N/A</v>
      </c>
      <c r="G44" s="32" t="e">
        <f>C44*VLOOKUP($A44,'Selector Sheet '!$B$13:$D$43,2,FALSE)</f>
        <v>#N/A</v>
      </c>
      <c r="I44" s="39" t="s">
        <v>1869</v>
      </c>
      <c r="J44" s="37" t="s">
        <v>1834</v>
      </c>
      <c r="K44" s="38">
        <v>0.0247</v>
      </c>
      <c r="L44" s="36" t="e">
        <f>K44*VLOOKUP($I44,'Selector Sheet '!$B$13:$D$43,3,FALSE)</f>
        <v>#N/A</v>
      </c>
    </row>
    <row r="45" spans="1:12">
      <c r="A45" s="31" t="s">
        <v>1836</v>
      </c>
      <c r="B45" t="s">
        <v>1873</v>
      </c>
      <c r="C45" s="34">
        <v>0.0157</v>
      </c>
      <c r="D45" s="32" t="e">
        <f>C45*VLOOKUP($A45,'Selector Sheet '!$B$13:$D$43,2,FALSE)</f>
        <v>#N/A</v>
      </c>
      <c r="E45" t="s">
        <v>1877</v>
      </c>
      <c r="F45" s="32">
        <f t="shared" si="0"/>
        <v>0</v>
      </c>
      <c r="G45" s="32" t="e">
        <f>C45*VLOOKUP($A45,'Selector Sheet '!$B$13:$D$43,2,FALSE)</f>
        <v>#N/A</v>
      </c>
      <c r="I45" s="39" t="s">
        <v>1869</v>
      </c>
      <c r="J45" s="37" t="s">
        <v>1846</v>
      </c>
      <c r="K45" s="38">
        <v>0.0014</v>
      </c>
      <c r="L45" s="36" t="e">
        <f>K45*VLOOKUP($I45,'Selector Sheet '!$B$13:$D$43,3,FALSE)</f>
        <v>#N/A</v>
      </c>
    </row>
    <row r="46" spans="1:12">
      <c r="A46" s="31" t="s">
        <v>1836</v>
      </c>
      <c r="B46" t="s">
        <v>1835</v>
      </c>
      <c r="C46" s="34">
        <v>0.0146</v>
      </c>
      <c r="D46" s="32" t="e">
        <f>C46*VLOOKUP($A46,'Selector Sheet '!$B$13:$D$43,2,FALSE)</f>
        <v>#N/A</v>
      </c>
      <c r="E46" t="s">
        <v>1878</v>
      </c>
      <c r="F46" s="32">
        <f t="shared" si="0"/>
        <v>0</v>
      </c>
      <c r="G46" s="32" t="e">
        <f>C46*VLOOKUP($A46,'Selector Sheet '!$B$13:$D$43,2,FALSE)</f>
        <v>#N/A</v>
      </c>
      <c r="I46" s="39" t="s">
        <v>1869</v>
      </c>
      <c r="J46" s="37" t="s">
        <v>998</v>
      </c>
      <c r="K46" s="38">
        <v>0.0002</v>
      </c>
      <c r="L46" s="36" t="e">
        <f>K46*VLOOKUP($I46,'Selector Sheet '!$B$13:$D$43,3,FALSE)</f>
        <v>#N/A</v>
      </c>
    </row>
    <row r="47" spans="1:12">
      <c r="A47" s="31" t="s">
        <v>1836</v>
      </c>
      <c r="B47" t="s">
        <v>1844</v>
      </c>
      <c r="C47" s="34">
        <v>0.0139</v>
      </c>
      <c r="D47" s="32" t="e">
        <f>C47*VLOOKUP($A47,'Selector Sheet '!$B$13:$D$43,2,FALSE)</f>
        <v>#N/A</v>
      </c>
      <c r="E47" t="s">
        <v>1879</v>
      </c>
      <c r="F47" s="32">
        <f t="shared" si="0"/>
        <v>0</v>
      </c>
      <c r="G47" s="32" t="e">
        <f>C47*VLOOKUP($A47,'Selector Sheet '!$B$13:$D$43,2,FALSE)</f>
        <v>#N/A</v>
      </c>
      <c r="I47" s="39" t="s">
        <v>1880</v>
      </c>
      <c r="J47" s="37" t="s">
        <v>1823</v>
      </c>
      <c r="K47" s="38">
        <v>0.1924</v>
      </c>
      <c r="L47" s="36" t="e">
        <f>K47*VLOOKUP($I47,'Selector Sheet '!$B$13:$D$43,3,FALSE)</f>
        <v>#N/A</v>
      </c>
    </row>
    <row r="48" spans="1:12">
      <c r="A48" s="31" t="s">
        <v>1836</v>
      </c>
      <c r="B48" t="s">
        <v>1876</v>
      </c>
      <c r="C48" s="34">
        <v>0.0139</v>
      </c>
      <c r="D48" s="32" t="e">
        <f>C48*VLOOKUP($A48,'Selector Sheet '!$B$13:$D$43,2,FALSE)</f>
        <v>#N/A</v>
      </c>
      <c r="E48" t="s">
        <v>1881</v>
      </c>
      <c r="F48" s="32" t="e">
        <f t="shared" si="0"/>
        <v>#N/A</v>
      </c>
      <c r="G48" s="32" t="e">
        <f>C48*VLOOKUP($A48,'Selector Sheet '!$B$13:$D$43,2,FALSE)</f>
        <v>#N/A</v>
      </c>
      <c r="I48" s="39" t="s">
        <v>1880</v>
      </c>
      <c r="J48" s="37" t="s">
        <v>1825</v>
      </c>
      <c r="K48" s="38">
        <v>0.0919</v>
      </c>
      <c r="L48" s="36" t="e">
        <f>K48*VLOOKUP($I48,'Selector Sheet '!$B$13:$D$43,3,FALSE)</f>
        <v>#N/A</v>
      </c>
    </row>
    <row r="49" spans="1:12">
      <c r="A49" s="31" t="s">
        <v>1836</v>
      </c>
      <c r="B49" t="s">
        <v>1838</v>
      </c>
      <c r="C49" s="34">
        <v>0.0136</v>
      </c>
      <c r="D49" s="32" t="e">
        <f>C49*VLOOKUP($A49,'Selector Sheet '!$B$13:$D$43,2,FALSE)</f>
        <v>#N/A</v>
      </c>
      <c r="E49" t="s">
        <v>1882</v>
      </c>
      <c r="F49" s="32">
        <f t="shared" si="0"/>
        <v>0</v>
      </c>
      <c r="G49" s="32" t="e">
        <f>C49*VLOOKUP($A49,'Selector Sheet '!$B$13:$D$43,2,FALSE)</f>
        <v>#N/A</v>
      </c>
      <c r="I49" s="39" t="s">
        <v>1880</v>
      </c>
      <c r="J49" s="37" t="s">
        <v>838</v>
      </c>
      <c r="K49" s="38">
        <v>0.0849</v>
      </c>
      <c r="L49" s="36" t="e">
        <f>K49*VLOOKUP($I49,'Selector Sheet '!$B$13:$D$43,3,FALSE)</f>
        <v>#N/A</v>
      </c>
    </row>
    <row r="50" spans="1:12">
      <c r="A50" s="31" t="s">
        <v>1836</v>
      </c>
      <c r="B50" t="s">
        <v>1874</v>
      </c>
      <c r="C50" s="34">
        <v>0.0134</v>
      </c>
      <c r="D50" s="32" t="e">
        <f>C50*VLOOKUP($A50,'Selector Sheet '!$B$13:$D$43,2,FALSE)</f>
        <v>#N/A</v>
      </c>
      <c r="E50" t="s">
        <v>1883</v>
      </c>
      <c r="F50" s="32">
        <f t="shared" si="0"/>
        <v>0</v>
      </c>
      <c r="G50" s="32" t="e">
        <f>C50*VLOOKUP($A50,'Selector Sheet '!$B$13:$D$43,2,FALSE)</f>
        <v>#N/A</v>
      </c>
      <c r="I50" s="39" t="s">
        <v>1880</v>
      </c>
      <c r="J50" s="37" t="s">
        <v>1828</v>
      </c>
      <c r="K50" s="38">
        <v>0.0778</v>
      </c>
      <c r="L50" s="36" t="e">
        <f>K50*VLOOKUP($I50,'Selector Sheet '!$B$13:$D$43,3,FALSE)</f>
        <v>#N/A</v>
      </c>
    </row>
    <row r="51" spans="1:12">
      <c r="A51" s="31" t="s">
        <v>1836</v>
      </c>
      <c r="B51" t="s">
        <v>1884</v>
      </c>
      <c r="C51" s="34">
        <v>0.0128</v>
      </c>
      <c r="D51" s="32" t="e">
        <f>C51*VLOOKUP($A51,'Selector Sheet '!$B$13:$D$43,2,FALSE)</f>
        <v>#N/A</v>
      </c>
      <c r="E51" t="s">
        <v>1885</v>
      </c>
      <c r="F51" s="32" t="e">
        <f t="shared" si="0"/>
        <v>#N/A</v>
      </c>
      <c r="G51" s="32" t="e">
        <f>C51*VLOOKUP($A51,'Selector Sheet '!$B$13:$D$43,2,FALSE)</f>
        <v>#N/A</v>
      </c>
      <c r="I51" s="39" t="s">
        <v>1880</v>
      </c>
      <c r="J51" s="37" t="s">
        <v>1834</v>
      </c>
      <c r="K51" s="38">
        <v>0.0642</v>
      </c>
      <c r="L51" s="36" t="e">
        <f>K51*VLOOKUP($I51,'Selector Sheet '!$B$13:$D$43,3,FALSE)</f>
        <v>#N/A</v>
      </c>
    </row>
    <row r="52" spans="1:12">
      <c r="A52" s="35" t="s">
        <v>1861</v>
      </c>
      <c r="B52" t="s">
        <v>1822</v>
      </c>
      <c r="C52" s="34">
        <v>0.0644</v>
      </c>
      <c r="D52" s="32" t="e">
        <f>C52*VLOOKUP($A52,'Selector Sheet '!$B$13:$D$43,2,FALSE)</f>
        <v>#N/A</v>
      </c>
      <c r="E52" t="s">
        <v>1886</v>
      </c>
      <c r="F52" s="32">
        <f t="shared" si="0"/>
        <v>0</v>
      </c>
      <c r="G52" s="32" t="e">
        <f>C52*VLOOKUP($A52,'Selector Sheet '!$B$13:$D$43,2,FALSE)</f>
        <v>#N/A</v>
      </c>
      <c r="I52" s="39" t="s">
        <v>1880</v>
      </c>
      <c r="J52" s="37" t="s">
        <v>980</v>
      </c>
      <c r="K52" s="38">
        <v>0.0506</v>
      </c>
      <c r="L52" s="36" t="e">
        <f>K52*VLOOKUP($I52,'Selector Sheet '!$B$13:$D$43,3,FALSE)</f>
        <v>#N/A</v>
      </c>
    </row>
    <row r="53" spans="1:12">
      <c r="A53" s="35" t="s">
        <v>1861</v>
      </c>
      <c r="B53" t="s">
        <v>1844</v>
      </c>
      <c r="C53" s="34">
        <v>0.0632</v>
      </c>
      <c r="D53" s="32" t="e">
        <f>C53*VLOOKUP($A53,'Selector Sheet '!$B$13:$D$43,2,FALSE)</f>
        <v>#N/A</v>
      </c>
      <c r="E53" t="s">
        <v>1887</v>
      </c>
      <c r="F53" s="32">
        <f t="shared" si="0"/>
        <v>0.0184</v>
      </c>
      <c r="G53" s="32" t="e">
        <f>C53*VLOOKUP($A53,'Selector Sheet '!$B$13:$D$43,2,FALSE)</f>
        <v>#N/A</v>
      </c>
      <c r="I53" s="39" t="s">
        <v>1880</v>
      </c>
      <c r="J53" s="37" t="s">
        <v>813</v>
      </c>
      <c r="K53" s="38">
        <v>0.0352</v>
      </c>
      <c r="L53" s="36" t="e">
        <f>K53*VLOOKUP($I53,'Selector Sheet '!$B$13:$D$43,3,FALSE)</f>
        <v>#N/A</v>
      </c>
    </row>
    <row r="54" spans="1:12">
      <c r="A54" s="35" t="s">
        <v>1861</v>
      </c>
      <c r="B54" t="s">
        <v>1824</v>
      </c>
      <c r="C54" s="34">
        <v>0.0631</v>
      </c>
      <c r="D54" s="32" t="e">
        <f>C54*VLOOKUP($A54,'Selector Sheet '!$B$13:$D$43,2,FALSE)</f>
        <v>#N/A</v>
      </c>
      <c r="E54" t="s">
        <v>1888</v>
      </c>
      <c r="F54" s="32">
        <f t="shared" si="0"/>
        <v>0</v>
      </c>
      <c r="G54" s="32" t="e">
        <f>C54*VLOOKUP($A54,'Selector Sheet '!$B$13:$D$43,2,FALSE)</f>
        <v>#N/A</v>
      </c>
      <c r="I54" s="39" t="s">
        <v>1880</v>
      </c>
      <c r="J54" s="37" t="s">
        <v>823</v>
      </c>
      <c r="K54" s="38">
        <v>0.0308</v>
      </c>
      <c r="L54" s="36" t="e">
        <f>K54*VLOOKUP($I54,'Selector Sheet '!$B$13:$D$43,3,FALSE)</f>
        <v>#N/A</v>
      </c>
    </row>
    <row r="55" spans="1:12">
      <c r="A55" s="35" t="s">
        <v>1861</v>
      </c>
      <c r="B55" t="s">
        <v>1851</v>
      </c>
      <c r="C55" s="34">
        <v>0.0399</v>
      </c>
      <c r="D55" s="32" t="e">
        <f>C55*VLOOKUP($A55,'Selector Sheet '!$B$13:$D$43,2,FALSE)</f>
        <v>#N/A</v>
      </c>
      <c r="E55" t="s">
        <v>1889</v>
      </c>
      <c r="F55" s="32">
        <f t="shared" si="0"/>
        <v>0</v>
      </c>
      <c r="G55" s="32" t="e">
        <f>C55*VLOOKUP($A55,'Selector Sheet '!$B$13:$D$43,2,FALSE)</f>
        <v>#N/A</v>
      </c>
      <c r="I55" s="39" t="s">
        <v>1880</v>
      </c>
      <c r="J55" s="37" t="s">
        <v>998</v>
      </c>
      <c r="K55" s="38">
        <v>0.0119</v>
      </c>
      <c r="L55" s="36" t="e">
        <f>K55*VLOOKUP($I55,'Selector Sheet '!$B$13:$D$43,3,FALSE)</f>
        <v>#N/A</v>
      </c>
    </row>
    <row r="56" spans="1:12">
      <c r="A56" s="35" t="s">
        <v>1861</v>
      </c>
      <c r="B56" t="s">
        <v>1845</v>
      </c>
      <c r="C56" s="34">
        <v>0.0384</v>
      </c>
      <c r="D56" s="32" t="e">
        <f>C56*VLOOKUP($A56,'Selector Sheet '!$B$13:$D$43,2,FALSE)</f>
        <v>#N/A</v>
      </c>
      <c r="E56" t="s">
        <v>1890</v>
      </c>
      <c r="F56" s="32">
        <f t="shared" si="0"/>
        <v>0</v>
      </c>
      <c r="G56" s="32" t="e">
        <f>C56*VLOOKUP($A56,'Selector Sheet '!$B$13:$D$43,2,FALSE)</f>
        <v>#N/A</v>
      </c>
      <c r="I56" s="39" t="s">
        <v>1891</v>
      </c>
      <c r="J56" t="s">
        <v>1823</v>
      </c>
      <c r="K56" s="32">
        <v>0.1602</v>
      </c>
      <c r="L56" s="36" t="e">
        <f>K56*VLOOKUP($I56,'Selector Sheet '!$B$13:$D$43,3,FALSE)</f>
        <v>#N/A</v>
      </c>
    </row>
    <row r="57" spans="1:12">
      <c r="A57" s="35" t="s">
        <v>1861</v>
      </c>
      <c r="B57" t="s">
        <v>1827</v>
      </c>
      <c r="C57" s="34">
        <v>0.0367</v>
      </c>
      <c r="D57" s="32" t="e">
        <f>C57*VLOOKUP($A57,'Selector Sheet '!$B$13:$D$43,2,FALSE)</f>
        <v>#N/A</v>
      </c>
      <c r="E57" t="s">
        <v>1892</v>
      </c>
      <c r="F57" s="32">
        <f t="shared" si="0"/>
        <v>0</v>
      </c>
      <c r="G57" s="32" t="e">
        <f>C57*VLOOKUP($A57,'Selector Sheet '!$B$13:$D$43,2,FALSE)</f>
        <v>#N/A</v>
      </c>
      <c r="I57" s="39" t="s">
        <v>1891</v>
      </c>
      <c r="J57" t="s">
        <v>1828</v>
      </c>
      <c r="K57" s="32">
        <v>0.0715</v>
      </c>
      <c r="L57" s="36" t="e">
        <f>K57*VLOOKUP($I57,'Selector Sheet '!$B$13:$D$43,3,FALSE)</f>
        <v>#N/A</v>
      </c>
    </row>
    <row r="58" spans="1:12">
      <c r="A58" s="35" t="s">
        <v>1861</v>
      </c>
      <c r="B58" t="s">
        <v>1893</v>
      </c>
      <c r="C58" s="34">
        <v>0.0363</v>
      </c>
      <c r="D58" s="32" t="e">
        <f>C58*VLOOKUP($A58,'Selector Sheet '!$B$13:$D$43,2,FALSE)</f>
        <v>#N/A</v>
      </c>
      <c r="E58" t="s">
        <v>1894</v>
      </c>
      <c r="F58" s="32">
        <f t="shared" si="0"/>
        <v>0</v>
      </c>
      <c r="G58" s="32" t="e">
        <f>C58*VLOOKUP($A58,'Selector Sheet '!$B$13:$D$43,2,FALSE)</f>
        <v>#N/A</v>
      </c>
      <c r="I58" s="39" t="s">
        <v>1891</v>
      </c>
      <c r="J58" t="s">
        <v>1825</v>
      </c>
      <c r="K58" s="32">
        <v>0.0689</v>
      </c>
      <c r="L58" s="36" t="e">
        <f>K58*VLOOKUP($I58,'Selector Sheet '!$B$13:$D$43,3,FALSE)</f>
        <v>#N/A</v>
      </c>
    </row>
    <row r="59" spans="1:12">
      <c r="A59" s="35" t="s">
        <v>1861</v>
      </c>
      <c r="B59" t="s">
        <v>1895</v>
      </c>
      <c r="C59" s="34">
        <v>0.0348</v>
      </c>
      <c r="D59" s="32" t="e">
        <f>C59*VLOOKUP($A59,'Selector Sheet '!$B$13:$D$43,2,FALSE)</f>
        <v>#N/A</v>
      </c>
      <c r="E59" t="s">
        <v>1893</v>
      </c>
      <c r="F59" s="32" t="e">
        <f t="shared" si="0"/>
        <v>#N/A</v>
      </c>
      <c r="G59" s="32" t="e">
        <f>C59*VLOOKUP($A59,'Selector Sheet '!$B$13:$D$43,2,FALSE)</f>
        <v>#N/A</v>
      </c>
      <c r="I59" s="39" t="s">
        <v>1891</v>
      </c>
      <c r="J59" t="s">
        <v>1834</v>
      </c>
      <c r="K59" s="32">
        <v>0.0431</v>
      </c>
      <c r="L59" s="36" t="e">
        <f>K59*VLOOKUP($I59,'Selector Sheet '!$B$13:$D$43,3,FALSE)</f>
        <v>#N/A</v>
      </c>
    </row>
    <row r="60" spans="1:12">
      <c r="A60" s="35" t="s">
        <v>1861</v>
      </c>
      <c r="B60" t="s">
        <v>1896</v>
      </c>
      <c r="C60" s="34">
        <v>0.0319</v>
      </c>
      <c r="D60" s="32" t="e">
        <f>C60*VLOOKUP($A60,'Selector Sheet '!$B$13:$D$43,2,FALSE)</f>
        <v>#N/A</v>
      </c>
      <c r="E60" t="s">
        <v>1895</v>
      </c>
      <c r="F60" s="32" t="e">
        <f t="shared" si="0"/>
        <v>#N/A</v>
      </c>
      <c r="G60" s="32" t="e">
        <f>C60*VLOOKUP($A60,'Selector Sheet '!$B$13:$D$43,2,FALSE)</f>
        <v>#N/A</v>
      </c>
      <c r="I60" s="39" t="s">
        <v>1891</v>
      </c>
      <c r="J60" t="s">
        <v>813</v>
      </c>
      <c r="K60" s="32">
        <v>0.042</v>
      </c>
      <c r="L60" s="36" t="e">
        <f>K60*VLOOKUP($I60,'Selector Sheet '!$B$13:$D$43,3,FALSE)</f>
        <v>#N/A</v>
      </c>
    </row>
    <row r="61" spans="1:12">
      <c r="A61" s="35" t="s">
        <v>1861</v>
      </c>
      <c r="B61" t="s">
        <v>1881</v>
      </c>
      <c r="C61" s="34">
        <v>0.0299</v>
      </c>
      <c r="D61" s="32" t="e">
        <f>C61*VLOOKUP($A61,'Selector Sheet '!$B$13:$D$43,2,FALSE)</f>
        <v>#N/A</v>
      </c>
      <c r="E61" t="s">
        <v>1896</v>
      </c>
      <c r="F61" s="32" t="e">
        <f t="shared" si="0"/>
        <v>#N/A</v>
      </c>
      <c r="G61" s="32" t="e">
        <f>C61*VLOOKUP($A61,'Selector Sheet '!$B$13:$D$43,2,FALSE)</f>
        <v>#N/A</v>
      </c>
      <c r="I61" s="39" t="s">
        <v>1891</v>
      </c>
      <c r="J61" t="s">
        <v>838</v>
      </c>
      <c r="K61" s="32">
        <v>0.0361</v>
      </c>
      <c r="L61" s="36" t="e">
        <f>K61*VLOOKUP($I61,'Selector Sheet '!$B$13:$D$43,3,FALSE)</f>
        <v>#N/A</v>
      </c>
    </row>
    <row r="62" spans="1:12">
      <c r="A62" s="35" t="s">
        <v>1861</v>
      </c>
      <c r="B62" t="s">
        <v>1859</v>
      </c>
      <c r="C62" s="34">
        <v>0.027</v>
      </c>
      <c r="D62" s="32" t="e">
        <f>C62*VLOOKUP($A62,'Selector Sheet '!$B$13:$D$43,2,FALSE)</f>
        <v>#N/A</v>
      </c>
      <c r="E62" t="s">
        <v>1897</v>
      </c>
      <c r="F62" s="32" t="e">
        <f t="shared" si="0"/>
        <v>#N/A</v>
      </c>
      <c r="G62" s="32" t="e">
        <f>C62*VLOOKUP($A62,'Selector Sheet '!$B$13:$D$43,2,FALSE)</f>
        <v>#N/A</v>
      </c>
      <c r="I62" s="39" t="s">
        <v>1891</v>
      </c>
      <c r="J62" t="s">
        <v>823</v>
      </c>
      <c r="K62" s="32">
        <v>0.0263</v>
      </c>
      <c r="L62" s="36" t="e">
        <f>K62*VLOOKUP($I62,'Selector Sheet '!$B$13:$D$43,3,FALSE)</f>
        <v>#N/A</v>
      </c>
    </row>
    <row r="63" spans="1:12">
      <c r="A63" s="35" t="s">
        <v>1861</v>
      </c>
      <c r="B63" t="s">
        <v>1860</v>
      </c>
      <c r="C63" s="34">
        <v>0.0264</v>
      </c>
      <c r="D63" s="32" t="e">
        <f>C63*VLOOKUP($A63,'Selector Sheet '!$B$13:$D$43,2,FALSE)</f>
        <v>#N/A</v>
      </c>
      <c r="E63" t="s">
        <v>1898</v>
      </c>
      <c r="F63" s="32" t="e">
        <f t="shared" si="0"/>
        <v>#N/A</v>
      </c>
      <c r="G63" s="32" t="e">
        <f>C63*VLOOKUP($A63,'Selector Sheet '!$B$13:$D$43,2,FALSE)</f>
        <v>#N/A</v>
      </c>
      <c r="I63" s="39" t="s">
        <v>1891</v>
      </c>
      <c r="J63" t="s">
        <v>980</v>
      </c>
      <c r="K63" s="32">
        <v>0.0196</v>
      </c>
      <c r="L63" s="36" t="e">
        <f>K63*VLOOKUP($I63,'Selector Sheet '!$B$13:$D$43,3,FALSE)</f>
        <v>#N/A</v>
      </c>
    </row>
    <row r="64" spans="1:12">
      <c r="A64" s="35" t="s">
        <v>1861</v>
      </c>
      <c r="B64" t="s">
        <v>1897</v>
      </c>
      <c r="C64" s="34">
        <v>0.0263</v>
      </c>
      <c r="D64" s="32" t="e">
        <f>C64*VLOOKUP($A64,'Selector Sheet '!$B$13:$D$43,2,FALSE)</f>
        <v>#N/A</v>
      </c>
      <c r="E64" t="s">
        <v>1899</v>
      </c>
      <c r="F64" s="32" t="e">
        <f t="shared" si="0"/>
        <v>#N/A</v>
      </c>
      <c r="G64" s="32" t="e">
        <f>C64*VLOOKUP($A64,'Selector Sheet '!$B$13:$D$43,2,FALSE)</f>
        <v>#N/A</v>
      </c>
      <c r="I64" s="39" t="s">
        <v>1891</v>
      </c>
      <c r="J64" t="s">
        <v>998</v>
      </c>
      <c r="K64" s="32">
        <v>0.0132</v>
      </c>
      <c r="L64" s="36" t="e">
        <f>K64*VLOOKUP($I64,'Selector Sheet '!$B$13:$D$43,3,FALSE)</f>
        <v>#N/A</v>
      </c>
    </row>
    <row r="65" spans="1:12">
      <c r="A65" s="35" t="s">
        <v>1861</v>
      </c>
      <c r="B65" t="s">
        <v>1837</v>
      </c>
      <c r="C65" s="34">
        <v>0.0261</v>
      </c>
      <c r="D65" s="32" t="e">
        <f>C65*VLOOKUP($A65,'Selector Sheet '!$B$13:$D$43,2,FALSE)</f>
        <v>#N/A</v>
      </c>
      <c r="E65" t="s">
        <v>1900</v>
      </c>
      <c r="F65" s="32" t="e">
        <f t="shared" si="0"/>
        <v>#N/A</v>
      </c>
      <c r="G65" s="32" t="e">
        <f>C65*VLOOKUP($A65,'Selector Sheet '!$B$13:$D$43,2,FALSE)</f>
        <v>#N/A</v>
      </c>
      <c r="I65" s="39" t="s">
        <v>1891</v>
      </c>
      <c r="J65" t="s">
        <v>1846</v>
      </c>
      <c r="K65" s="32">
        <v>0.0121</v>
      </c>
      <c r="L65" s="36" t="e">
        <f>K65*VLOOKUP($I65,'Selector Sheet '!$B$13:$D$43,3,FALSE)</f>
        <v>#N/A</v>
      </c>
    </row>
    <row r="66" spans="1:12">
      <c r="A66" s="35" t="s">
        <v>1861</v>
      </c>
      <c r="B66" t="s">
        <v>1830</v>
      </c>
      <c r="C66" s="34">
        <v>0.0232</v>
      </c>
      <c r="D66" s="32" t="e">
        <f>C66*VLOOKUP($A66,'Selector Sheet '!$B$13:$D$43,2,FALSE)</f>
        <v>#N/A</v>
      </c>
      <c r="E66" t="s">
        <v>1901</v>
      </c>
      <c r="F66" s="32" t="e">
        <f t="shared" ref="F66:F129" si="3">SUMIF($B$2:$B$305,E66,$D$2:$D$305)</f>
        <v>#N/A</v>
      </c>
      <c r="G66" s="32" t="e">
        <f>C66*VLOOKUP($A66,'Selector Sheet '!$B$13:$D$43,2,FALSE)</f>
        <v>#N/A</v>
      </c>
      <c r="I66" s="31" t="s">
        <v>56</v>
      </c>
      <c r="J66" t="s">
        <v>1823</v>
      </c>
      <c r="K66" s="32">
        <v>0.3399</v>
      </c>
      <c r="L66" s="36">
        <f>K66*VLOOKUP($I66,'Selector Sheet '!$B$13:$D$43,3,FALSE)</f>
        <v>0</v>
      </c>
    </row>
    <row r="67" spans="1:12">
      <c r="A67" s="35" t="s">
        <v>1861</v>
      </c>
      <c r="B67" t="s">
        <v>1898</v>
      </c>
      <c r="C67" s="34">
        <v>0.0226</v>
      </c>
      <c r="D67" s="32" t="e">
        <f>C67*VLOOKUP($A67,'Selector Sheet '!$B$13:$D$43,2,FALSE)</f>
        <v>#N/A</v>
      </c>
      <c r="E67" t="s">
        <v>1902</v>
      </c>
      <c r="F67" s="32" t="e">
        <f t="shared" si="3"/>
        <v>#N/A</v>
      </c>
      <c r="G67" s="32" t="e">
        <f>C67*VLOOKUP($A67,'Selector Sheet '!$B$13:$D$43,2,FALSE)</f>
        <v>#N/A</v>
      </c>
      <c r="I67" s="31" t="s">
        <v>56</v>
      </c>
      <c r="J67" t="s">
        <v>1825</v>
      </c>
      <c r="K67" s="32">
        <v>0.0835</v>
      </c>
      <c r="L67" s="36">
        <f>K67*VLOOKUP($I67,'Selector Sheet '!$B$13:$D$43,3,FALSE)</f>
        <v>0</v>
      </c>
    </row>
    <row r="68" spans="1:12">
      <c r="A68" s="35" t="s">
        <v>1861</v>
      </c>
      <c r="B68" t="s">
        <v>1899</v>
      </c>
      <c r="C68" s="34">
        <v>0.0173</v>
      </c>
      <c r="D68" s="32" t="e">
        <f>C68*VLOOKUP($A68,'Selector Sheet '!$B$13:$D$43,2,FALSE)</f>
        <v>#N/A</v>
      </c>
      <c r="E68" t="s">
        <v>1903</v>
      </c>
      <c r="F68" s="32">
        <f t="shared" si="3"/>
        <v>0</v>
      </c>
      <c r="G68" s="32" t="e">
        <f>C68*VLOOKUP($A68,'Selector Sheet '!$B$13:$D$43,2,FALSE)</f>
        <v>#N/A</v>
      </c>
      <c r="I68" s="31" t="s">
        <v>56</v>
      </c>
      <c r="J68" t="s">
        <v>838</v>
      </c>
      <c r="K68" s="32">
        <v>0.0897</v>
      </c>
      <c r="L68" s="36">
        <f>K68*VLOOKUP($I68,'Selector Sheet '!$B$13:$D$43,3,FALSE)</f>
        <v>0</v>
      </c>
    </row>
    <row r="69" spans="1:12">
      <c r="A69" s="35" t="s">
        <v>1861</v>
      </c>
      <c r="B69" t="s">
        <v>1900</v>
      </c>
      <c r="C69" s="34">
        <v>0.014</v>
      </c>
      <c r="D69" s="32" t="e">
        <f>C69*VLOOKUP($A69,'Selector Sheet '!$B$13:$D$43,2,FALSE)</f>
        <v>#N/A</v>
      </c>
      <c r="E69" t="s">
        <v>1904</v>
      </c>
      <c r="F69" s="32" t="e">
        <f t="shared" si="3"/>
        <v>#N/A</v>
      </c>
      <c r="G69" s="32" t="e">
        <f>C69*VLOOKUP($A69,'Selector Sheet '!$B$13:$D$43,2,FALSE)</f>
        <v>#N/A</v>
      </c>
      <c r="I69" s="31" t="s">
        <v>56</v>
      </c>
      <c r="J69" t="s">
        <v>1828</v>
      </c>
      <c r="K69" s="32">
        <v>0.0534</v>
      </c>
      <c r="L69" s="36">
        <f>K69*VLOOKUP($I69,'Selector Sheet '!$B$13:$D$43,3,FALSE)</f>
        <v>0</v>
      </c>
    </row>
    <row r="70" spans="1:12">
      <c r="A70" s="35" t="s">
        <v>1861</v>
      </c>
      <c r="B70" t="s">
        <v>1885</v>
      </c>
      <c r="C70" s="34">
        <v>0.0133</v>
      </c>
      <c r="D70" s="32" t="e">
        <f>C70*VLOOKUP($A70,'Selector Sheet '!$B$13:$D$43,2,FALSE)</f>
        <v>#N/A</v>
      </c>
      <c r="E70" t="s">
        <v>1905</v>
      </c>
      <c r="F70" s="32" t="e">
        <f t="shared" si="3"/>
        <v>#N/A</v>
      </c>
      <c r="G70" s="32" t="e">
        <f>C70*VLOOKUP($A70,'Selector Sheet '!$B$13:$D$43,2,FALSE)</f>
        <v>#N/A</v>
      </c>
      <c r="I70" s="31" t="s">
        <v>56</v>
      </c>
      <c r="J70" t="s">
        <v>980</v>
      </c>
      <c r="K70" s="32">
        <v>0.0653</v>
      </c>
      <c r="L70" s="36">
        <f>K70*VLOOKUP($I70,'Selector Sheet '!$B$13:$D$43,3,FALSE)</f>
        <v>0</v>
      </c>
    </row>
    <row r="71" spans="1:12">
      <c r="A71" s="35" t="s">
        <v>1861</v>
      </c>
      <c r="B71" t="s">
        <v>1905</v>
      </c>
      <c r="C71" s="34">
        <v>0.0129</v>
      </c>
      <c r="D71" s="32" t="e">
        <f>C71*VLOOKUP($A71,'Selector Sheet '!$B$13:$D$43,2,FALSE)</f>
        <v>#N/A</v>
      </c>
      <c r="E71" t="s">
        <v>1906</v>
      </c>
      <c r="F71" s="32">
        <f t="shared" si="3"/>
        <v>0</v>
      </c>
      <c r="G71" s="32" t="e">
        <f>C71*VLOOKUP($A71,'Selector Sheet '!$B$13:$D$43,2,FALSE)</f>
        <v>#N/A</v>
      </c>
      <c r="I71" s="31" t="s">
        <v>56</v>
      </c>
      <c r="J71" t="s">
        <v>813</v>
      </c>
      <c r="K71" s="32">
        <v>0.0748</v>
      </c>
      <c r="L71" s="36">
        <f>K71*VLOOKUP($I71,'Selector Sheet '!$B$13:$D$43,3,FALSE)</f>
        <v>0</v>
      </c>
    </row>
    <row r="72" spans="1:12">
      <c r="A72" s="35" t="s">
        <v>1861</v>
      </c>
      <c r="B72" t="s">
        <v>1901</v>
      </c>
      <c r="C72" s="34">
        <v>0.0129</v>
      </c>
      <c r="D72" s="32" t="e">
        <f>C72*VLOOKUP($A72,'Selector Sheet '!$B$13:$D$43,2,FALSE)</f>
        <v>#N/A</v>
      </c>
      <c r="E72" t="s">
        <v>1907</v>
      </c>
      <c r="F72" s="32" t="e">
        <f t="shared" si="3"/>
        <v>#N/A</v>
      </c>
      <c r="G72" s="32" t="e">
        <f>C72*VLOOKUP($A72,'Selector Sheet '!$B$13:$D$43,2,FALSE)</f>
        <v>#N/A</v>
      </c>
      <c r="I72" s="31" t="s">
        <v>56</v>
      </c>
      <c r="J72" t="s">
        <v>823</v>
      </c>
      <c r="K72" s="32">
        <v>0.037</v>
      </c>
      <c r="L72" s="36">
        <f>K72*VLOOKUP($I72,'Selector Sheet '!$B$13:$D$43,3,FALSE)</f>
        <v>0</v>
      </c>
    </row>
    <row r="73" spans="1:14">
      <c r="A73" s="35" t="s">
        <v>1861</v>
      </c>
      <c r="B73" t="s">
        <v>1908</v>
      </c>
      <c r="C73" s="34">
        <v>0.0129</v>
      </c>
      <c r="D73" s="32" t="e">
        <f>C73*VLOOKUP($A73,'Selector Sheet '!$B$13:$D$43,2,FALSE)</f>
        <v>#N/A</v>
      </c>
      <c r="E73" t="s">
        <v>1909</v>
      </c>
      <c r="F73" s="32" t="e">
        <f t="shared" si="3"/>
        <v>#N/A</v>
      </c>
      <c r="G73" s="32" t="e">
        <f>C73*VLOOKUP($A73,'Selector Sheet '!$B$13:$D$43,2,FALSE)</f>
        <v>#N/A</v>
      </c>
      <c r="I73" s="31" t="s">
        <v>56</v>
      </c>
      <c r="J73" t="s">
        <v>1834</v>
      </c>
      <c r="K73" s="32">
        <v>0.1232</v>
      </c>
      <c r="L73" s="36">
        <f>K73*VLOOKUP($I73,'Selector Sheet '!$B$13:$D$43,3,FALSE)</f>
        <v>0</v>
      </c>
      <c r="M73" s="36">
        <f>L73*VLOOKUP($I73,'Selector Sheet '!$B$13:$D$43,3,FALSE)</f>
        <v>0</v>
      </c>
      <c r="N73" s="36">
        <f>M73*VLOOKUP($I73,'Selector Sheet '!$B$13:$D$43,3,FALSE)</f>
        <v>0</v>
      </c>
    </row>
    <row r="74" spans="1:12">
      <c r="A74" s="35" t="s">
        <v>1861</v>
      </c>
      <c r="B74" t="s">
        <v>1902</v>
      </c>
      <c r="C74" s="34">
        <v>0.0124</v>
      </c>
      <c r="D74" s="32" t="e">
        <f>C74*VLOOKUP($A74,'Selector Sheet '!$B$13:$D$43,2,FALSE)</f>
        <v>#N/A</v>
      </c>
      <c r="E74" t="s">
        <v>1884</v>
      </c>
      <c r="F74" s="32" t="e">
        <f t="shared" si="3"/>
        <v>#N/A</v>
      </c>
      <c r="G74" s="32" t="e">
        <f>C74*VLOOKUP($A74,'Selector Sheet '!$B$13:$D$43,2,FALSE)</f>
        <v>#N/A</v>
      </c>
      <c r="I74" s="31" t="s">
        <v>56</v>
      </c>
      <c r="J74" t="s">
        <v>998</v>
      </c>
      <c r="K74" s="32">
        <v>0.0192</v>
      </c>
      <c r="L74" s="36">
        <f>K74*VLOOKUP($I74,'Selector Sheet '!$B$13:$D$43,3,FALSE)</f>
        <v>0</v>
      </c>
    </row>
    <row r="75" spans="1:12">
      <c r="A75" s="35" t="s">
        <v>1861</v>
      </c>
      <c r="B75" t="s">
        <v>1904</v>
      </c>
      <c r="C75" s="34">
        <v>0.0123</v>
      </c>
      <c r="D75" s="32" t="e">
        <f>C75*VLOOKUP($A75,'Selector Sheet '!$B$13:$D$43,2,FALSE)</f>
        <v>#N/A</v>
      </c>
      <c r="E75" t="s">
        <v>1910</v>
      </c>
      <c r="F75" s="32" t="e">
        <f t="shared" si="3"/>
        <v>#N/A</v>
      </c>
      <c r="G75" s="32" t="e">
        <f>C75*VLOOKUP($A75,'Selector Sheet '!$B$13:$D$43,2,FALSE)</f>
        <v>#N/A</v>
      </c>
      <c r="I75" s="31" t="s">
        <v>42</v>
      </c>
      <c r="J75" s="37" t="s">
        <v>1823</v>
      </c>
      <c r="K75" s="38">
        <v>0.3942</v>
      </c>
      <c r="L75" s="36">
        <f>K75*VLOOKUP($I75,'Selector Sheet '!$B$13:$D$43,3,FALSE)</f>
        <v>0.07884</v>
      </c>
    </row>
    <row r="76" spans="1:12">
      <c r="A76" s="35" t="s">
        <v>1861</v>
      </c>
      <c r="B76" t="s">
        <v>1911</v>
      </c>
      <c r="C76" s="34">
        <v>0.0122</v>
      </c>
      <c r="D76" s="32" t="e">
        <f>C76*VLOOKUP($A76,'Selector Sheet '!$B$13:$D$43,2,FALSE)</f>
        <v>#N/A</v>
      </c>
      <c r="E76" t="s">
        <v>1912</v>
      </c>
      <c r="F76" s="32" t="e">
        <f t="shared" si="3"/>
        <v>#N/A</v>
      </c>
      <c r="G76" s="32" t="e">
        <f>C76*VLOOKUP($A76,'Selector Sheet '!$B$13:$D$43,2,FALSE)</f>
        <v>#N/A</v>
      </c>
      <c r="I76" s="31" t="s">
        <v>42</v>
      </c>
      <c r="J76" s="37" t="s">
        <v>1825</v>
      </c>
      <c r="K76" s="38">
        <v>0.1313</v>
      </c>
      <c r="L76" s="36">
        <f>K76*VLOOKUP($I76,'Selector Sheet '!$B$13:$D$43,3,FALSE)</f>
        <v>0.02626</v>
      </c>
    </row>
    <row r="77" spans="1:12">
      <c r="A77" s="39" t="s">
        <v>1869</v>
      </c>
      <c r="B77" t="s">
        <v>1822</v>
      </c>
      <c r="C77" s="82">
        <v>0.0439</v>
      </c>
      <c r="D77" s="32" t="e">
        <f>C77*VLOOKUP($A77,'Selector Sheet '!$B$13:$D$43,2,FALSE)</f>
        <v>#N/A</v>
      </c>
      <c r="E77" t="s">
        <v>1913</v>
      </c>
      <c r="F77" s="32" t="e">
        <f t="shared" si="3"/>
        <v>#N/A</v>
      </c>
      <c r="G77" s="32" t="e">
        <f>C77*VLOOKUP($A77,'Selector Sheet '!$B$13:$D$43,2,FALSE)</f>
        <v>#N/A</v>
      </c>
      <c r="I77" s="31" t="s">
        <v>42</v>
      </c>
      <c r="J77" s="37" t="s">
        <v>838</v>
      </c>
      <c r="K77" s="38">
        <v>0.0592</v>
      </c>
      <c r="L77" s="36">
        <f>K77*VLOOKUP($I77,'Selector Sheet '!$B$13:$D$43,3,FALSE)</f>
        <v>0.01184</v>
      </c>
    </row>
    <row r="78" spans="1:12">
      <c r="A78" s="39" t="s">
        <v>1869</v>
      </c>
      <c r="B78" t="s">
        <v>1864</v>
      </c>
      <c r="C78" s="82">
        <v>0.0426</v>
      </c>
      <c r="D78" s="32" t="e">
        <f>C78*VLOOKUP($A78,'Selector Sheet '!$B$13:$D$43,2,FALSE)</f>
        <v>#N/A</v>
      </c>
      <c r="E78" t="s">
        <v>1914</v>
      </c>
      <c r="F78" s="32" t="e">
        <f t="shared" si="3"/>
        <v>#N/A</v>
      </c>
      <c r="G78" s="32" t="e">
        <f>C78*VLOOKUP($A78,'Selector Sheet '!$B$13:$D$43,2,FALSE)</f>
        <v>#N/A</v>
      </c>
      <c r="I78" s="31" t="s">
        <v>42</v>
      </c>
      <c r="J78" s="37" t="s">
        <v>1828</v>
      </c>
      <c r="K78" s="38">
        <v>0.0872</v>
      </c>
      <c r="L78" s="36">
        <f>K78*VLOOKUP($I78,'Selector Sheet '!$B$13:$D$43,3,FALSE)</f>
        <v>0.01744</v>
      </c>
    </row>
    <row r="79" spans="1:12">
      <c r="A79" s="39" t="s">
        <v>1869</v>
      </c>
      <c r="B79" t="s">
        <v>1824</v>
      </c>
      <c r="C79" s="82">
        <v>0.041</v>
      </c>
      <c r="D79" s="32" t="e">
        <f>C79*VLOOKUP($A79,'Selector Sheet '!$B$13:$D$43,2,FALSE)</f>
        <v>#N/A</v>
      </c>
      <c r="E79" t="s">
        <v>1915</v>
      </c>
      <c r="F79" s="32" t="e">
        <f t="shared" si="3"/>
        <v>#N/A</v>
      </c>
      <c r="G79" s="32" t="e">
        <f>C79*VLOOKUP($A79,'Selector Sheet '!$B$13:$D$43,2,FALSE)</f>
        <v>#N/A</v>
      </c>
      <c r="I79" s="31" t="s">
        <v>42</v>
      </c>
      <c r="J79" s="37" t="s">
        <v>980</v>
      </c>
      <c r="K79" s="38">
        <v>0.065</v>
      </c>
      <c r="L79" s="36">
        <f>K79*VLOOKUP($I79,'Selector Sheet '!$B$13:$D$43,3,FALSE)</f>
        <v>0.013</v>
      </c>
    </row>
    <row r="80" spans="1:12">
      <c r="A80" s="39" t="s">
        <v>1869</v>
      </c>
      <c r="B80" t="s">
        <v>1837</v>
      </c>
      <c r="C80" s="82">
        <v>0.0363</v>
      </c>
      <c r="D80" s="32" t="e">
        <f>C80*VLOOKUP($A80,'Selector Sheet '!$B$13:$D$43,2,FALSE)</f>
        <v>#N/A</v>
      </c>
      <c r="E80" t="s">
        <v>1916</v>
      </c>
      <c r="F80" s="32">
        <f t="shared" si="3"/>
        <v>0</v>
      </c>
      <c r="G80" s="32" t="e">
        <f>C80*VLOOKUP($A80,'Selector Sheet '!$B$13:$D$43,2,FALSE)</f>
        <v>#N/A</v>
      </c>
      <c r="I80" s="31" t="s">
        <v>42</v>
      </c>
      <c r="J80" s="37" t="s">
        <v>813</v>
      </c>
      <c r="K80" s="38">
        <v>0.0235</v>
      </c>
      <c r="L80" s="36">
        <f>K80*VLOOKUP($I80,'Selector Sheet '!$B$13:$D$43,3,FALSE)</f>
        <v>0.0047</v>
      </c>
    </row>
    <row r="81" spans="1:12">
      <c r="A81" s="39" t="s">
        <v>1869</v>
      </c>
      <c r="B81" t="s">
        <v>1827</v>
      </c>
      <c r="C81" s="82">
        <v>0.0338</v>
      </c>
      <c r="D81" s="32" t="e">
        <f>C81*VLOOKUP($A81,'Selector Sheet '!$B$13:$D$43,2,FALSE)</f>
        <v>#N/A</v>
      </c>
      <c r="E81" t="s">
        <v>1917</v>
      </c>
      <c r="F81" s="32">
        <f t="shared" si="3"/>
        <v>0</v>
      </c>
      <c r="G81" s="32" t="e">
        <f>C81*VLOOKUP($A81,'Selector Sheet '!$B$13:$D$43,2,FALSE)</f>
        <v>#N/A</v>
      </c>
      <c r="I81" s="31" t="s">
        <v>42</v>
      </c>
      <c r="J81" s="37" t="s">
        <v>823</v>
      </c>
      <c r="K81" s="38">
        <v>0.0338</v>
      </c>
      <c r="L81" s="36">
        <f>K81*VLOOKUP($I81,'Selector Sheet '!$B$13:$D$43,3,FALSE)</f>
        <v>0.00676</v>
      </c>
    </row>
    <row r="82" spans="1:12">
      <c r="A82" s="39" t="s">
        <v>1869</v>
      </c>
      <c r="B82" t="s">
        <v>1826</v>
      </c>
      <c r="C82" s="82">
        <v>0.0254</v>
      </c>
      <c r="D82" s="32" t="e">
        <f>C82*VLOOKUP($A82,'Selector Sheet '!$B$13:$D$43,2,FALSE)</f>
        <v>#N/A</v>
      </c>
      <c r="E82" t="s">
        <v>1918</v>
      </c>
      <c r="F82" s="32" t="e">
        <f t="shared" si="3"/>
        <v>#N/A</v>
      </c>
      <c r="G82" s="32" t="e">
        <f>C82*VLOOKUP($A82,'Selector Sheet '!$B$13:$D$43,2,FALSE)</f>
        <v>#N/A</v>
      </c>
      <c r="I82" s="31" t="s">
        <v>42</v>
      </c>
      <c r="J82" s="37" t="s">
        <v>1834</v>
      </c>
      <c r="K82" s="38">
        <v>0.0714</v>
      </c>
      <c r="L82" s="36">
        <f>K82*VLOOKUP($I82,'Selector Sheet '!$B$13:$D$43,3,FALSE)</f>
        <v>0.01428</v>
      </c>
    </row>
    <row r="83" spans="1:12">
      <c r="A83" s="39" t="s">
        <v>1869</v>
      </c>
      <c r="B83" t="s">
        <v>1829</v>
      </c>
      <c r="C83" s="82">
        <v>0.025</v>
      </c>
      <c r="D83" s="32" t="e">
        <f>C83*VLOOKUP($A83,'Selector Sheet '!$B$13:$D$43,2,FALSE)</f>
        <v>#N/A</v>
      </c>
      <c r="E83" t="s">
        <v>1919</v>
      </c>
      <c r="F83" s="32" t="e">
        <f t="shared" si="3"/>
        <v>#N/A</v>
      </c>
      <c r="G83" s="32" t="e">
        <f>C83*VLOOKUP($A83,'Selector Sheet '!$B$13:$D$43,2,FALSE)</f>
        <v>#N/A</v>
      </c>
      <c r="I83" s="31" t="s">
        <v>1920</v>
      </c>
      <c r="J83" s="37" t="s">
        <v>1823</v>
      </c>
      <c r="K83" s="38">
        <v>0.3201</v>
      </c>
      <c r="L83" s="36" t="e">
        <f>K83*VLOOKUP($I83,'Selector Sheet '!$B$13:$D$43,3,FALSE)</f>
        <v>#N/A</v>
      </c>
    </row>
    <row r="84" spans="1:12">
      <c r="A84" s="39" t="s">
        <v>1869</v>
      </c>
      <c r="B84" t="s">
        <v>1830</v>
      </c>
      <c r="C84" s="82">
        <v>0.0224</v>
      </c>
      <c r="D84" s="32" t="e">
        <f>C84*VLOOKUP($A84,'Selector Sheet '!$B$13:$D$43,2,FALSE)</f>
        <v>#N/A</v>
      </c>
      <c r="E84" t="s">
        <v>1921</v>
      </c>
      <c r="F84" s="32" t="e">
        <f t="shared" si="3"/>
        <v>#N/A</v>
      </c>
      <c r="G84" s="32" t="e">
        <f>C84*VLOOKUP($A84,'Selector Sheet '!$B$13:$D$43,2,FALSE)</f>
        <v>#N/A</v>
      </c>
      <c r="I84" s="31" t="s">
        <v>1920</v>
      </c>
      <c r="J84" s="37" t="s">
        <v>1825</v>
      </c>
      <c r="K84" s="38">
        <v>0.1657</v>
      </c>
      <c r="L84" s="36" t="e">
        <f>K84*VLOOKUP($I84,'Selector Sheet '!$B$13:$D$43,3,FALSE)</f>
        <v>#N/A</v>
      </c>
    </row>
    <row r="85" spans="1:12">
      <c r="A85" s="39" t="s">
        <v>1869</v>
      </c>
      <c r="B85" t="s">
        <v>1832</v>
      </c>
      <c r="C85" s="82">
        <v>0.022</v>
      </c>
      <c r="D85" s="32" t="e">
        <f>C85*VLOOKUP($A85,'Selector Sheet '!$B$13:$D$43,2,FALSE)</f>
        <v>#N/A</v>
      </c>
      <c r="E85" t="s">
        <v>1922</v>
      </c>
      <c r="F85" s="32" t="e">
        <f t="shared" si="3"/>
        <v>#N/A</v>
      </c>
      <c r="G85" s="32" t="e">
        <f>C85*VLOOKUP($A85,'Selector Sheet '!$B$13:$D$43,2,FALSE)</f>
        <v>#N/A</v>
      </c>
      <c r="I85" s="31" t="s">
        <v>1920</v>
      </c>
      <c r="J85" s="37" t="s">
        <v>838</v>
      </c>
      <c r="K85" s="38">
        <v>0.1065</v>
      </c>
      <c r="L85" s="36" t="e">
        <f>K85*VLOOKUP($I85,'Selector Sheet '!$B$13:$D$43,3,FALSE)</f>
        <v>#N/A</v>
      </c>
    </row>
    <row r="86" spans="1:12">
      <c r="A86" s="39" t="s">
        <v>1869</v>
      </c>
      <c r="B86" t="s">
        <v>1835</v>
      </c>
      <c r="C86" s="82">
        <v>0.0186</v>
      </c>
      <c r="D86" s="32" t="e">
        <f>C86*VLOOKUP($A86,'Selector Sheet '!$B$13:$D$43,2,FALSE)</f>
        <v>#N/A</v>
      </c>
      <c r="E86" t="s">
        <v>1923</v>
      </c>
      <c r="F86" s="32" t="e">
        <f t="shared" si="3"/>
        <v>#N/A</v>
      </c>
      <c r="G86" s="32" t="e">
        <f>C86*VLOOKUP($A86,'Selector Sheet '!$B$13:$D$43,2,FALSE)</f>
        <v>#N/A</v>
      </c>
      <c r="I86" s="31" t="s">
        <v>1920</v>
      </c>
      <c r="J86" s="37" t="s">
        <v>1828</v>
      </c>
      <c r="K86" s="38">
        <v>0.0815</v>
      </c>
      <c r="L86" s="36" t="e">
        <f>K86*VLOOKUP($I86,'Selector Sheet '!$B$13:$D$43,3,FALSE)</f>
        <v>#N/A</v>
      </c>
    </row>
    <row r="87" spans="1:12">
      <c r="A87" s="39" t="s">
        <v>1869</v>
      </c>
      <c r="B87" t="s">
        <v>1896</v>
      </c>
      <c r="C87" s="82">
        <v>0.0161</v>
      </c>
      <c r="D87" s="32" t="e">
        <f>C87*VLOOKUP($A87,'Selector Sheet '!$B$13:$D$43,2,FALSE)</f>
        <v>#N/A</v>
      </c>
      <c r="E87" t="s">
        <v>1924</v>
      </c>
      <c r="F87" s="32" t="e">
        <f t="shared" si="3"/>
        <v>#N/A</v>
      </c>
      <c r="G87" s="32" t="e">
        <f>C87*VLOOKUP($A87,'Selector Sheet '!$B$13:$D$43,2,FALSE)</f>
        <v>#N/A</v>
      </c>
      <c r="I87" s="31" t="s">
        <v>1920</v>
      </c>
      <c r="J87" s="37" t="s">
        <v>980</v>
      </c>
      <c r="K87" s="38">
        <v>0.0791</v>
      </c>
      <c r="L87" s="36" t="e">
        <f>K87*VLOOKUP($I87,'Selector Sheet '!$B$13:$D$43,3,FALSE)</f>
        <v>#N/A</v>
      </c>
    </row>
    <row r="88" spans="1:12">
      <c r="A88" s="39" t="s">
        <v>1869</v>
      </c>
      <c r="B88" t="s">
        <v>1840</v>
      </c>
      <c r="C88" s="82">
        <v>0.0157</v>
      </c>
      <c r="D88" s="32" t="e">
        <f>C88*VLOOKUP($A88,'Selector Sheet '!$B$13:$D$43,2,FALSE)</f>
        <v>#N/A</v>
      </c>
      <c r="E88" t="s">
        <v>1925</v>
      </c>
      <c r="F88" s="32" t="e">
        <f t="shared" si="3"/>
        <v>#N/A</v>
      </c>
      <c r="G88" s="32" t="e">
        <f>C88*VLOOKUP($A88,'Selector Sheet '!$B$13:$D$43,2,FALSE)</f>
        <v>#N/A</v>
      </c>
      <c r="I88" s="31" t="s">
        <v>1920</v>
      </c>
      <c r="J88" s="37" t="s">
        <v>813</v>
      </c>
      <c r="K88" s="38">
        <v>0.0786</v>
      </c>
      <c r="L88" s="36" t="e">
        <f>K88*VLOOKUP($I88,'Selector Sheet '!$B$13:$D$43,3,FALSE)</f>
        <v>#N/A</v>
      </c>
    </row>
    <row r="89" spans="1:12">
      <c r="A89" s="39" t="s">
        <v>1869</v>
      </c>
      <c r="B89" t="s">
        <v>1851</v>
      </c>
      <c r="C89" s="82">
        <v>0.0156</v>
      </c>
      <c r="D89" s="32" t="e">
        <f>C89*VLOOKUP($A89,'Selector Sheet '!$B$13:$D$43,2,FALSE)</f>
        <v>#N/A</v>
      </c>
      <c r="E89" t="s">
        <v>1926</v>
      </c>
      <c r="F89" s="32" t="e">
        <f t="shared" si="3"/>
        <v>#N/A</v>
      </c>
      <c r="G89" s="32" t="e">
        <f>C89*VLOOKUP($A89,'Selector Sheet '!$B$13:$D$43,2,FALSE)</f>
        <v>#N/A</v>
      </c>
      <c r="I89" s="31" t="s">
        <v>1920</v>
      </c>
      <c r="J89" s="37" t="s">
        <v>1834</v>
      </c>
      <c r="K89" s="38">
        <v>0.0764</v>
      </c>
      <c r="L89" s="36" t="e">
        <f>K89*VLOOKUP($I89,'Selector Sheet '!$B$13:$D$43,3,FALSE)</f>
        <v>#N/A</v>
      </c>
    </row>
    <row r="90" spans="1:12">
      <c r="A90" s="39" t="s">
        <v>1869</v>
      </c>
      <c r="B90" t="s">
        <v>1839</v>
      </c>
      <c r="C90" s="82">
        <v>0.0135</v>
      </c>
      <c r="D90" s="32" t="e">
        <f>C90*VLOOKUP($A90,'Selector Sheet '!$B$13:$D$43,2,FALSE)</f>
        <v>#N/A</v>
      </c>
      <c r="E90" t="s">
        <v>1927</v>
      </c>
      <c r="F90" s="32">
        <f t="shared" si="3"/>
        <v>0</v>
      </c>
      <c r="G90" s="32" t="e">
        <f>C90*VLOOKUP($A90,'Selector Sheet '!$B$13:$D$43,2,FALSE)</f>
        <v>#N/A</v>
      </c>
      <c r="I90" s="31" t="s">
        <v>1920</v>
      </c>
      <c r="J90" s="37" t="s">
        <v>823</v>
      </c>
      <c r="K90" s="38">
        <v>0.0455</v>
      </c>
      <c r="L90" s="36" t="e">
        <f>K90*VLOOKUP($I90,'Selector Sheet '!$B$13:$D$43,3,FALSE)</f>
        <v>#N/A</v>
      </c>
    </row>
    <row r="91" spans="1:12">
      <c r="A91" s="39" t="s">
        <v>1869</v>
      </c>
      <c r="B91" t="s">
        <v>1842</v>
      </c>
      <c r="C91" s="82">
        <v>0.0125</v>
      </c>
      <c r="D91" s="32" t="e">
        <f>C91*VLOOKUP($A91,'Selector Sheet '!$B$13:$D$43,2,FALSE)</f>
        <v>#N/A</v>
      </c>
      <c r="E91" t="s">
        <v>1928</v>
      </c>
      <c r="F91" s="32">
        <f t="shared" si="3"/>
        <v>0</v>
      </c>
      <c r="G91" s="32" t="e">
        <f>C91*VLOOKUP($A91,'Selector Sheet '!$B$13:$D$43,2,FALSE)</f>
        <v>#N/A</v>
      </c>
      <c r="I91" s="31" t="s">
        <v>1920</v>
      </c>
      <c r="J91" s="37" t="s">
        <v>998</v>
      </c>
      <c r="K91" s="38">
        <v>0.0046</v>
      </c>
      <c r="L91" s="36" t="e">
        <f>K91*VLOOKUP($I91,'Selector Sheet '!$B$13:$D$43,3,FALSE)</f>
        <v>#N/A</v>
      </c>
    </row>
    <row r="92" spans="1:12">
      <c r="A92" s="39" t="s">
        <v>1869</v>
      </c>
      <c r="B92" t="s">
        <v>1907</v>
      </c>
      <c r="C92" s="82">
        <v>0.0125</v>
      </c>
      <c r="D92" s="32" t="e">
        <f>C92*VLOOKUP($A92,'Selector Sheet '!$B$13:$D$43,2,FALSE)</f>
        <v>#N/A</v>
      </c>
      <c r="E92" t="s">
        <v>1929</v>
      </c>
      <c r="F92" s="32">
        <f t="shared" si="3"/>
        <v>0.00885</v>
      </c>
      <c r="G92" s="32" t="e">
        <f>C92*VLOOKUP($A92,'Selector Sheet '!$B$13:$D$43,2,FALSE)</f>
        <v>#N/A</v>
      </c>
      <c r="I92" s="31" t="s">
        <v>1930</v>
      </c>
      <c r="J92" s="37" t="s">
        <v>1823</v>
      </c>
      <c r="K92" s="32">
        <v>0.3034</v>
      </c>
      <c r="L92" s="36" t="e">
        <f>K92*VLOOKUP($I92,'Selector Sheet '!$B$13:$D$43,3,FALSE)</f>
        <v>#N/A</v>
      </c>
    </row>
    <row r="93" spans="1:12">
      <c r="A93" s="39" t="s">
        <v>1869</v>
      </c>
      <c r="B93" t="s">
        <v>1845</v>
      </c>
      <c r="C93" s="82">
        <v>0.0125</v>
      </c>
      <c r="D93" s="32" t="e">
        <f>C93*VLOOKUP($A93,'Selector Sheet '!$B$13:$D$43,2,FALSE)</f>
        <v>#N/A</v>
      </c>
      <c r="E93" t="s">
        <v>1045</v>
      </c>
      <c r="F93" s="32">
        <f t="shared" si="3"/>
        <v>0.01255</v>
      </c>
      <c r="G93" s="32" t="e">
        <f>C93*VLOOKUP($A93,'Selector Sheet '!$B$13:$D$43,2,FALSE)</f>
        <v>#N/A</v>
      </c>
      <c r="I93" s="31" t="s">
        <v>1930</v>
      </c>
      <c r="J93" s="37" t="s">
        <v>1825</v>
      </c>
      <c r="K93" s="32">
        <v>0.1319</v>
      </c>
      <c r="L93" s="36" t="e">
        <f>K93*VLOOKUP($I93,'Selector Sheet '!$B$13:$D$43,3,FALSE)</f>
        <v>#N/A</v>
      </c>
    </row>
    <row r="94" spans="1:12">
      <c r="A94" s="39" t="s">
        <v>1869</v>
      </c>
      <c r="B94" t="s">
        <v>1833</v>
      </c>
      <c r="C94" s="82">
        <v>0.0123</v>
      </c>
      <c r="D94" s="32" t="e">
        <f>C94*VLOOKUP($A94,'Selector Sheet '!$B$13:$D$43,2,FALSE)</f>
        <v>#N/A</v>
      </c>
      <c r="E94" t="s">
        <v>1931</v>
      </c>
      <c r="F94" s="32">
        <f t="shared" si="3"/>
        <v>0.021</v>
      </c>
      <c r="G94" s="32" t="e">
        <f>C94*VLOOKUP($A94,'Selector Sheet '!$B$13:$D$43,2,FALSE)</f>
        <v>#N/A</v>
      </c>
      <c r="I94" s="31" t="s">
        <v>1930</v>
      </c>
      <c r="J94" s="37" t="s">
        <v>1828</v>
      </c>
      <c r="K94" s="32">
        <v>0.1107</v>
      </c>
      <c r="L94" s="36" t="e">
        <f>K94*VLOOKUP($I94,'Selector Sheet '!$B$13:$D$43,3,FALSE)</f>
        <v>#N/A</v>
      </c>
    </row>
    <row r="95" spans="1:12">
      <c r="A95" s="39" t="s">
        <v>1869</v>
      </c>
      <c r="B95" t="s">
        <v>1844</v>
      </c>
      <c r="C95" s="82">
        <v>0.0122</v>
      </c>
      <c r="D95" s="32" t="e">
        <f>C95*VLOOKUP($A95,'Selector Sheet '!$B$13:$D$43,2,FALSE)</f>
        <v>#N/A</v>
      </c>
      <c r="E95" t="s">
        <v>1853</v>
      </c>
      <c r="F95" s="32" t="e">
        <f t="shared" si="3"/>
        <v>#N/A</v>
      </c>
      <c r="G95" s="32" t="e">
        <f>C95*VLOOKUP($A95,'Selector Sheet '!$B$13:$D$43,2,FALSE)</f>
        <v>#N/A</v>
      </c>
      <c r="I95" s="31" t="s">
        <v>1930</v>
      </c>
      <c r="J95" s="37" t="s">
        <v>838</v>
      </c>
      <c r="K95" s="32">
        <v>0.1017</v>
      </c>
      <c r="L95" s="36" t="e">
        <f>K95*VLOOKUP($I95,'Selector Sheet '!$B$13:$D$43,3,FALSE)</f>
        <v>#N/A</v>
      </c>
    </row>
    <row r="96" spans="1:12">
      <c r="A96" s="39" t="s">
        <v>1869</v>
      </c>
      <c r="B96" t="s">
        <v>1909</v>
      </c>
      <c r="C96" s="82">
        <v>0.0101</v>
      </c>
      <c r="D96" s="32" t="e">
        <f>C96*VLOOKUP($A96,'Selector Sheet '!$B$13:$D$43,2,FALSE)</f>
        <v>#N/A</v>
      </c>
      <c r="E96" t="s">
        <v>1932</v>
      </c>
      <c r="F96" s="32">
        <f t="shared" si="3"/>
        <v>0.0094</v>
      </c>
      <c r="G96" s="32" t="e">
        <f>C96*VLOOKUP($A96,'Selector Sheet '!$B$13:$D$43,2,FALSE)</f>
        <v>#N/A</v>
      </c>
      <c r="I96" s="31" t="s">
        <v>1930</v>
      </c>
      <c r="J96" s="37" t="s">
        <v>813</v>
      </c>
      <c r="K96" s="32">
        <v>0.0979</v>
      </c>
      <c r="L96" s="36" t="e">
        <f>K96*VLOOKUP($I96,'Selector Sheet '!$B$13:$D$43,3,FALSE)</f>
        <v>#N/A</v>
      </c>
    </row>
    <row r="97" spans="1:12">
      <c r="A97" s="39" t="s">
        <v>1869</v>
      </c>
      <c r="B97" t="s">
        <v>1884</v>
      </c>
      <c r="C97" s="82">
        <v>0.01</v>
      </c>
      <c r="D97" s="32" t="e">
        <f>C97*VLOOKUP($A97,'Selector Sheet '!$B$13:$D$43,2,FALSE)</f>
        <v>#N/A</v>
      </c>
      <c r="E97" t="s">
        <v>1933</v>
      </c>
      <c r="F97" s="32">
        <f t="shared" si="3"/>
        <v>0.01375</v>
      </c>
      <c r="G97" s="32" t="e">
        <f>C97*VLOOKUP($A97,'Selector Sheet '!$B$13:$D$43,2,FALSE)</f>
        <v>#N/A</v>
      </c>
      <c r="I97" s="31" t="s">
        <v>1930</v>
      </c>
      <c r="J97" s="37" t="s">
        <v>823</v>
      </c>
      <c r="K97" s="32">
        <v>0.0901</v>
      </c>
      <c r="L97" s="36" t="e">
        <f>K97*VLOOKUP($I97,'Selector Sheet '!$B$13:$D$43,3,FALSE)</f>
        <v>#N/A</v>
      </c>
    </row>
    <row r="98" spans="1:12">
      <c r="A98" s="39" t="s">
        <v>1869</v>
      </c>
      <c r="B98" t="s">
        <v>1910</v>
      </c>
      <c r="C98" s="82">
        <v>0.0095</v>
      </c>
      <c r="D98" s="32" t="e">
        <f>C98*VLOOKUP($A98,'Selector Sheet '!$B$13:$D$43,2,FALSE)</f>
        <v>#N/A</v>
      </c>
      <c r="E98" t="s">
        <v>1934</v>
      </c>
      <c r="F98" s="32">
        <f t="shared" si="3"/>
        <v>0.01385</v>
      </c>
      <c r="G98" s="32" t="e">
        <f>C98*VLOOKUP($A98,'Selector Sheet '!$B$13:$D$43,2,FALSE)</f>
        <v>#N/A</v>
      </c>
      <c r="I98" s="31" t="s">
        <v>1930</v>
      </c>
      <c r="J98" s="37" t="s">
        <v>980</v>
      </c>
      <c r="K98" s="32">
        <v>0.0525</v>
      </c>
      <c r="L98" s="36" t="e">
        <f>K98*VLOOKUP($I98,'Selector Sheet '!$B$13:$D$43,3,FALSE)</f>
        <v>#N/A</v>
      </c>
    </row>
    <row r="99" spans="1:12">
      <c r="A99" s="39" t="s">
        <v>1869</v>
      </c>
      <c r="B99" t="s">
        <v>1843</v>
      </c>
      <c r="C99" s="82">
        <v>0.0093</v>
      </c>
      <c r="D99" s="32" t="e">
        <f>C99*VLOOKUP($A99,'Selector Sheet '!$B$13:$D$43,2,FALSE)</f>
        <v>#N/A</v>
      </c>
      <c r="E99" t="s">
        <v>1935</v>
      </c>
      <c r="F99" s="32">
        <f t="shared" si="3"/>
        <v>0.01175</v>
      </c>
      <c r="G99" s="32" t="e">
        <f>C99*VLOOKUP($A99,'Selector Sheet '!$B$13:$D$43,2,FALSE)</f>
        <v>#N/A</v>
      </c>
      <c r="I99" s="31" t="s">
        <v>1930</v>
      </c>
      <c r="J99" s="37" t="s">
        <v>1834</v>
      </c>
      <c r="K99" s="32">
        <v>0.0507</v>
      </c>
      <c r="L99" s="36" t="e">
        <f>K99*VLOOKUP($I99,'Selector Sheet '!$B$13:$D$43,3,FALSE)</f>
        <v>#N/A</v>
      </c>
    </row>
    <row r="100" spans="1:12">
      <c r="A100" s="39" t="s">
        <v>1869</v>
      </c>
      <c r="B100" t="s">
        <v>1925</v>
      </c>
      <c r="C100" s="82">
        <v>0.0085</v>
      </c>
      <c r="D100" s="32" t="e">
        <f>C100*VLOOKUP($A100,'Selector Sheet '!$B$13:$D$43,2,FALSE)</f>
        <v>#N/A</v>
      </c>
      <c r="E100" t="s">
        <v>1936</v>
      </c>
      <c r="F100" s="32">
        <f t="shared" si="3"/>
        <v>0.0112</v>
      </c>
      <c r="G100" s="32" t="e">
        <f>C100*VLOOKUP($A100,'Selector Sheet '!$B$13:$D$43,2,FALSE)</f>
        <v>#N/A</v>
      </c>
      <c r="I100" s="31" t="s">
        <v>1930</v>
      </c>
      <c r="J100" s="37" t="s">
        <v>998</v>
      </c>
      <c r="K100" s="32">
        <v>0.011</v>
      </c>
      <c r="L100" s="36" t="e">
        <f>K100*VLOOKUP($I100,'Selector Sheet '!$B$13:$D$43,3,FALSE)</f>
        <v>#N/A</v>
      </c>
    </row>
    <row r="101" spans="1:12">
      <c r="A101" s="39" t="s">
        <v>1869</v>
      </c>
      <c r="B101" t="s">
        <v>1841</v>
      </c>
      <c r="C101" s="82">
        <v>0.008</v>
      </c>
      <c r="D101" s="32" t="e">
        <f>C101*VLOOKUP($A101,'Selector Sheet '!$B$13:$D$43,2,FALSE)</f>
        <v>#N/A</v>
      </c>
      <c r="E101" t="s">
        <v>1937</v>
      </c>
      <c r="F101" s="32">
        <f t="shared" si="3"/>
        <v>0.0098</v>
      </c>
      <c r="G101" s="32" t="e">
        <f>C101*VLOOKUP($A101,'Selector Sheet '!$B$13:$D$43,2,FALSE)</f>
        <v>#N/A</v>
      </c>
      <c r="I101" s="31" t="s">
        <v>1930</v>
      </c>
      <c r="J101" s="37" t="s">
        <v>1846</v>
      </c>
      <c r="K101" s="32">
        <v>0.0064</v>
      </c>
      <c r="L101" s="36" t="e">
        <f>K101*VLOOKUP($I101,'Selector Sheet '!$B$13:$D$43,3,FALSE)</f>
        <v>#N/A</v>
      </c>
    </row>
    <row r="102" spans="1:12">
      <c r="A102" s="39" t="s">
        <v>1880</v>
      </c>
      <c r="B102" t="s">
        <v>1822</v>
      </c>
      <c r="C102" s="34">
        <v>0.0564</v>
      </c>
      <c r="D102" s="32" t="e">
        <f>C102*VLOOKUP($A102,'Selector Sheet '!$B$13:$D$43,2,FALSE)</f>
        <v>#N/A</v>
      </c>
      <c r="E102" t="s">
        <v>1938</v>
      </c>
      <c r="F102" s="32">
        <f t="shared" si="3"/>
        <v>0.0102</v>
      </c>
      <c r="G102" s="32" t="e">
        <f>C102*VLOOKUP($A102,'Selector Sheet '!$B$13:$D$43,2,FALSE)</f>
        <v>#N/A</v>
      </c>
      <c r="I102" s="39" t="s">
        <v>43</v>
      </c>
      <c r="J102" s="37" t="s">
        <v>1823</v>
      </c>
      <c r="K102" s="38">
        <v>0.3641</v>
      </c>
      <c r="L102" s="36">
        <f>K102*VLOOKUP($I102,'Selector Sheet '!$B$13:$D$43,3,FALSE)</f>
        <v>0.07282</v>
      </c>
    </row>
    <row r="103" spans="1:12">
      <c r="A103" s="39" t="s">
        <v>1880</v>
      </c>
      <c r="B103" t="s">
        <v>1824</v>
      </c>
      <c r="C103" s="34">
        <v>0.0438</v>
      </c>
      <c r="D103" s="32" t="e">
        <f>C103*VLOOKUP($A103,'Selector Sheet '!$B$13:$D$43,2,FALSE)</f>
        <v>#N/A</v>
      </c>
      <c r="E103" t="s">
        <v>1939</v>
      </c>
      <c r="F103" s="32">
        <f t="shared" si="3"/>
        <v>0</v>
      </c>
      <c r="G103" s="32" t="e">
        <f>C103*VLOOKUP($A103,'Selector Sheet '!$B$13:$D$43,2,FALSE)</f>
        <v>#N/A</v>
      </c>
      <c r="I103" s="39" t="s">
        <v>43</v>
      </c>
      <c r="J103" s="37" t="s">
        <v>1828</v>
      </c>
      <c r="K103" s="38">
        <v>0.1234</v>
      </c>
      <c r="L103" s="36">
        <f>K103*VLOOKUP($I103,'Selector Sheet '!$B$13:$D$43,3,FALSE)</f>
        <v>0.02468</v>
      </c>
    </row>
    <row r="104" spans="1:12">
      <c r="A104" s="39" t="s">
        <v>1880</v>
      </c>
      <c r="B104" t="s">
        <v>1826</v>
      </c>
      <c r="C104" s="34">
        <v>0.0281</v>
      </c>
      <c r="D104" s="32" t="e">
        <f>C104*VLOOKUP($A104,'Selector Sheet '!$B$13:$D$43,2,FALSE)</f>
        <v>#N/A</v>
      </c>
      <c r="E104" t="s">
        <v>1940</v>
      </c>
      <c r="F104" s="32">
        <f t="shared" si="3"/>
        <v>0</v>
      </c>
      <c r="G104" s="32" t="e">
        <f>C104*VLOOKUP($A104,'Selector Sheet '!$B$13:$D$43,2,FALSE)</f>
        <v>#N/A</v>
      </c>
      <c r="I104" s="39" t="s">
        <v>43</v>
      </c>
      <c r="J104" s="37" t="s">
        <v>838</v>
      </c>
      <c r="K104" s="38">
        <v>0.1123</v>
      </c>
      <c r="L104" s="36">
        <f>K104*VLOOKUP($I104,'Selector Sheet '!$B$13:$D$43,3,FALSE)</f>
        <v>0.02246</v>
      </c>
    </row>
    <row r="105" spans="1:12">
      <c r="A105" s="39" t="s">
        <v>1880</v>
      </c>
      <c r="B105" t="s">
        <v>1827</v>
      </c>
      <c r="C105" s="34">
        <v>0.026</v>
      </c>
      <c r="D105" s="32" t="e">
        <f>C105*VLOOKUP($A105,'Selector Sheet '!$B$13:$D$43,2,FALSE)</f>
        <v>#N/A</v>
      </c>
      <c r="E105" t="s">
        <v>1941</v>
      </c>
      <c r="F105" s="32">
        <f t="shared" si="3"/>
        <v>0</v>
      </c>
      <c r="G105" s="32" t="e">
        <f>C105*VLOOKUP($A105,'Selector Sheet '!$B$13:$D$43,2,FALSE)</f>
        <v>#N/A</v>
      </c>
      <c r="I105" s="39" t="s">
        <v>43</v>
      </c>
      <c r="J105" s="37" t="s">
        <v>1825</v>
      </c>
      <c r="K105" s="38">
        <v>0.1095</v>
      </c>
      <c r="L105" s="36">
        <f>K105*VLOOKUP($I105,'Selector Sheet '!$B$13:$D$43,3,FALSE)</f>
        <v>0.0219</v>
      </c>
    </row>
    <row r="106" spans="1:12">
      <c r="A106" s="39" t="s">
        <v>1880</v>
      </c>
      <c r="B106" t="s">
        <v>1844</v>
      </c>
      <c r="C106" s="34">
        <v>0.0241</v>
      </c>
      <c r="D106" s="32" t="e">
        <f>C106*VLOOKUP($A106,'Selector Sheet '!$B$13:$D$43,2,FALSE)</f>
        <v>#N/A</v>
      </c>
      <c r="E106" t="s">
        <v>1942</v>
      </c>
      <c r="F106" s="32">
        <f t="shared" si="3"/>
        <v>0</v>
      </c>
      <c r="G106" s="32" t="e">
        <f>C106*VLOOKUP($A106,'Selector Sheet '!$B$13:$D$43,2,FALSE)</f>
        <v>#N/A</v>
      </c>
      <c r="I106" s="39" t="s">
        <v>43</v>
      </c>
      <c r="J106" s="37" t="s">
        <v>813</v>
      </c>
      <c r="K106" s="38">
        <v>0.0848</v>
      </c>
      <c r="L106" s="36">
        <f>K106*VLOOKUP($I106,'Selector Sheet '!$B$13:$D$43,3,FALSE)</f>
        <v>0.01696</v>
      </c>
    </row>
    <row r="107" spans="1:12">
      <c r="A107" s="39" t="s">
        <v>1880</v>
      </c>
      <c r="B107" t="s">
        <v>1830</v>
      </c>
      <c r="C107" s="34">
        <v>0.0228</v>
      </c>
      <c r="D107" s="32" t="e">
        <f>C107*VLOOKUP($A107,'Selector Sheet '!$B$13:$D$43,2,FALSE)</f>
        <v>#N/A</v>
      </c>
      <c r="E107" t="s">
        <v>1943</v>
      </c>
      <c r="F107" s="32">
        <f t="shared" si="3"/>
        <v>0</v>
      </c>
      <c r="G107" s="32" t="e">
        <f>C107*VLOOKUP($A107,'Selector Sheet '!$B$13:$D$43,2,FALSE)</f>
        <v>#N/A</v>
      </c>
      <c r="I107" s="39" t="s">
        <v>43</v>
      </c>
      <c r="J107" s="37" t="s">
        <v>980</v>
      </c>
      <c r="K107" s="38">
        <v>0.0729</v>
      </c>
      <c r="L107" s="36">
        <f>K107*VLOOKUP($I107,'Selector Sheet '!$B$13:$D$43,3,FALSE)</f>
        <v>0.01458</v>
      </c>
    </row>
    <row r="108" spans="1:12">
      <c r="A108" s="39" t="s">
        <v>1880</v>
      </c>
      <c r="B108" t="s">
        <v>1839</v>
      </c>
      <c r="C108" s="34">
        <v>0.0208</v>
      </c>
      <c r="D108" s="32" t="e">
        <f>C108*VLOOKUP($A108,'Selector Sheet '!$B$13:$D$43,2,FALSE)</f>
        <v>#N/A</v>
      </c>
      <c r="E108" t="s">
        <v>1944</v>
      </c>
      <c r="F108" s="32">
        <f t="shared" si="3"/>
        <v>0</v>
      </c>
      <c r="G108" s="32" t="e">
        <f>C108*VLOOKUP($A108,'Selector Sheet '!$B$13:$D$43,2,FALSE)</f>
        <v>#N/A</v>
      </c>
      <c r="I108" s="39" t="s">
        <v>43</v>
      </c>
      <c r="J108" s="37" t="s">
        <v>823</v>
      </c>
      <c r="K108" s="38">
        <v>0.0665</v>
      </c>
      <c r="L108" s="36">
        <f>K108*VLOOKUP($I108,'Selector Sheet '!$B$13:$D$43,3,FALSE)</f>
        <v>0.0133</v>
      </c>
    </row>
    <row r="109" spans="1:12">
      <c r="A109" s="39" t="s">
        <v>1880</v>
      </c>
      <c r="B109" t="s">
        <v>1837</v>
      </c>
      <c r="C109" s="34">
        <v>0.0184</v>
      </c>
      <c r="D109" s="32" t="e">
        <f>C109*VLOOKUP($A109,'Selector Sheet '!$B$13:$D$43,2,FALSE)</f>
        <v>#N/A</v>
      </c>
      <c r="E109" t="s">
        <v>1945</v>
      </c>
      <c r="F109" s="32">
        <f t="shared" si="3"/>
        <v>0</v>
      </c>
      <c r="G109" s="32" t="e">
        <f>C109*VLOOKUP($A109,'Selector Sheet '!$B$13:$D$43,2,FALSE)</f>
        <v>#N/A</v>
      </c>
      <c r="I109" s="39" t="s">
        <v>43</v>
      </c>
      <c r="J109" s="37" t="s">
        <v>1834</v>
      </c>
      <c r="K109" s="38">
        <v>0.0375</v>
      </c>
      <c r="L109" s="36">
        <f>K109*VLOOKUP($I109,'Selector Sheet '!$B$13:$D$43,3,FALSE)</f>
        <v>0.0075</v>
      </c>
    </row>
    <row r="110" spans="1:12">
      <c r="A110" s="39" t="s">
        <v>1880</v>
      </c>
      <c r="B110" t="s">
        <v>1840</v>
      </c>
      <c r="C110" s="34">
        <v>0.0184</v>
      </c>
      <c r="D110" s="32" t="e">
        <f>C110*VLOOKUP($A110,'Selector Sheet '!$B$13:$D$43,2,FALSE)</f>
        <v>#N/A</v>
      </c>
      <c r="E110" t="s">
        <v>1946</v>
      </c>
      <c r="F110" s="32">
        <f t="shared" si="3"/>
        <v>0</v>
      </c>
      <c r="G110" s="32" t="e">
        <f>C110*VLOOKUP($A110,'Selector Sheet '!$B$13:$D$43,2,FALSE)</f>
        <v>#N/A</v>
      </c>
      <c r="I110" s="39" t="s">
        <v>43</v>
      </c>
      <c r="J110" s="37" t="s">
        <v>1846</v>
      </c>
      <c r="K110" s="38">
        <v>0.0136</v>
      </c>
      <c r="L110" s="36">
        <f>K110*VLOOKUP($I110,'Selector Sheet '!$B$13:$D$43,3,FALSE)</f>
        <v>0.00272</v>
      </c>
    </row>
    <row r="111" spans="1:12">
      <c r="A111" s="39" t="s">
        <v>1880</v>
      </c>
      <c r="B111" t="s">
        <v>1833</v>
      </c>
      <c r="C111" s="34">
        <v>0.0183</v>
      </c>
      <c r="D111" s="32" t="e">
        <f>C111*VLOOKUP($A111,'Selector Sheet '!$B$13:$D$43,2,FALSE)</f>
        <v>#N/A</v>
      </c>
      <c r="E111" t="s">
        <v>1947</v>
      </c>
      <c r="F111" s="32">
        <f t="shared" si="3"/>
        <v>0</v>
      </c>
      <c r="G111" s="32" t="e">
        <f>C111*VLOOKUP($A111,'Selector Sheet '!$B$13:$D$43,2,FALSE)</f>
        <v>#N/A</v>
      </c>
      <c r="I111" s="31" t="s">
        <v>1948</v>
      </c>
      <c r="J111" t="s">
        <v>1823</v>
      </c>
      <c r="K111" s="32">
        <v>0.2995</v>
      </c>
      <c r="L111" s="36" t="e">
        <f>K111*VLOOKUP($I111,'Selector Sheet '!$B$13:$D$43,3,FALSE)</f>
        <v>#N/A</v>
      </c>
    </row>
    <row r="112" spans="1:12">
      <c r="A112" s="39" t="s">
        <v>1880</v>
      </c>
      <c r="B112" t="s">
        <v>1907</v>
      </c>
      <c r="C112" s="34">
        <v>0.0172</v>
      </c>
      <c r="D112" s="32" t="e">
        <f>C112*VLOOKUP($A112,'Selector Sheet '!$B$13:$D$43,2,FALSE)</f>
        <v>#N/A</v>
      </c>
      <c r="E112" t="s">
        <v>1949</v>
      </c>
      <c r="F112" s="32">
        <f t="shared" si="3"/>
        <v>0</v>
      </c>
      <c r="G112" s="32" t="e">
        <f>C112*VLOOKUP($A112,'Selector Sheet '!$B$13:$D$43,2,FALSE)</f>
        <v>#N/A</v>
      </c>
      <c r="I112" s="31" t="s">
        <v>1948</v>
      </c>
      <c r="J112" t="s">
        <v>1825</v>
      </c>
      <c r="K112" s="32">
        <v>0.1514</v>
      </c>
      <c r="L112" s="36" t="e">
        <f>K112*VLOOKUP($I112,'Selector Sheet '!$B$13:$D$43,3,FALSE)</f>
        <v>#N/A</v>
      </c>
    </row>
    <row r="113" spans="1:12">
      <c r="A113" s="39" t="s">
        <v>1880</v>
      </c>
      <c r="B113" t="s">
        <v>1838</v>
      </c>
      <c r="C113" s="34">
        <v>0.0171</v>
      </c>
      <c r="D113" s="32" t="e">
        <f>C113*VLOOKUP($A113,'Selector Sheet '!$B$13:$D$43,2,FALSE)</f>
        <v>#N/A</v>
      </c>
      <c r="E113" t="s">
        <v>1950</v>
      </c>
      <c r="F113" s="32">
        <f t="shared" si="3"/>
        <v>0</v>
      </c>
      <c r="G113" s="32" t="e">
        <f>C113*VLOOKUP($A113,'Selector Sheet '!$B$13:$D$43,2,FALSE)</f>
        <v>#N/A</v>
      </c>
      <c r="I113" s="31" t="s">
        <v>1948</v>
      </c>
      <c r="J113" t="s">
        <v>838</v>
      </c>
      <c r="K113" s="32">
        <v>0.1146</v>
      </c>
      <c r="L113" s="36" t="e">
        <f>K113*VLOOKUP($I113,'Selector Sheet '!$B$13:$D$43,3,FALSE)</f>
        <v>#N/A</v>
      </c>
    </row>
    <row r="114" spans="1:12">
      <c r="A114" s="39" t="s">
        <v>1880</v>
      </c>
      <c r="B114" t="s">
        <v>1832</v>
      </c>
      <c r="C114" s="34">
        <v>0.0157</v>
      </c>
      <c r="D114" s="32" t="e">
        <f>C114*VLOOKUP($A114,'Selector Sheet '!$B$13:$D$43,2,FALSE)</f>
        <v>#N/A</v>
      </c>
      <c r="E114" t="s">
        <v>1951</v>
      </c>
      <c r="F114" s="32">
        <f t="shared" si="3"/>
        <v>0</v>
      </c>
      <c r="G114" s="32" t="e">
        <f>C114*VLOOKUP($A114,'Selector Sheet '!$B$13:$D$43,2,FALSE)</f>
        <v>#N/A</v>
      </c>
      <c r="I114" s="31" t="s">
        <v>1948</v>
      </c>
      <c r="J114" t="s">
        <v>823</v>
      </c>
      <c r="K114" s="32">
        <v>0.0618</v>
      </c>
      <c r="L114" s="36" t="e">
        <f>K114*VLOOKUP($I114,'Selector Sheet '!$B$13:$D$43,3,FALSE)</f>
        <v>#N/A</v>
      </c>
    </row>
    <row r="115" spans="1:12">
      <c r="A115" s="39" t="s">
        <v>1880</v>
      </c>
      <c r="B115" t="s">
        <v>1864</v>
      </c>
      <c r="C115" s="34">
        <v>0.0139</v>
      </c>
      <c r="D115" s="32" t="e">
        <f>C115*VLOOKUP($A115,'Selector Sheet '!$B$13:$D$43,2,FALSE)</f>
        <v>#N/A</v>
      </c>
      <c r="E115" t="s">
        <v>1952</v>
      </c>
      <c r="F115" s="32">
        <f t="shared" si="3"/>
        <v>0</v>
      </c>
      <c r="G115" s="32" t="e">
        <f>C115*VLOOKUP($A115,'Selector Sheet '!$B$13:$D$43,2,FALSE)</f>
        <v>#N/A</v>
      </c>
      <c r="I115" s="31" t="s">
        <v>1948</v>
      </c>
      <c r="J115" t="s">
        <v>1828</v>
      </c>
      <c r="K115" s="32">
        <v>0.0551</v>
      </c>
      <c r="L115" s="36" t="e">
        <f>K115*VLOOKUP($I115,'Selector Sheet '!$B$13:$D$43,3,FALSE)</f>
        <v>#N/A</v>
      </c>
    </row>
    <row r="116" spans="1:12">
      <c r="A116" s="39" t="s">
        <v>1880</v>
      </c>
      <c r="B116" t="s">
        <v>1912</v>
      </c>
      <c r="C116" s="34">
        <v>0.0133</v>
      </c>
      <c r="D116" s="32" t="e">
        <f>C116*VLOOKUP($A116,'Selector Sheet '!$B$13:$D$43,2,FALSE)</f>
        <v>#N/A</v>
      </c>
      <c r="E116" t="s">
        <v>1953</v>
      </c>
      <c r="F116" s="32">
        <f t="shared" si="3"/>
        <v>0</v>
      </c>
      <c r="G116" s="32" t="e">
        <f>C116*VLOOKUP($A116,'Selector Sheet '!$B$13:$D$43,2,FALSE)</f>
        <v>#N/A</v>
      </c>
      <c r="I116" s="31" t="s">
        <v>1948</v>
      </c>
      <c r="J116" t="s">
        <v>980</v>
      </c>
      <c r="K116" s="32">
        <v>0.0454</v>
      </c>
      <c r="L116" s="36" t="e">
        <f>K116*VLOOKUP($I116,'Selector Sheet '!$B$13:$D$43,3,FALSE)</f>
        <v>#N/A</v>
      </c>
    </row>
    <row r="117" spans="1:12">
      <c r="A117" s="39" t="s">
        <v>1880</v>
      </c>
      <c r="B117" t="s">
        <v>1829</v>
      </c>
      <c r="C117" s="34">
        <v>0.0133</v>
      </c>
      <c r="D117" s="32" t="e">
        <f>C117*VLOOKUP($A117,'Selector Sheet '!$B$13:$D$43,2,FALSE)</f>
        <v>#N/A</v>
      </c>
      <c r="E117" t="s">
        <v>1954</v>
      </c>
      <c r="F117" s="32">
        <f t="shared" si="3"/>
        <v>0</v>
      </c>
      <c r="G117" s="32" t="e">
        <f>C117*VLOOKUP($A117,'Selector Sheet '!$B$13:$D$43,2,FALSE)</f>
        <v>#N/A</v>
      </c>
      <c r="I117" s="31" t="s">
        <v>1948</v>
      </c>
      <c r="J117" t="s">
        <v>1834</v>
      </c>
      <c r="K117" s="32">
        <v>0.0427</v>
      </c>
      <c r="L117" s="36" t="e">
        <f>K117*VLOOKUP($I117,'Selector Sheet '!$B$13:$D$43,3,FALSE)</f>
        <v>#N/A</v>
      </c>
    </row>
    <row r="118" spans="1:12">
      <c r="A118" s="39" t="s">
        <v>1880</v>
      </c>
      <c r="B118" t="s">
        <v>1913</v>
      </c>
      <c r="C118" s="34">
        <v>0.0124</v>
      </c>
      <c r="D118" s="32" t="e">
        <f>C118*VLOOKUP($A118,'Selector Sheet '!$B$13:$D$43,2,FALSE)</f>
        <v>#N/A</v>
      </c>
      <c r="E118" t="s">
        <v>1955</v>
      </c>
      <c r="F118" s="32">
        <f t="shared" si="3"/>
        <v>0</v>
      </c>
      <c r="G118" s="32" t="e">
        <f>C118*VLOOKUP($A118,'Selector Sheet '!$B$13:$D$43,2,FALSE)</f>
        <v>#N/A</v>
      </c>
      <c r="I118" s="31" t="s">
        <v>1948</v>
      </c>
      <c r="J118" t="s">
        <v>813</v>
      </c>
      <c r="K118" s="32">
        <v>0.0019</v>
      </c>
      <c r="L118" s="36" t="e">
        <f>K118*VLOOKUP($I118,'Selector Sheet '!$B$13:$D$43,3,FALSE)</f>
        <v>#N/A</v>
      </c>
    </row>
    <row r="119" spans="1:12">
      <c r="A119" s="39" t="s">
        <v>1880</v>
      </c>
      <c r="B119" t="s">
        <v>1860</v>
      </c>
      <c r="C119" s="34">
        <v>0.012</v>
      </c>
      <c r="D119" s="32" t="e">
        <f>C119*VLOOKUP($A119,'Selector Sheet '!$B$13:$D$43,2,FALSE)</f>
        <v>#N/A</v>
      </c>
      <c r="E119" t="s">
        <v>1956</v>
      </c>
      <c r="F119" s="32">
        <f t="shared" si="3"/>
        <v>0</v>
      </c>
      <c r="G119" s="32" t="e">
        <f>C119*VLOOKUP($A119,'Selector Sheet '!$B$13:$D$43,2,FALSE)</f>
        <v>#N/A</v>
      </c>
      <c r="I119" s="31" t="s">
        <v>1957</v>
      </c>
      <c r="J119" s="37" t="s">
        <v>1823</v>
      </c>
      <c r="K119" s="38">
        <v>0.1547</v>
      </c>
      <c r="L119" s="36" t="e">
        <f>K119*VLOOKUP($I119,'Selector Sheet '!$B$13:$D$43,3,FALSE)</f>
        <v>#N/A</v>
      </c>
    </row>
    <row r="120" spans="1:12">
      <c r="A120" s="39" t="s">
        <v>1880</v>
      </c>
      <c r="B120" t="s">
        <v>1853</v>
      </c>
      <c r="C120" s="34">
        <v>0.0104</v>
      </c>
      <c r="D120" s="32" t="e">
        <f>C120*VLOOKUP($A120,'Selector Sheet '!$B$13:$D$43,2,FALSE)</f>
        <v>#N/A</v>
      </c>
      <c r="E120" t="s">
        <v>1958</v>
      </c>
      <c r="F120" s="32">
        <f t="shared" si="3"/>
        <v>0</v>
      </c>
      <c r="G120" s="32" t="e">
        <f>C120*VLOOKUP($A120,'Selector Sheet '!$B$13:$D$43,2,FALSE)</f>
        <v>#N/A</v>
      </c>
      <c r="I120" s="31" t="s">
        <v>1957</v>
      </c>
      <c r="J120" s="37" t="s">
        <v>1825</v>
      </c>
      <c r="K120" s="38">
        <v>0.1157</v>
      </c>
      <c r="L120" s="36" t="e">
        <f>K120*VLOOKUP($I120,'Selector Sheet '!$B$13:$D$43,3,FALSE)</f>
        <v>#N/A</v>
      </c>
    </row>
    <row r="121" spans="1:12">
      <c r="A121" s="39" t="s">
        <v>1880</v>
      </c>
      <c r="B121" t="s">
        <v>1914</v>
      </c>
      <c r="C121" s="34">
        <v>0.0099</v>
      </c>
      <c r="D121" s="32" t="e">
        <f>C121*VLOOKUP($A121,'Selector Sheet '!$B$13:$D$43,2,FALSE)</f>
        <v>#N/A</v>
      </c>
      <c r="E121" t="s">
        <v>1959</v>
      </c>
      <c r="F121" s="32">
        <f t="shared" si="3"/>
        <v>0</v>
      </c>
      <c r="G121" s="32" t="e">
        <f>C121*VLOOKUP($A121,'Selector Sheet '!$B$13:$D$43,2,FALSE)</f>
        <v>#N/A</v>
      </c>
      <c r="I121" s="31" t="s">
        <v>1957</v>
      </c>
      <c r="J121" s="37" t="s">
        <v>1828</v>
      </c>
      <c r="K121" s="38">
        <v>0.0661</v>
      </c>
      <c r="L121" s="36" t="e">
        <f>K121*VLOOKUP($I121,'Selector Sheet '!$B$13:$D$43,3,FALSE)</f>
        <v>#N/A</v>
      </c>
    </row>
    <row r="122" spans="1:12">
      <c r="A122" s="39" t="s">
        <v>1880</v>
      </c>
      <c r="B122" t="s">
        <v>1835</v>
      </c>
      <c r="C122" s="34">
        <v>0.0089</v>
      </c>
      <c r="D122" s="32" t="e">
        <f>C122*VLOOKUP($A122,'Selector Sheet '!$B$13:$D$43,2,FALSE)</f>
        <v>#N/A</v>
      </c>
      <c r="E122" t="s">
        <v>1960</v>
      </c>
      <c r="F122" s="32">
        <f t="shared" si="3"/>
        <v>0</v>
      </c>
      <c r="G122" s="32" t="e">
        <f>C122*VLOOKUP($A122,'Selector Sheet '!$B$13:$D$43,2,FALSE)</f>
        <v>#N/A</v>
      </c>
      <c r="I122" s="31" t="s">
        <v>1957</v>
      </c>
      <c r="J122" s="37" t="s">
        <v>813</v>
      </c>
      <c r="K122" s="38">
        <v>0.0587</v>
      </c>
      <c r="L122" s="36" t="e">
        <f>K122*VLOOKUP($I122,'Selector Sheet '!$B$13:$D$43,3,FALSE)</f>
        <v>#N/A</v>
      </c>
    </row>
    <row r="123" spans="1:12">
      <c r="A123" s="39" t="s">
        <v>1880</v>
      </c>
      <c r="B123" t="s">
        <v>1915</v>
      </c>
      <c r="C123" s="34">
        <v>0.0088</v>
      </c>
      <c r="D123" s="32" t="e">
        <f>C123*VLOOKUP($A123,'Selector Sheet '!$B$13:$D$43,2,FALSE)</f>
        <v>#N/A</v>
      </c>
      <c r="E123" t="s">
        <v>1961</v>
      </c>
      <c r="F123" s="32">
        <f t="shared" si="3"/>
        <v>0</v>
      </c>
      <c r="G123" s="32" t="e">
        <f>C123*VLOOKUP($A123,'Selector Sheet '!$B$13:$D$43,2,FALSE)</f>
        <v>#N/A</v>
      </c>
      <c r="I123" s="31" t="s">
        <v>1957</v>
      </c>
      <c r="J123" s="37" t="s">
        <v>838</v>
      </c>
      <c r="K123" s="38">
        <v>0.0585</v>
      </c>
      <c r="L123" s="36" t="e">
        <f>K123*VLOOKUP($I123,'Selector Sheet '!$B$13:$D$43,3,FALSE)</f>
        <v>#N/A</v>
      </c>
    </row>
    <row r="124" spans="1:12">
      <c r="A124" s="39" t="s">
        <v>1880</v>
      </c>
      <c r="B124" t="s">
        <v>1962</v>
      </c>
      <c r="C124" s="34">
        <v>0.0084</v>
      </c>
      <c r="D124" s="32" t="e">
        <f>C124*VLOOKUP($A124,'Selector Sheet '!$B$13:$D$43,2,FALSE)</f>
        <v>#N/A</v>
      </c>
      <c r="E124" t="s">
        <v>1963</v>
      </c>
      <c r="F124" s="32">
        <f t="shared" si="3"/>
        <v>0</v>
      </c>
      <c r="G124" s="32" t="e">
        <f>C124*VLOOKUP($A124,'Selector Sheet '!$B$13:$D$43,2,FALSE)</f>
        <v>#N/A</v>
      </c>
      <c r="I124" s="31" t="s">
        <v>1957</v>
      </c>
      <c r="J124" s="37" t="s">
        <v>823</v>
      </c>
      <c r="K124" s="38">
        <v>0.0461</v>
      </c>
      <c r="L124" s="36" t="e">
        <f>K124*VLOOKUP($I124,'Selector Sheet '!$B$13:$D$43,3,FALSE)</f>
        <v>#N/A</v>
      </c>
    </row>
    <row r="125" spans="1:12">
      <c r="A125" s="39" t="s">
        <v>1880</v>
      </c>
      <c r="B125" t="s">
        <v>1925</v>
      </c>
      <c r="C125" s="34">
        <v>0.0083</v>
      </c>
      <c r="D125" s="32" t="e">
        <f>C125*VLOOKUP($A125,'Selector Sheet '!$B$13:$D$43,2,FALSE)</f>
        <v>#N/A</v>
      </c>
      <c r="E125" t="s">
        <v>1964</v>
      </c>
      <c r="F125" s="32">
        <f t="shared" si="3"/>
        <v>0</v>
      </c>
      <c r="G125" s="32" t="e">
        <f>C125*VLOOKUP($A125,'Selector Sheet '!$B$13:$D$43,2,FALSE)</f>
        <v>#N/A</v>
      </c>
      <c r="I125" s="31" t="s">
        <v>1957</v>
      </c>
      <c r="J125" s="37" t="s">
        <v>980</v>
      </c>
      <c r="K125" s="38">
        <v>0.0411</v>
      </c>
      <c r="L125" s="36" t="e">
        <f>K125*VLOOKUP($I125,'Selector Sheet '!$B$13:$D$43,3,FALSE)</f>
        <v>#N/A</v>
      </c>
    </row>
    <row r="126" spans="1:12">
      <c r="A126" s="39" t="s">
        <v>1880</v>
      </c>
      <c r="B126" t="s">
        <v>1965</v>
      </c>
      <c r="C126" s="34">
        <v>0.008</v>
      </c>
      <c r="D126" s="32" t="e">
        <f>C126*VLOOKUP($A126,'Selector Sheet '!$B$13:$D$43,2,FALSE)</f>
        <v>#N/A</v>
      </c>
      <c r="E126" t="s">
        <v>1966</v>
      </c>
      <c r="F126" s="32" t="e">
        <f t="shared" si="3"/>
        <v>#N/A</v>
      </c>
      <c r="G126" s="32" t="e">
        <f>C126*VLOOKUP($A126,'Selector Sheet '!$B$13:$D$43,2,FALSE)</f>
        <v>#N/A</v>
      </c>
      <c r="I126" s="31" t="s">
        <v>1957</v>
      </c>
      <c r="J126" s="37" t="s">
        <v>1834</v>
      </c>
      <c r="K126" s="38">
        <v>0.028</v>
      </c>
      <c r="L126" s="36" t="e">
        <f>K126*VLOOKUP($I126,'Selector Sheet '!$B$13:$D$43,3,FALSE)</f>
        <v>#N/A</v>
      </c>
    </row>
    <row r="127" spans="1:12">
      <c r="A127" s="39" t="s">
        <v>1891</v>
      </c>
      <c r="B127" t="s">
        <v>1822</v>
      </c>
      <c r="C127" s="82">
        <v>0.048</v>
      </c>
      <c r="D127" s="32" t="e">
        <f>C127*VLOOKUP($A127,'Selector Sheet '!$B$13:$D$43,2,FALSE)</f>
        <v>#N/A</v>
      </c>
      <c r="E127" t="s">
        <v>1967</v>
      </c>
      <c r="F127" s="32">
        <f t="shared" si="3"/>
        <v>0</v>
      </c>
      <c r="G127" s="32" t="e">
        <f>C127*VLOOKUP($A127,'Selector Sheet '!$B$13:$D$43,2,FALSE)</f>
        <v>#N/A</v>
      </c>
      <c r="I127" s="31" t="s">
        <v>1957</v>
      </c>
      <c r="J127" s="37" t="s">
        <v>998</v>
      </c>
      <c r="K127" s="38">
        <v>0.0122</v>
      </c>
      <c r="L127" s="36" t="e">
        <f>K127*VLOOKUP($I127,'Selector Sheet '!$B$13:$D$43,3,FALSE)</f>
        <v>#N/A</v>
      </c>
    </row>
    <row r="128" spans="1:12">
      <c r="A128" s="39" t="s">
        <v>1891</v>
      </c>
      <c r="B128" t="s">
        <v>1826</v>
      </c>
      <c r="C128" s="82">
        <v>0.0365</v>
      </c>
      <c r="D128" s="32" t="e">
        <f>C128*VLOOKUP($A128,'Selector Sheet '!$B$13:$D$43,2,FALSE)</f>
        <v>#N/A</v>
      </c>
      <c r="E128" t="s">
        <v>1968</v>
      </c>
      <c r="F128" s="32">
        <f t="shared" si="3"/>
        <v>0</v>
      </c>
      <c r="G128" s="32" t="e">
        <f>C128*VLOOKUP($A128,'Selector Sheet '!$B$13:$D$43,2,FALSE)</f>
        <v>#N/A</v>
      </c>
      <c r="I128" s="83" t="s">
        <v>52</v>
      </c>
      <c r="J128" t="s">
        <v>1823</v>
      </c>
      <c r="K128" s="34">
        <v>0.326</v>
      </c>
      <c r="L128" s="36">
        <f>K128*VLOOKUP($I128,'Selector Sheet '!$B$13:$D$43,3,FALSE)</f>
        <v>0</v>
      </c>
    </row>
    <row r="129" spans="1:12">
      <c r="A129" s="39" t="s">
        <v>1891</v>
      </c>
      <c r="B129" t="s">
        <v>1824</v>
      </c>
      <c r="C129" s="82">
        <v>0.0355</v>
      </c>
      <c r="D129" s="32" t="e">
        <f>C129*VLOOKUP($A129,'Selector Sheet '!$B$13:$D$43,2,FALSE)</f>
        <v>#N/A</v>
      </c>
      <c r="E129" t="s">
        <v>1969</v>
      </c>
      <c r="F129" s="32" t="e">
        <f t="shared" si="3"/>
        <v>#N/A</v>
      </c>
      <c r="G129" s="32" t="e">
        <f>C129*VLOOKUP($A129,'Selector Sheet '!$B$13:$D$43,2,FALSE)</f>
        <v>#N/A</v>
      </c>
      <c r="I129" s="83" t="s">
        <v>52</v>
      </c>
      <c r="J129" t="s">
        <v>1825</v>
      </c>
      <c r="K129" s="34">
        <v>0.118</v>
      </c>
      <c r="L129" s="36">
        <f>K129*VLOOKUP($I129,'Selector Sheet '!$B$13:$D$43,3,FALSE)</f>
        <v>0</v>
      </c>
    </row>
    <row r="130" spans="1:12">
      <c r="A130" s="39" t="s">
        <v>1891</v>
      </c>
      <c r="B130" t="s">
        <v>1838</v>
      </c>
      <c r="C130" s="82">
        <v>0.0279</v>
      </c>
      <c r="D130" s="32" t="e">
        <f>C130*VLOOKUP($A130,'Selector Sheet '!$B$13:$D$43,2,FALSE)</f>
        <v>#N/A</v>
      </c>
      <c r="E130" t="s">
        <v>1970</v>
      </c>
      <c r="F130" s="32">
        <f t="shared" ref="F130:F193" si="4">SUMIF($B$2:$B$305,E130,$D$2:$D$305)</f>
        <v>0</v>
      </c>
      <c r="G130" s="32" t="e">
        <f>C130*VLOOKUP($A130,'Selector Sheet '!$B$13:$D$43,2,FALSE)</f>
        <v>#N/A</v>
      </c>
      <c r="I130" s="83" t="s">
        <v>52</v>
      </c>
      <c r="J130" t="s">
        <v>838</v>
      </c>
      <c r="K130" s="34">
        <v>0.079</v>
      </c>
      <c r="L130" s="36">
        <f>K130*VLOOKUP($I130,'Selector Sheet '!$B$13:$D$43,3,FALSE)</f>
        <v>0</v>
      </c>
    </row>
    <row r="131" spans="1:12">
      <c r="A131" s="39" t="s">
        <v>1891</v>
      </c>
      <c r="B131" t="s">
        <v>1835</v>
      </c>
      <c r="C131" s="82">
        <v>0.0246</v>
      </c>
      <c r="D131" s="32" t="e">
        <f>C131*VLOOKUP($A131,'Selector Sheet '!$B$13:$D$43,2,FALSE)</f>
        <v>#N/A</v>
      </c>
      <c r="E131" t="s">
        <v>1971</v>
      </c>
      <c r="F131" s="32">
        <f t="shared" si="4"/>
        <v>0</v>
      </c>
      <c r="G131" s="32" t="e">
        <f>C131*VLOOKUP($A131,'Selector Sheet '!$B$13:$D$43,2,FALSE)</f>
        <v>#N/A</v>
      </c>
      <c r="I131" s="83" t="s">
        <v>52</v>
      </c>
      <c r="J131" t="s">
        <v>1828</v>
      </c>
      <c r="K131" s="34">
        <v>0.042</v>
      </c>
      <c r="L131" s="36">
        <f>K131*VLOOKUP($I131,'Selector Sheet '!$B$13:$D$43,3,FALSE)</f>
        <v>0</v>
      </c>
    </row>
    <row r="132" spans="1:12">
      <c r="A132" s="39" t="s">
        <v>1891</v>
      </c>
      <c r="B132" t="s">
        <v>1827</v>
      </c>
      <c r="C132" s="82">
        <v>0.0223</v>
      </c>
      <c r="D132" s="32" t="e">
        <f>C132*VLOOKUP($A132,'Selector Sheet '!$B$13:$D$43,2,FALSE)</f>
        <v>#N/A</v>
      </c>
      <c r="E132" t="s">
        <v>1972</v>
      </c>
      <c r="F132" s="32">
        <f t="shared" si="4"/>
        <v>0</v>
      </c>
      <c r="G132" s="32" t="e">
        <f>C132*VLOOKUP($A132,'Selector Sheet '!$B$13:$D$43,2,FALSE)</f>
        <v>#N/A</v>
      </c>
      <c r="I132" s="83" t="s">
        <v>52</v>
      </c>
      <c r="J132" t="s">
        <v>980</v>
      </c>
      <c r="K132" s="34">
        <v>0.016</v>
      </c>
      <c r="L132" s="36">
        <f>K132*VLOOKUP($I132,'Selector Sheet '!$B$13:$D$43,3,FALSE)</f>
        <v>0</v>
      </c>
    </row>
    <row r="133" spans="1:12">
      <c r="A133" s="39" t="s">
        <v>1891</v>
      </c>
      <c r="B133" t="s">
        <v>1831</v>
      </c>
      <c r="C133" s="82">
        <v>0.0197</v>
      </c>
      <c r="D133" s="32" t="e">
        <f>C133*VLOOKUP($A133,'Selector Sheet '!$B$13:$D$43,2,FALSE)</f>
        <v>#N/A</v>
      </c>
      <c r="E133" t="s">
        <v>1973</v>
      </c>
      <c r="F133" s="32">
        <f t="shared" si="4"/>
        <v>0</v>
      </c>
      <c r="G133" s="32" t="e">
        <f>C133*VLOOKUP($A133,'Selector Sheet '!$B$13:$D$43,2,FALSE)</f>
        <v>#N/A</v>
      </c>
      <c r="I133" s="83" t="s">
        <v>52</v>
      </c>
      <c r="J133" t="s">
        <v>813</v>
      </c>
      <c r="K133" s="34">
        <v>0.095</v>
      </c>
      <c r="L133" s="36">
        <f>K133*VLOOKUP($I133,'Selector Sheet '!$B$13:$D$43,3,FALSE)</f>
        <v>0</v>
      </c>
    </row>
    <row r="134" spans="1:12">
      <c r="A134" s="39" t="s">
        <v>1891</v>
      </c>
      <c r="B134" t="s">
        <v>1830</v>
      </c>
      <c r="C134" s="82">
        <v>0.0195</v>
      </c>
      <c r="D134" s="32" t="e">
        <f>C134*VLOOKUP($A134,'Selector Sheet '!$B$13:$D$43,2,FALSE)</f>
        <v>#N/A</v>
      </c>
      <c r="E134" t="s">
        <v>1974</v>
      </c>
      <c r="F134" s="32">
        <f t="shared" si="4"/>
        <v>0</v>
      </c>
      <c r="G134" s="32" t="e">
        <f>C134*VLOOKUP($A134,'Selector Sheet '!$B$13:$D$43,2,FALSE)</f>
        <v>#N/A</v>
      </c>
      <c r="I134" s="83" t="s">
        <v>52</v>
      </c>
      <c r="J134" t="s">
        <v>823</v>
      </c>
      <c r="K134" s="34">
        <v>0.046</v>
      </c>
      <c r="L134" s="36">
        <f>K134*VLOOKUP($I134,'Selector Sheet '!$B$13:$D$43,3,FALSE)</f>
        <v>0</v>
      </c>
    </row>
    <row r="135" spans="1:12">
      <c r="A135" s="39" t="s">
        <v>1891</v>
      </c>
      <c r="B135" t="s">
        <v>1829</v>
      </c>
      <c r="C135" s="82">
        <v>0.0192</v>
      </c>
      <c r="D135" s="32" t="e">
        <f>C135*VLOOKUP($A135,'Selector Sheet '!$B$13:$D$43,2,FALSE)</f>
        <v>#N/A</v>
      </c>
      <c r="E135" t="s">
        <v>1975</v>
      </c>
      <c r="F135" s="32">
        <f t="shared" si="4"/>
        <v>0</v>
      </c>
      <c r="G135" s="32" t="e">
        <f>C135*VLOOKUP($A135,'Selector Sheet '!$B$13:$D$43,2,FALSE)</f>
        <v>#N/A</v>
      </c>
      <c r="I135" s="83" t="s">
        <v>52</v>
      </c>
      <c r="J135" t="s">
        <v>1834</v>
      </c>
      <c r="K135" s="34">
        <v>0.109</v>
      </c>
      <c r="L135" s="36">
        <f>K135*VLOOKUP($I135,'Selector Sheet '!$B$13:$D$43,3,FALSE)</f>
        <v>0</v>
      </c>
    </row>
    <row r="136" spans="1:12">
      <c r="A136" s="39" t="s">
        <v>1891</v>
      </c>
      <c r="B136" t="s">
        <v>1832</v>
      </c>
      <c r="C136" s="82">
        <v>0.0177</v>
      </c>
      <c r="D136" s="32" t="e">
        <f>C136*VLOOKUP($A136,'Selector Sheet '!$B$13:$D$43,2,FALSE)</f>
        <v>#N/A</v>
      </c>
      <c r="E136" t="s">
        <v>1976</v>
      </c>
      <c r="F136" s="32">
        <f t="shared" si="4"/>
        <v>0</v>
      </c>
      <c r="G136" s="32" t="e">
        <f>C136*VLOOKUP($A136,'Selector Sheet '!$B$13:$D$43,2,FALSE)</f>
        <v>#N/A</v>
      </c>
      <c r="I136" s="83" t="s">
        <v>52</v>
      </c>
      <c r="J136" t="s">
        <v>998</v>
      </c>
      <c r="K136" s="34">
        <v>0</v>
      </c>
      <c r="L136" s="36">
        <f>K136*VLOOKUP($I136,'Selector Sheet '!$B$13:$D$43,3,FALSE)</f>
        <v>0</v>
      </c>
    </row>
    <row r="137" spans="1:12">
      <c r="A137" s="39" t="s">
        <v>1891</v>
      </c>
      <c r="B137" t="s">
        <v>1918</v>
      </c>
      <c r="C137" s="82">
        <v>0.0156</v>
      </c>
      <c r="D137" s="32" t="e">
        <f>C137*VLOOKUP($A137,'Selector Sheet '!$B$13:$D$43,2,FALSE)</f>
        <v>#N/A</v>
      </c>
      <c r="E137" t="s">
        <v>1977</v>
      </c>
      <c r="F137" s="32">
        <f t="shared" si="4"/>
        <v>0</v>
      </c>
      <c r="G137" s="32" t="e">
        <f>C137*VLOOKUP($A137,'Selector Sheet '!$B$13:$D$43,2,FALSE)</f>
        <v>#N/A</v>
      </c>
      <c r="I137" s="83" t="s">
        <v>52</v>
      </c>
      <c r="J137" t="s">
        <v>1978</v>
      </c>
      <c r="K137" s="34">
        <v>0.051</v>
      </c>
      <c r="L137" s="36">
        <f>K137*VLOOKUP($I137,'Selector Sheet '!$B$13:$D$43,3,FALSE)</f>
        <v>0</v>
      </c>
    </row>
    <row r="138" spans="1:12">
      <c r="A138" s="39" t="s">
        <v>1891</v>
      </c>
      <c r="B138" t="s">
        <v>1919</v>
      </c>
      <c r="C138" s="82">
        <v>0.0148</v>
      </c>
      <c r="D138" s="32" t="e">
        <f>C138*VLOOKUP($A138,'Selector Sheet '!$B$13:$D$43,2,FALSE)</f>
        <v>#N/A</v>
      </c>
      <c r="E138" t="s">
        <v>1979</v>
      </c>
      <c r="F138" s="32">
        <f t="shared" si="4"/>
        <v>0</v>
      </c>
      <c r="G138" s="32" t="e">
        <f>C138*VLOOKUP($A138,'Selector Sheet '!$B$13:$D$43,2,FALSE)</f>
        <v>#N/A</v>
      </c>
      <c r="I138" s="31" t="s">
        <v>53</v>
      </c>
      <c r="J138" t="s">
        <v>1823</v>
      </c>
      <c r="K138" s="34">
        <v>0.3119</v>
      </c>
      <c r="L138" s="36">
        <f>K138*VLOOKUP($I138,'Selector Sheet '!$B$13:$D$43,3,FALSE)</f>
        <v>0</v>
      </c>
    </row>
    <row r="139" spans="1:12">
      <c r="A139" s="39" t="s">
        <v>1891</v>
      </c>
      <c r="B139" t="s">
        <v>1845</v>
      </c>
      <c r="C139" s="82">
        <v>0.0143</v>
      </c>
      <c r="D139" s="32" t="e">
        <f>C139*VLOOKUP($A139,'Selector Sheet '!$B$13:$D$43,2,FALSE)</f>
        <v>#N/A</v>
      </c>
      <c r="E139" t="s">
        <v>1980</v>
      </c>
      <c r="F139" s="32">
        <f t="shared" si="4"/>
        <v>0</v>
      </c>
      <c r="G139" s="32" t="e">
        <f>C139*VLOOKUP($A139,'Selector Sheet '!$B$13:$D$43,2,FALSE)</f>
        <v>#N/A</v>
      </c>
      <c r="I139" s="31" t="s">
        <v>53</v>
      </c>
      <c r="J139" t="s">
        <v>838</v>
      </c>
      <c r="K139" s="84">
        <v>0.1769</v>
      </c>
      <c r="L139" s="36">
        <f>K139*VLOOKUP($I139,'Selector Sheet '!$B$13:$D$43,3,FALSE)</f>
        <v>0</v>
      </c>
    </row>
    <row r="140" spans="1:12">
      <c r="A140" s="39" t="s">
        <v>1891</v>
      </c>
      <c r="B140" t="s">
        <v>1843</v>
      </c>
      <c r="C140" s="82">
        <v>0.0127</v>
      </c>
      <c r="D140" s="32" t="e">
        <f>C140*VLOOKUP($A140,'Selector Sheet '!$B$13:$D$43,2,FALSE)</f>
        <v>#N/A</v>
      </c>
      <c r="E140" t="s">
        <v>940</v>
      </c>
      <c r="F140" s="32">
        <f t="shared" si="4"/>
        <v>0</v>
      </c>
      <c r="G140" s="32" t="e">
        <f>C140*VLOOKUP($A140,'Selector Sheet '!$B$13:$D$43,2,FALSE)</f>
        <v>#N/A</v>
      </c>
      <c r="I140" s="31" t="s">
        <v>53</v>
      </c>
      <c r="J140" t="s">
        <v>813</v>
      </c>
      <c r="K140" s="34">
        <v>0.1649</v>
      </c>
      <c r="L140" s="36">
        <f>K140*VLOOKUP($I140,'Selector Sheet '!$B$13:$D$43,3,FALSE)</f>
        <v>0</v>
      </c>
    </row>
    <row r="141" spans="1:12">
      <c r="A141" s="39" t="s">
        <v>1891</v>
      </c>
      <c r="B141" t="s">
        <v>1925</v>
      </c>
      <c r="C141" s="82">
        <v>0.0125</v>
      </c>
      <c r="D141" s="32" t="e">
        <f>C141*VLOOKUP($A141,'Selector Sheet '!$B$13:$D$43,2,FALSE)</f>
        <v>#N/A</v>
      </c>
      <c r="E141" t="s">
        <v>1981</v>
      </c>
      <c r="F141" s="32">
        <f t="shared" si="4"/>
        <v>0</v>
      </c>
      <c r="G141" s="32" t="e">
        <f>C141*VLOOKUP($A141,'Selector Sheet '!$B$13:$D$43,2,FALSE)</f>
        <v>#N/A</v>
      </c>
      <c r="I141" s="31" t="s">
        <v>53</v>
      </c>
      <c r="J141" t="s">
        <v>1828</v>
      </c>
      <c r="K141" s="34">
        <v>0.0954</v>
      </c>
      <c r="L141" s="36">
        <f>K141*VLOOKUP($I141,'Selector Sheet '!$B$13:$D$43,3,FALSE)</f>
        <v>0</v>
      </c>
    </row>
    <row r="142" spans="1:12">
      <c r="A142" s="39" t="s">
        <v>1891</v>
      </c>
      <c r="B142" t="s">
        <v>1915</v>
      </c>
      <c r="C142" s="82">
        <v>0.0121</v>
      </c>
      <c r="D142" s="32" t="e">
        <f>C142*VLOOKUP($A142,'Selector Sheet '!$B$13:$D$43,2,FALSE)</f>
        <v>#N/A</v>
      </c>
      <c r="E142" t="s">
        <v>1982</v>
      </c>
      <c r="F142" s="32">
        <f t="shared" si="4"/>
        <v>0</v>
      </c>
      <c r="G142" s="32" t="e">
        <f>C142*VLOOKUP($A142,'Selector Sheet '!$B$13:$D$43,2,FALSE)</f>
        <v>#N/A</v>
      </c>
      <c r="I142" s="31" t="s">
        <v>53</v>
      </c>
      <c r="J142" t="s">
        <v>1834</v>
      </c>
      <c r="K142" s="34">
        <v>0.0651</v>
      </c>
      <c r="L142" s="36">
        <f>K142*VLOOKUP($I142,'Selector Sheet '!$B$13:$D$43,3,FALSE)</f>
        <v>0</v>
      </c>
    </row>
    <row r="143" spans="1:12">
      <c r="A143" s="39" t="s">
        <v>1891</v>
      </c>
      <c r="B143" t="s">
        <v>1839</v>
      </c>
      <c r="C143" s="82">
        <v>0.0118</v>
      </c>
      <c r="D143" s="32" t="e">
        <f>C143*VLOOKUP($A143,'Selector Sheet '!$B$13:$D$43,2,FALSE)</f>
        <v>#N/A</v>
      </c>
      <c r="E143" t="s">
        <v>1983</v>
      </c>
      <c r="F143" s="32" t="e">
        <f t="shared" si="4"/>
        <v>#N/A</v>
      </c>
      <c r="G143" s="32" t="e">
        <f>C143*VLOOKUP($A143,'Selector Sheet '!$B$13:$D$43,2,FALSE)</f>
        <v>#N/A</v>
      </c>
      <c r="I143" s="31" t="s">
        <v>53</v>
      </c>
      <c r="J143" t="s">
        <v>823</v>
      </c>
      <c r="K143" s="34">
        <v>0.0566</v>
      </c>
      <c r="L143" s="36">
        <f>K143*VLOOKUP($I143,'Selector Sheet '!$B$13:$D$43,3,FALSE)</f>
        <v>0</v>
      </c>
    </row>
    <row r="144" spans="1:12">
      <c r="A144" s="39" t="s">
        <v>1891</v>
      </c>
      <c r="B144" t="s">
        <v>1844</v>
      </c>
      <c r="C144" s="82">
        <v>0.011</v>
      </c>
      <c r="D144" s="32" t="e">
        <f>C144*VLOOKUP($A144,'Selector Sheet '!$B$13:$D$43,2,FALSE)</f>
        <v>#N/A</v>
      </c>
      <c r="E144" t="s">
        <v>1984</v>
      </c>
      <c r="F144" s="32">
        <f t="shared" si="4"/>
        <v>0</v>
      </c>
      <c r="G144" s="32" t="e">
        <f>C144*VLOOKUP($A144,'Selector Sheet '!$B$13:$D$43,2,FALSE)</f>
        <v>#N/A</v>
      </c>
      <c r="I144" s="31" t="s">
        <v>53</v>
      </c>
      <c r="J144" t="s">
        <v>1825</v>
      </c>
      <c r="K144" s="34">
        <v>0.0547</v>
      </c>
      <c r="L144" s="36">
        <f>K144*VLOOKUP($I144,'Selector Sheet '!$B$13:$D$43,3,FALSE)</f>
        <v>0</v>
      </c>
    </row>
    <row r="145" spans="1:12">
      <c r="A145" s="39" t="s">
        <v>1891</v>
      </c>
      <c r="B145" t="s">
        <v>1921</v>
      </c>
      <c r="C145" s="82">
        <v>0.01</v>
      </c>
      <c r="D145" s="32" t="e">
        <f>C145*VLOOKUP($A145,'Selector Sheet '!$B$13:$D$43,2,FALSE)</f>
        <v>#N/A</v>
      </c>
      <c r="E145" t="s">
        <v>1985</v>
      </c>
      <c r="F145" s="32">
        <f t="shared" si="4"/>
        <v>0</v>
      </c>
      <c r="G145" s="32" t="e">
        <f>C145*VLOOKUP($A145,'Selector Sheet '!$B$13:$D$43,2,FALSE)</f>
        <v>#N/A</v>
      </c>
      <c r="I145" s="31" t="s">
        <v>53</v>
      </c>
      <c r="J145" t="s">
        <v>980</v>
      </c>
      <c r="K145" s="34">
        <v>0.0329</v>
      </c>
      <c r="L145" s="36">
        <f>K145*VLOOKUP($I145,'Selector Sheet '!$B$13:$D$43,3,FALSE)</f>
        <v>0</v>
      </c>
    </row>
    <row r="146" spans="1:12">
      <c r="A146" s="39" t="s">
        <v>1891</v>
      </c>
      <c r="B146" t="s">
        <v>1840</v>
      </c>
      <c r="C146" s="82">
        <v>0.0092</v>
      </c>
      <c r="D146" s="32" t="e">
        <f>C146*VLOOKUP($A146,'Selector Sheet '!$B$13:$D$43,2,FALSE)</f>
        <v>#N/A</v>
      </c>
      <c r="E146" t="s">
        <v>1986</v>
      </c>
      <c r="F146" s="32" t="e">
        <f t="shared" si="4"/>
        <v>#N/A</v>
      </c>
      <c r="G146" s="32" t="e">
        <f>C146*VLOOKUP($A146,'Selector Sheet '!$B$13:$D$43,2,FALSE)</f>
        <v>#N/A</v>
      </c>
      <c r="I146" s="31" t="s">
        <v>53</v>
      </c>
      <c r="J146" t="s">
        <v>1846</v>
      </c>
      <c r="K146" s="34">
        <v>0.0158</v>
      </c>
      <c r="L146" s="36">
        <f>K146*VLOOKUP($I146,'Selector Sheet '!$B$13:$D$43,3,FALSE)</f>
        <v>0</v>
      </c>
    </row>
    <row r="147" spans="1:12">
      <c r="A147" s="39" t="s">
        <v>1891</v>
      </c>
      <c r="B147" t="s">
        <v>1922</v>
      </c>
      <c r="C147" s="82">
        <v>0.009</v>
      </c>
      <c r="D147" s="32" t="e">
        <f>C147*VLOOKUP($A147,'Selector Sheet '!$B$13:$D$43,2,FALSE)</f>
        <v>#N/A</v>
      </c>
      <c r="E147" t="s">
        <v>1987</v>
      </c>
      <c r="F147" s="32" t="e">
        <f t="shared" si="4"/>
        <v>#N/A</v>
      </c>
      <c r="G147" s="32" t="e">
        <f>C147*VLOOKUP($A147,'Selector Sheet '!$B$13:$D$43,2,FALSE)</f>
        <v>#N/A</v>
      </c>
      <c r="I147" s="31" t="s">
        <v>53</v>
      </c>
      <c r="J147" t="s">
        <v>998</v>
      </c>
      <c r="K147" s="34">
        <v>0.0017</v>
      </c>
      <c r="L147" s="36">
        <f>K147*VLOOKUP($I147,'Selector Sheet '!$B$13:$D$43,3,FALSE)</f>
        <v>0</v>
      </c>
    </row>
    <row r="148" spans="1:12">
      <c r="A148" s="39" t="s">
        <v>1891</v>
      </c>
      <c r="B148" t="s">
        <v>1926</v>
      </c>
      <c r="C148" s="82">
        <v>0.0089</v>
      </c>
      <c r="D148" s="32" t="e">
        <f>C148*VLOOKUP($A148,'Selector Sheet '!$B$13:$D$43,2,FALSE)</f>
        <v>#N/A</v>
      </c>
      <c r="E148" t="s">
        <v>1988</v>
      </c>
      <c r="F148" s="32" t="e">
        <f t="shared" si="4"/>
        <v>#N/A</v>
      </c>
      <c r="G148" s="32" t="e">
        <f>C148*VLOOKUP($A148,'Selector Sheet '!$B$13:$D$43,2,FALSE)</f>
        <v>#N/A</v>
      </c>
      <c r="I148" s="31" t="s">
        <v>1989</v>
      </c>
      <c r="J148" s="37" t="s">
        <v>1823</v>
      </c>
      <c r="K148" s="38">
        <v>0.2862</v>
      </c>
      <c r="L148" s="36" t="e">
        <f>K148*VLOOKUP($I148,'Selector Sheet '!$B$13:$D$43,3,FALSE)</f>
        <v>#N/A</v>
      </c>
    </row>
    <row r="149" spans="1:12">
      <c r="A149" s="39" t="s">
        <v>1891</v>
      </c>
      <c r="B149" t="s">
        <v>1923</v>
      </c>
      <c r="C149" s="82">
        <v>0.0086</v>
      </c>
      <c r="D149" s="32" t="e">
        <f>C149*VLOOKUP($A149,'Selector Sheet '!$B$13:$D$43,2,FALSE)</f>
        <v>#N/A</v>
      </c>
      <c r="E149" t="s">
        <v>1990</v>
      </c>
      <c r="F149" s="32" t="e">
        <f t="shared" si="4"/>
        <v>#N/A</v>
      </c>
      <c r="G149" s="32" t="e">
        <f>C149*VLOOKUP($A149,'Selector Sheet '!$B$13:$D$43,2,FALSE)</f>
        <v>#N/A</v>
      </c>
      <c r="I149" s="31" t="s">
        <v>1989</v>
      </c>
      <c r="J149" s="37" t="s">
        <v>1828</v>
      </c>
      <c r="K149" s="38">
        <v>0.1289</v>
      </c>
      <c r="L149" s="36" t="e">
        <f>K149*VLOOKUP($I149,'Selector Sheet '!$B$13:$D$43,3,FALSE)</f>
        <v>#N/A</v>
      </c>
    </row>
    <row r="150" spans="1:12">
      <c r="A150" s="39" t="s">
        <v>1891</v>
      </c>
      <c r="B150" t="s">
        <v>1924</v>
      </c>
      <c r="C150" s="82">
        <v>0.0079</v>
      </c>
      <c r="D150" s="32" t="e">
        <f>C150*VLOOKUP($A150,'Selector Sheet '!$B$13:$D$43,2,FALSE)</f>
        <v>#N/A</v>
      </c>
      <c r="E150" t="s">
        <v>1991</v>
      </c>
      <c r="F150" s="32" t="e">
        <f t="shared" si="4"/>
        <v>#N/A</v>
      </c>
      <c r="G150" s="32" t="e">
        <f>C150*VLOOKUP($A150,'Selector Sheet '!$B$13:$D$43,2,FALSE)</f>
        <v>#N/A</v>
      </c>
      <c r="I150" s="31" t="s">
        <v>1989</v>
      </c>
      <c r="J150" s="37" t="s">
        <v>1825</v>
      </c>
      <c r="K150" s="38">
        <v>0.1216</v>
      </c>
      <c r="L150" s="36" t="e">
        <f>K150*VLOOKUP($I150,'Selector Sheet '!$B$13:$D$43,3,FALSE)</f>
        <v>#N/A</v>
      </c>
    </row>
    <row r="151" spans="1:12">
      <c r="A151" s="39" t="s">
        <v>1891</v>
      </c>
      <c r="B151" t="s">
        <v>1847</v>
      </c>
      <c r="C151" s="82">
        <v>0.0079</v>
      </c>
      <c r="D151" s="32" t="e">
        <f>C151*VLOOKUP($A151,'Selector Sheet '!$B$13:$D$43,2,FALSE)</f>
        <v>#N/A</v>
      </c>
      <c r="E151" t="s">
        <v>1992</v>
      </c>
      <c r="F151" s="32" t="e">
        <f t="shared" si="4"/>
        <v>#N/A</v>
      </c>
      <c r="G151" s="32" t="e">
        <f>C151*VLOOKUP($A151,'Selector Sheet '!$B$13:$D$43,2,FALSE)</f>
        <v>#N/A</v>
      </c>
      <c r="I151" s="31" t="s">
        <v>1989</v>
      </c>
      <c r="J151" s="37" t="s">
        <v>823</v>
      </c>
      <c r="K151" s="38">
        <v>0.0842</v>
      </c>
      <c r="L151" s="36" t="e">
        <f>K151*VLOOKUP($I151,'Selector Sheet '!$B$13:$D$43,3,FALSE)</f>
        <v>#N/A</v>
      </c>
    </row>
    <row r="152" spans="1:12">
      <c r="A152" s="31" t="s">
        <v>42</v>
      </c>
      <c r="B152" t="s">
        <v>1822</v>
      </c>
      <c r="C152" s="34">
        <v>0.1119</v>
      </c>
      <c r="D152" s="32">
        <f>C152*VLOOKUP($A152,'Selector Sheet '!$B$13:$D$43,2,FALSE)</f>
        <v>0.05595</v>
      </c>
      <c r="E152" t="s">
        <v>1993</v>
      </c>
      <c r="F152" s="32" t="e">
        <f t="shared" si="4"/>
        <v>#N/A</v>
      </c>
      <c r="G152" s="32">
        <f>C152*VLOOKUP($A152,'Selector Sheet '!$B$13:$D$43,2,FALSE)</f>
        <v>0.05595</v>
      </c>
      <c r="I152" s="31" t="s">
        <v>1989</v>
      </c>
      <c r="J152" s="37" t="s">
        <v>1834</v>
      </c>
      <c r="K152" s="38">
        <v>0.0737</v>
      </c>
      <c r="L152" s="36" t="e">
        <f>K152*VLOOKUP($I152,'Selector Sheet '!$B$13:$D$43,3,FALSE)</f>
        <v>#N/A</v>
      </c>
    </row>
    <row r="153" spans="1:12">
      <c r="A153" s="31" t="s">
        <v>42</v>
      </c>
      <c r="B153" t="s">
        <v>1847</v>
      </c>
      <c r="C153" s="34">
        <v>0.0612</v>
      </c>
      <c r="D153" s="32">
        <f>C153*VLOOKUP($A153,'Selector Sheet '!$B$13:$D$43,2,FALSE)</f>
        <v>0.0306</v>
      </c>
      <c r="E153" t="s">
        <v>1994</v>
      </c>
      <c r="F153" s="32">
        <f t="shared" si="4"/>
        <v>0</v>
      </c>
      <c r="G153" s="32">
        <f>C153*VLOOKUP($A153,'Selector Sheet '!$B$13:$D$43,2,FALSE)</f>
        <v>0.0306</v>
      </c>
      <c r="I153" s="31" t="s">
        <v>1989</v>
      </c>
      <c r="J153" s="37" t="s">
        <v>838</v>
      </c>
      <c r="K153" s="38">
        <v>0.0621</v>
      </c>
      <c r="L153" s="36" t="e">
        <f>K153*VLOOKUP($I153,'Selector Sheet '!$B$13:$D$43,3,FALSE)</f>
        <v>#N/A</v>
      </c>
    </row>
    <row r="154" spans="1:12">
      <c r="A154" s="31" t="s">
        <v>42</v>
      </c>
      <c r="B154" t="s">
        <v>1826</v>
      </c>
      <c r="C154" s="34">
        <v>0.0671</v>
      </c>
      <c r="D154" s="32">
        <f>C154*VLOOKUP($A154,'Selector Sheet '!$B$13:$D$43,2,FALSE)</f>
        <v>0.03355</v>
      </c>
      <c r="E154" t="s">
        <v>1995</v>
      </c>
      <c r="F154" s="32">
        <f t="shared" si="4"/>
        <v>0</v>
      </c>
      <c r="G154" s="32">
        <f>C154*VLOOKUP($A154,'Selector Sheet '!$B$13:$D$43,2,FALSE)</f>
        <v>0.03355</v>
      </c>
      <c r="I154" s="31" t="s">
        <v>1989</v>
      </c>
      <c r="J154" s="37" t="s">
        <v>980</v>
      </c>
      <c r="K154" s="38">
        <v>0.0489</v>
      </c>
      <c r="L154" s="36" t="e">
        <f>K154*VLOOKUP($I154,'Selector Sheet '!$B$13:$D$43,3,FALSE)</f>
        <v>#N/A</v>
      </c>
    </row>
    <row r="155" spans="1:12">
      <c r="A155" s="31" t="s">
        <v>42</v>
      </c>
      <c r="B155" t="s">
        <v>1845</v>
      </c>
      <c r="C155" s="34">
        <v>0.0694</v>
      </c>
      <c r="D155" s="32">
        <f>C155*VLOOKUP($A155,'Selector Sheet '!$B$13:$D$43,2,FALSE)</f>
        <v>0.0347</v>
      </c>
      <c r="E155" t="s">
        <v>1996</v>
      </c>
      <c r="F155" s="32">
        <f t="shared" si="4"/>
        <v>0</v>
      </c>
      <c r="G155" s="32">
        <f>C155*VLOOKUP($A155,'Selector Sheet '!$B$13:$D$43,2,FALSE)</f>
        <v>0.0347</v>
      </c>
      <c r="I155" s="31" t="s">
        <v>1989</v>
      </c>
      <c r="J155" s="37" t="s">
        <v>813</v>
      </c>
      <c r="K155" s="38">
        <v>0.0397</v>
      </c>
      <c r="L155" s="36" t="e">
        <f>K155*VLOOKUP($I155,'Selector Sheet '!$B$13:$D$43,3,FALSE)</f>
        <v>#N/A</v>
      </c>
    </row>
    <row r="156" spans="1:12">
      <c r="A156" s="31" t="s">
        <v>42</v>
      </c>
      <c r="B156" t="s">
        <v>1835</v>
      </c>
      <c r="C156" s="34">
        <v>0.0648</v>
      </c>
      <c r="D156" s="32">
        <f>C156*VLOOKUP($A156,'Selector Sheet '!$B$13:$D$43,2,FALSE)</f>
        <v>0.0324</v>
      </c>
      <c r="E156" t="s">
        <v>1997</v>
      </c>
      <c r="F156" s="32">
        <f t="shared" si="4"/>
        <v>0</v>
      </c>
      <c r="G156" s="32">
        <f>C156*VLOOKUP($A156,'Selector Sheet '!$B$13:$D$43,2,FALSE)</f>
        <v>0.0324</v>
      </c>
      <c r="I156" s="31" t="s">
        <v>1989</v>
      </c>
      <c r="J156" s="37" t="s">
        <v>998</v>
      </c>
      <c r="K156" s="38">
        <v>0.0052</v>
      </c>
      <c r="L156" s="36" t="e">
        <f>K156*VLOOKUP($I156,'Selector Sheet '!$B$13:$D$43,3,FALSE)</f>
        <v>#N/A</v>
      </c>
    </row>
    <row r="157" spans="1:12">
      <c r="A157" s="31" t="s">
        <v>42</v>
      </c>
      <c r="B157" t="s">
        <v>1827</v>
      </c>
      <c r="C157" s="34">
        <v>0.0524</v>
      </c>
      <c r="D157" s="32">
        <f>C157*VLOOKUP($A157,'Selector Sheet '!$B$13:$D$43,2,FALSE)</f>
        <v>0.0262</v>
      </c>
      <c r="E157" t="s">
        <v>1998</v>
      </c>
      <c r="F157" s="32">
        <f t="shared" si="4"/>
        <v>0</v>
      </c>
      <c r="G157" s="32">
        <f>C157*VLOOKUP($A157,'Selector Sheet '!$B$13:$D$43,2,FALSE)</f>
        <v>0.0262</v>
      </c>
      <c r="I157" s="31" t="s">
        <v>565</v>
      </c>
      <c r="J157" t="s">
        <v>1823</v>
      </c>
      <c r="K157" s="34">
        <v>0.197</v>
      </c>
      <c r="L157" s="36">
        <f>K157*VLOOKUP($I157,'Selector Sheet '!$B$13:$D$43,3,FALSE)</f>
        <v>0</v>
      </c>
    </row>
    <row r="158" spans="1:12">
      <c r="A158" s="31" t="s">
        <v>42</v>
      </c>
      <c r="B158" t="s">
        <v>1824</v>
      </c>
      <c r="C158" s="34">
        <v>0.0588</v>
      </c>
      <c r="D158" s="32">
        <f>C158*VLOOKUP($A158,'Selector Sheet '!$B$13:$D$43,2,FALSE)</f>
        <v>0.0294</v>
      </c>
      <c r="E158" t="s">
        <v>1999</v>
      </c>
      <c r="F158" s="32">
        <f t="shared" si="4"/>
        <v>0</v>
      </c>
      <c r="G158" s="32">
        <f>C158*VLOOKUP($A158,'Selector Sheet '!$B$13:$D$43,2,FALSE)</f>
        <v>0.0294</v>
      </c>
      <c r="I158" s="31" t="s">
        <v>565</v>
      </c>
      <c r="J158" t="s">
        <v>1825</v>
      </c>
      <c r="K158" s="34">
        <v>0.105</v>
      </c>
      <c r="L158" s="36">
        <f>K158*VLOOKUP($I158,'Selector Sheet '!$B$13:$D$43,3,FALSE)</f>
        <v>0</v>
      </c>
    </row>
    <row r="159" spans="1:12">
      <c r="A159" s="31" t="s">
        <v>42</v>
      </c>
      <c r="B159" t="s">
        <v>2000</v>
      </c>
      <c r="C159" s="34">
        <v>0.0464</v>
      </c>
      <c r="D159" s="32">
        <f>C159*VLOOKUP($A159,'Selector Sheet '!$B$13:$D$43,2,FALSE)</f>
        <v>0.0232</v>
      </c>
      <c r="E159" t="s">
        <v>2001</v>
      </c>
      <c r="F159" s="32">
        <f t="shared" si="4"/>
        <v>0</v>
      </c>
      <c r="G159" s="32">
        <f>C159*VLOOKUP($A159,'Selector Sheet '!$B$13:$D$43,2,FALSE)</f>
        <v>0.0232</v>
      </c>
      <c r="I159" s="31" t="s">
        <v>565</v>
      </c>
      <c r="J159" t="s">
        <v>838</v>
      </c>
      <c r="K159" s="34">
        <v>0.136</v>
      </c>
      <c r="L159" s="36">
        <f>K159*VLOOKUP($I159,'Selector Sheet '!$B$13:$D$43,3,FALSE)</f>
        <v>0</v>
      </c>
    </row>
    <row r="160" spans="1:12">
      <c r="A160" s="31" t="s">
        <v>42</v>
      </c>
      <c r="B160" t="s">
        <v>1830</v>
      </c>
      <c r="C160" s="34">
        <v>0.0475</v>
      </c>
      <c r="D160" s="32">
        <f>C160*VLOOKUP($A160,'Selector Sheet '!$B$13:$D$43,2,FALSE)</f>
        <v>0.02375</v>
      </c>
      <c r="E160" t="s">
        <v>2002</v>
      </c>
      <c r="F160" s="32">
        <f t="shared" si="4"/>
        <v>0</v>
      </c>
      <c r="G160" s="32">
        <f>C160*VLOOKUP($A160,'Selector Sheet '!$B$13:$D$43,2,FALSE)</f>
        <v>0.02375</v>
      </c>
      <c r="I160" s="31" t="s">
        <v>565</v>
      </c>
      <c r="J160" t="s">
        <v>1828</v>
      </c>
      <c r="K160" s="34">
        <v>0.038</v>
      </c>
      <c r="L160" s="36">
        <f>K160*VLOOKUP($I160,'Selector Sheet '!$B$13:$D$43,3,FALSE)</f>
        <v>0</v>
      </c>
    </row>
    <row r="161" spans="1:12">
      <c r="A161" s="31" t="s">
        <v>42</v>
      </c>
      <c r="B161" t="s">
        <v>1850</v>
      </c>
      <c r="C161" s="34">
        <v>0.0446</v>
      </c>
      <c r="D161" s="32">
        <f>C161*VLOOKUP($A161,'Selector Sheet '!$B$13:$D$43,2,FALSE)</f>
        <v>0.0223</v>
      </c>
      <c r="E161" t="s">
        <v>2003</v>
      </c>
      <c r="F161" s="32">
        <f t="shared" si="4"/>
        <v>0</v>
      </c>
      <c r="G161" s="32">
        <f>C161*VLOOKUP($A161,'Selector Sheet '!$B$13:$D$43,2,FALSE)</f>
        <v>0.0223</v>
      </c>
      <c r="I161" s="31" t="s">
        <v>565</v>
      </c>
      <c r="J161" t="s">
        <v>980</v>
      </c>
      <c r="K161" s="34">
        <v>0.013</v>
      </c>
      <c r="L161" s="36">
        <f>K161*VLOOKUP($I161,'Selector Sheet '!$B$13:$D$43,3,FALSE)</f>
        <v>0</v>
      </c>
    </row>
    <row r="162" spans="1:12">
      <c r="A162" s="31" t="s">
        <v>42</v>
      </c>
      <c r="B162" t="s">
        <v>1931</v>
      </c>
      <c r="C162" s="34">
        <v>0.042</v>
      </c>
      <c r="D162" s="32">
        <f>C162*VLOOKUP($A162,'Selector Sheet '!$B$13:$D$43,2,FALSE)</f>
        <v>0.021</v>
      </c>
      <c r="E162" t="s">
        <v>2004</v>
      </c>
      <c r="F162" s="32">
        <f t="shared" si="4"/>
        <v>0</v>
      </c>
      <c r="G162" s="32">
        <f>C162*VLOOKUP($A162,'Selector Sheet '!$B$13:$D$43,2,FALSE)</f>
        <v>0.021</v>
      </c>
      <c r="I162" s="31" t="s">
        <v>565</v>
      </c>
      <c r="J162" t="s">
        <v>813</v>
      </c>
      <c r="K162" s="34">
        <v>0.248</v>
      </c>
      <c r="L162" s="36">
        <f>K162*VLOOKUP($I162,'Selector Sheet '!$B$13:$D$43,3,FALSE)</f>
        <v>0</v>
      </c>
    </row>
    <row r="163" spans="1:12">
      <c r="A163" s="31" t="s">
        <v>42</v>
      </c>
      <c r="B163" t="s">
        <v>1929</v>
      </c>
      <c r="C163" s="34">
        <v>0.0177</v>
      </c>
      <c r="D163" s="32">
        <f>C163*VLOOKUP($A163,'Selector Sheet '!$B$13:$D$43,2,FALSE)</f>
        <v>0.00885</v>
      </c>
      <c r="E163" t="s">
        <v>2005</v>
      </c>
      <c r="F163" s="32">
        <f t="shared" si="4"/>
        <v>0</v>
      </c>
      <c r="G163" s="32">
        <f>C163*VLOOKUP($A163,'Selector Sheet '!$B$13:$D$43,2,FALSE)</f>
        <v>0.00885</v>
      </c>
      <c r="I163" s="31" t="s">
        <v>565</v>
      </c>
      <c r="J163" t="s">
        <v>823</v>
      </c>
      <c r="K163" s="34">
        <v>0.113</v>
      </c>
      <c r="L163" s="36">
        <f>K163*VLOOKUP($I163,'Selector Sheet '!$B$13:$D$43,3,FALSE)</f>
        <v>0</v>
      </c>
    </row>
    <row r="164" spans="1:12">
      <c r="A164" s="31" t="s">
        <v>42</v>
      </c>
      <c r="B164" t="s">
        <v>1887</v>
      </c>
      <c r="C164" s="34">
        <v>0.0368</v>
      </c>
      <c r="D164" s="32">
        <f>C164*VLOOKUP($A164,'Selector Sheet '!$B$13:$D$43,2,FALSE)</f>
        <v>0.0184</v>
      </c>
      <c r="E164" t="s">
        <v>2006</v>
      </c>
      <c r="F164" s="32">
        <f t="shared" si="4"/>
        <v>0</v>
      </c>
      <c r="G164" s="32">
        <f>C164*VLOOKUP($A164,'Selector Sheet '!$B$13:$D$43,2,FALSE)</f>
        <v>0.0184</v>
      </c>
      <c r="I164" s="31" t="s">
        <v>565</v>
      </c>
      <c r="J164" t="s">
        <v>1834</v>
      </c>
      <c r="K164" s="34">
        <v>0.146</v>
      </c>
      <c r="L164" s="36">
        <f>K164*VLOOKUP($I164,'Selector Sheet '!$B$13:$D$43,3,FALSE)</f>
        <v>0</v>
      </c>
    </row>
    <row r="165" spans="1:12">
      <c r="A165" s="31" t="s">
        <v>42</v>
      </c>
      <c r="B165" t="s">
        <v>1853</v>
      </c>
      <c r="C165" s="34">
        <v>0.0338</v>
      </c>
      <c r="D165" s="32">
        <f>C165*VLOOKUP($A165,'Selector Sheet '!$B$13:$D$43,2,FALSE)</f>
        <v>0.0169</v>
      </c>
      <c r="E165" t="s">
        <v>1043</v>
      </c>
      <c r="F165" s="32">
        <f t="shared" si="4"/>
        <v>0</v>
      </c>
      <c r="G165" s="32">
        <f>C165*VLOOKUP($A165,'Selector Sheet '!$B$13:$D$43,2,FALSE)</f>
        <v>0.0169</v>
      </c>
      <c r="I165" s="31" t="s">
        <v>565</v>
      </c>
      <c r="J165" t="s">
        <v>998</v>
      </c>
      <c r="K165" s="34">
        <v>0.018</v>
      </c>
      <c r="L165" s="36">
        <f>K165*VLOOKUP($I165,'Selector Sheet '!$B$13:$D$43,3,FALSE)</f>
        <v>0</v>
      </c>
    </row>
    <row r="166" spans="1:12">
      <c r="A166" s="31" t="s">
        <v>42</v>
      </c>
      <c r="B166" t="s">
        <v>1934</v>
      </c>
      <c r="C166" s="34">
        <v>0.0277</v>
      </c>
      <c r="D166" s="32">
        <f>C166*VLOOKUP($A166,'Selector Sheet '!$B$13:$D$43,2,FALSE)</f>
        <v>0.01385</v>
      </c>
      <c r="E166" t="s">
        <v>2007</v>
      </c>
      <c r="F166" s="32">
        <f t="shared" si="4"/>
        <v>0</v>
      </c>
      <c r="G166" s="32">
        <f>C166*VLOOKUP($A166,'Selector Sheet '!$B$13:$D$43,2,FALSE)</f>
        <v>0.01385</v>
      </c>
      <c r="I166" s="31" t="s">
        <v>60</v>
      </c>
      <c r="J166" t="s">
        <v>1823</v>
      </c>
      <c r="K166" s="34">
        <v>0.228</v>
      </c>
      <c r="L166" s="36">
        <f>K166*VLOOKUP($I166,'Selector Sheet '!$B$13:$D$43,3,FALSE)</f>
        <v>0</v>
      </c>
    </row>
    <row r="167" spans="1:12">
      <c r="A167" s="31" t="s">
        <v>42</v>
      </c>
      <c r="B167" t="s">
        <v>1045</v>
      </c>
      <c r="C167" s="34">
        <v>0.0251</v>
      </c>
      <c r="D167" s="32">
        <f>C167*VLOOKUP($A167,'Selector Sheet '!$B$13:$D$43,2,FALSE)</f>
        <v>0.01255</v>
      </c>
      <c r="E167" t="s">
        <v>2008</v>
      </c>
      <c r="F167" s="32">
        <f t="shared" si="4"/>
        <v>0</v>
      </c>
      <c r="G167" s="32">
        <f>C167*VLOOKUP($A167,'Selector Sheet '!$B$13:$D$43,2,FALSE)</f>
        <v>0.01255</v>
      </c>
      <c r="I167" s="31" t="s">
        <v>60</v>
      </c>
      <c r="J167" t="s">
        <v>1825</v>
      </c>
      <c r="K167" s="34">
        <v>0.0961</v>
      </c>
      <c r="L167" s="36">
        <f>K167*VLOOKUP($I167,'Selector Sheet '!$B$13:$D$43,3,FALSE)</f>
        <v>0</v>
      </c>
    </row>
    <row r="168" spans="1:12">
      <c r="A168" s="31" t="s">
        <v>42</v>
      </c>
      <c r="B168" t="s">
        <v>1933</v>
      </c>
      <c r="C168" s="34">
        <v>0.0275</v>
      </c>
      <c r="D168" s="32">
        <f>C168*VLOOKUP($A168,'Selector Sheet '!$B$13:$D$43,2,FALSE)</f>
        <v>0.01375</v>
      </c>
      <c r="E168" t="s">
        <v>2009</v>
      </c>
      <c r="F168" s="32">
        <f t="shared" si="4"/>
        <v>0</v>
      </c>
      <c r="G168" s="32">
        <f>C168*VLOOKUP($A168,'Selector Sheet '!$B$13:$D$43,2,FALSE)</f>
        <v>0.01375</v>
      </c>
      <c r="I168" s="31" t="s">
        <v>60</v>
      </c>
      <c r="J168" t="s">
        <v>838</v>
      </c>
      <c r="K168" s="34">
        <v>0.1408</v>
      </c>
      <c r="L168" s="36">
        <f>K168*VLOOKUP($I168,'Selector Sheet '!$B$13:$D$43,3,FALSE)</f>
        <v>0</v>
      </c>
    </row>
    <row r="169" spans="1:12">
      <c r="A169" s="31" t="s">
        <v>42</v>
      </c>
      <c r="B169" t="s">
        <v>1935</v>
      </c>
      <c r="C169" s="34">
        <v>0.0235</v>
      </c>
      <c r="D169" s="32">
        <f>C169*VLOOKUP($A169,'Selector Sheet '!$B$13:$D$43,2,FALSE)</f>
        <v>0.01175</v>
      </c>
      <c r="E169" t="s">
        <v>2010</v>
      </c>
      <c r="F169" s="32">
        <f t="shared" si="4"/>
        <v>0</v>
      </c>
      <c r="G169" s="32">
        <f>C169*VLOOKUP($A169,'Selector Sheet '!$B$13:$D$43,2,FALSE)</f>
        <v>0.01175</v>
      </c>
      <c r="I169" s="31" t="s">
        <v>60</v>
      </c>
      <c r="J169" t="s">
        <v>1828</v>
      </c>
      <c r="K169" s="34">
        <v>0.0486</v>
      </c>
      <c r="L169" s="36">
        <f>K169*VLOOKUP($I169,'Selector Sheet '!$B$13:$D$43,3,FALSE)</f>
        <v>0</v>
      </c>
    </row>
    <row r="170" spans="1:12">
      <c r="A170" s="31" t="s">
        <v>42</v>
      </c>
      <c r="B170" t="s">
        <v>1936</v>
      </c>
      <c r="C170" s="34">
        <v>0.0224</v>
      </c>
      <c r="D170" s="32">
        <f>C170*VLOOKUP($A170,'Selector Sheet '!$B$13:$D$43,2,FALSE)</f>
        <v>0.0112</v>
      </c>
      <c r="E170" t="s">
        <v>2011</v>
      </c>
      <c r="F170" s="32">
        <f t="shared" si="4"/>
        <v>0</v>
      </c>
      <c r="G170" s="32">
        <f>C170*VLOOKUP($A170,'Selector Sheet '!$B$13:$D$43,2,FALSE)</f>
        <v>0.0112</v>
      </c>
      <c r="I170" s="31" t="s">
        <v>60</v>
      </c>
      <c r="J170" t="s">
        <v>980</v>
      </c>
      <c r="K170" s="34">
        <v>0.0823</v>
      </c>
      <c r="L170" s="36">
        <f>K170*VLOOKUP($I170,'Selector Sheet '!$B$13:$D$43,3,FALSE)</f>
        <v>0</v>
      </c>
    </row>
    <row r="171" spans="1:12">
      <c r="A171" s="31" t="s">
        <v>42</v>
      </c>
      <c r="B171" t="s">
        <v>1937</v>
      </c>
      <c r="C171" s="34">
        <v>0.0196</v>
      </c>
      <c r="D171" s="32">
        <f>C171*VLOOKUP($A171,'Selector Sheet '!$B$13:$D$43,2,FALSE)</f>
        <v>0.0098</v>
      </c>
      <c r="E171" t="s">
        <v>2012</v>
      </c>
      <c r="F171" s="32">
        <f t="shared" si="4"/>
        <v>0</v>
      </c>
      <c r="G171" s="32">
        <f>C171*VLOOKUP($A171,'Selector Sheet '!$B$13:$D$43,2,FALSE)</f>
        <v>0.0098</v>
      </c>
      <c r="I171" s="31" t="s">
        <v>60</v>
      </c>
      <c r="J171" t="s">
        <v>813</v>
      </c>
      <c r="K171" s="34">
        <v>0.1282</v>
      </c>
      <c r="L171" s="36">
        <f>K171*VLOOKUP($I171,'Selector Sheet '!$B$13:$D$43,3,FALSE)</f>
        <v>0</v>
      </c>
    </row>
    <row r="172" spans="1:12">
      <c r="A172" s="31" t="s">
        <v>42</v>
      </c>
      <c r="B172" t="s">
        <v>1932</v>
      </c>
      <c r="C172" s="34">
        <v>0.0188</v>
      </c>
      <c r="D172" s="32">
        <f>C172*VLOOKUP($A172,'Selector Sheet '!$B$13:$D$43,2,FALSE)</f>
        <v>0.0094</v>
      </c>
      <c r="E172" t="s">
        <v>2013</v>
      </c>
      <c r="F172" s="32">
        <f t="shared" si="4"/>
        <v>0</v>
      </c>
      <c r="G172" s="32">
        <f>C172*VLOOKUP($A172,'Selector Sheet '!$B$13:$D$43,2,FALSE)</f>
        <v>0.0094</v>
      </c>
      <c r="I172" s="31" t="s">
        <v>60</v>
      </c>
      <c r="J172" t="s">
        <v>823</v>
      </c>
      <c r="K172" s="34">
        <v>0.0674</v>
      </c>
      <c r="L172" s="36">
        <f>K172*VLOOKUP($I172,'Selector Sheet '!$B$13:$D$43,3,FALSE)</f>
        <v>0</v>
      </c>
    </row>
    <row r="173" spans="1:12">
      <c r="A173" s="31" t="s">
        <v>42</v>
      </c>
      <c r="B173" t="s">
        <v>1938</v>
      </c>
      <c r="C173" s="34">
        <v>0.0204</v>
      </c>
      <c r="D173" s="32">
        <f>C173*VLOOKUP($A173,'Selector Sheet '!$B$13:$D$43,2,FALSE)</f>
        <v>0.0102</v>
      </c>
      <c r="E173" t="s">
        <v>2014</v>
      </c>
      <c r="F173" s="32">
        <f t="shared" si="4"/>
        <v>0</v>
      </c>
      <c r="G173" s="32">
        <f>C173*VLOOKUP($A173,'Selector Sheet '!$B$13:$D$43,2,FALSE)</f>
        <v>0.0102</v>
      </c>
      <c r="I173" s="31" t="s">
        <v>60</v>
      </c>
      <c r="J173" t="s">
        <v>1834</v>
      </c>
      <c r="K173" s="34">
        <v>0.1233</v>
      </c>
      <c r="L173" s="36">
        <f>K173*VLOOKUP($I173,'Selector Sheet '!$B$13:$D$43,3,FALSE)</f>
        <v>0</v>
      </c>
    </row>
    <row r="174" spans="1:12">
      <c r="A174" s="31" t="s">
        <v>42</v>
      </c>
      <c r="B174" t="s">
        <v>2015</v>
      </c>
      <c r="C174" s="34">
        <v>0.0201</v>
      </c>
      <c r="D174" s="32">
        <f>C174*VLOOKUP($A174,'Selector Sheet '!$B$13:$D$43,2,FALSE)</f>
        <v>0.01005</v>
      </c>
      <c r="E174" t="s">
        <v>2016</v>
      </c>
      <c r="F174" s="32">
        <f t="shared" si="4"/>
        <v>0</v>
      </c>
      <c r="G174" s="32">
        <f>C174*VLOOKUP($A174,'Selector Sheet '!$B$13:$D$43,2,FALSE)</f>
        <v>0.01005</v>
      </c>
      <c r="I174" s="31" t="s">
        <v>60</v>
      </c>
      <c r="J174" t="s">
        <v>998</v>
      </c>
      <c r="K174" s="34">
        <v>0.0145</v>
      </c>
      <c r="L174" s="36">
        <f>K174*VLOOKUP($I174,'Selector Sheet '!$B$13:$D$43,3,FALSE)</f>
        <v>0</v>
      </c>
    </row>
    <row r="175" spans="1:12">
      <c r="A175" s="31" t="s">
        <v>56</v>
      </c>
      <c r="B175" s="37" t="s">
        <v>1822</v>
      </c>
      <c r="C175" s="38">
        <v>0.0936</v>
      </c>
      <c r="D175" s="32">
        <f>C175*VLOOKUP($A175,'Selector Sheet '!$B$13:$D$43,2,FALSE)</f>
        <v>0</v>
      </c>
      <c r="E175" t="s">
        <v>2017</v>
      </c>
      <c r="F175" s="32">
        <f t="shared" si="4"/>
        <v>0</v>
      </c>
      <c r="G175" s="32">
        <f>C175*VLOOKUP($A175,'Selector Sheet '!$B$13:$D$43,2,FALSE)</f>
        <v>0</v>
      </c>
      <c r="I175" s="31" t="s">
        <v>60</v>
      </c>
      <c r="J175" t="s">
        <v>1978</v>
      </c>
      <c r="K175" s="34">
        <v>0.0113</v>
      </c>
      <c r="L175" s="36">
        <f>K175*VLOOKUP($I175,'Selector Sheet '!$B$13:$D$43,3,FALSE)</f>
        <v>0</v>
      </c>
    </row>
    <row r="176" spans="1:12">
      <c r="A176" s="31" t="s">
        <v>56</v>
      </c>
      <c r="B176" s="37" t="s">
        <v>1847</v>
      </c>
      <c r="C176" s="38">
        <v>0.061</v>
      </c>
      <c r="D176" s="32">
        <f>C176*VLOOKUP($A176,'Selector Sheet '!$B$13:$D$43,2,FALSE)</f>
        <v>0</v>
      </c>
      <c r="E176" t="s">
        <v>2018</v>
      </c>
      <c r="F176" s="32">
        <f t="shared" si="4"/>
        <v>0</v>
      </c>
      <c r="G176" s="32">
        <f>C176*VLOOKUP($A176,'Selector Sheet '!$B$13:$D$43,2,FALSE)</f>
        <v>0</v>
      </c>
      <c r="I176" s="31" t="s">
        <v>55</v>
      </c>
      <c r="J176" t="s">
        <v>1823</v>
      </c>
      <c r="K176" s="34">
        <v>0.275</v>
      </c>
      <c r="L176" s="36">
        <f>K176*VLOOKUP($I176,'Selector Sheet '!$B$13:$D$43,3,FALSE)</f>
        <v>0</v>
      </c>
    </row>
    <row r="177" spans="1:12">
      <c r="A177" s="31" t="s">
        <v>56</v>
      </c>
      <c r="B177" s="37" t="s">
        <v>2019</v>
      </c>
      <c r="C177" s="38">
        <v>0.0534</v>
      </c>
      <c r="D177" s="32">
        <f>C177*VLOOKUP($A177,'Selector Sheet '!$B$13:$D$43,2,FALSE)</f>
        <v>0</v>
      </c>
      <c r="E177" t="s">
        <v>2020</v>
      </c>
      <c r="F177" s="32">
        <f t="shared" si="4"/>
        <v>0</v>
      </c>
      <c r="G177" s="32">
        <f>C177*VLOOKUP($A177,'Selector Sheet '!$B$13:$D$43,2,FALSE)</f>
        <v>0</v>
      </c>
      <c r="I177" s="31" t="s">
        <v>55</v>
      </c>
      <c r="J177" t="s">
        <v>1825</v>
      </c>
      <c r="K177" s="34">
        <v>0.089</v>
      </c>
      <c r="L177" s="36">
        <f>K177*VLOOKUP($I177,'Selector Sheet '!$B$13:$D$43,3,FALSE)</f>
        <v>0</v>
      </c>
    </row>
    <row r="178" spans="1:14">
      <c r="A178" s="31" t="s">
        <v>56</v>
      </c>
      <c r="B178" s="37" t="s">
        <v>1827</v>
      </c>
      <c r="C178" s="38">
        <v>0.0525</v>
      </c>
      <c r="D178" s="32">
        <f>C178*VLOOKUP($A178,'Selector Sheet '!$B$13:$D$43,2,FALSE)</f>
        <v>0</v>
      </c>
      <c r="E178" t="s">
        <v>2021</v>
      </c>
      <c r="F178" s="32">
        <f t="shared" si="4"/>
        <v>0</v>
      </c>
      <c r="G178" s="32">
        <f>C178*VLOOKUP($A178,'Selector Sheet '!$B$13:$D$43,2,FALSE)</f>
        <v>0</v>
      </c>
      <c r="I178" s="31" t="s">
        <v>55</v>
      </c>
      <c r="J178" t="s">
        <v>838</v>
      </c>
      <c r="K178" s="34">
        <v>0.014</v>
      </c>
      <c r="L178" s="36">
        <f>K178*VLOOKUP($I178,'Selector Sheet '!$B$13:$D$43,3,FALSE)</f>
        <v>0</v>
      </c>
      <c r="M178" s="36" t="e">
        <f>#REF!*VLOOKUP(#REF!,'Selector Sheet '!$B$13:$D$43,3,FALSE)</f>
        <v>#REF!</v>
      </c>
      <c r="N178" s="36" t="e">
        <f>M178*VLOOKUP(#REF!,'Selector Sheet '!$B$13:$D$43,3,FALSE)</f>
        <v>#REF!</v>
      </c>
    </row>
    <row r="179" spans="1:12">
      <c r="A179" s="31" t="s">
        <v>56</v>
      </c>
      <c r="B179" s="37" t="s">
        <v>1931</v>
      </c>
      <c r="C179" s="38">
        <v>0.0464</v>
      </c>
      <c r="D179" s="32">
        <f>C179*VLOOKUP($A179,'Selector Sheet '!$B$13:$D$43,2,FALSE)</f>
        <v>0</v>
      </c>
      <c r="E179" t="s">
        <v>2022</v>
      </c>
      <c r="F179" s="32">
        <f t="shared" si="4"/>
        <v>0</v>
      </c>
      <c r="G179" s="32">
        <f>C179*VLOOKUP($A179,'Selector Sheet '!$B$13:$D$43,2,FALSE)</f>
        <v>0</v>
      </c>
      <c r="I179" s="31" t="s">
        <v>55</v>
      </c>
      <c r="J179" t="s">
        <v>1828</v>
      </c>
      <c r="K179" s="34">
        <v>0.076</v>
      </c>
      <c r="L179" s="36">
        <f>K179*VLOOKUP($I179,'Selector Sheet '!$B$13:$D$43,3,FALSE)</f>
        <v>0</v>
      </c>
    </row>
    <row r="180" spans="1:12">
      <c r="A180" s="31" t="s">
        <v>56</v>
      </c>
      <c r="B180" s="37" t="s">
        <v>2023</v>
      </c>
      <c r="C180" s="38">
        <v>0.0455</v>
      </c>
      <c r="D180" s="32">
        <f>C180*VLOOKUP($A180,'Selector Sheet '!$B$13:$D$43,2,FALSE)</f>
        <v>0</v>
      </c>
      <c r="E180" t="s">
        <v>2024</v>
      </c>
      <c r="F180" s="32">
        <f t="shared" si="4"/>
        <v>0</v>
      </c>
      <c r="G180" s="32">
        <f>C180*VLOOKUP($A180,'Selector Sheet '!$B$13:$D$43,2,FALSE)</f>
        <v>0</v>
      </c>
      <c r="I180" s="31" t="s">
        <v>55</v>
      </c>
      <c r="J180" t="s">
        <v>980</v>
      </c>
      <c r="K180" s="34">
        <v>0.022</v>
      </c>
      <c r="L180" s="36">
        <f>K180*VLOOKUP($I180,'Selector Sheet '!$B$13:$D$43,3,FALSE)</f>
        <v>0</v>
      </c>
    </row>
    <row r="181" spans="1:12">
      <c r="A181" s="31" t="s">
        <v>56</v>
      </c>
      <c r="B181" s="37" t="s">
        <v>2025</v>
      </c>
      <c r="C181" s="38">
        <v>0.0448</v>
      </c>
      <c r="D181" s="32">
        <f>C181*VLOOKUP($A181,'Selector Sheet '!$B$13:$D$43,2,FALSE)</f>
        <v>0</v>
      </c>
      <c r="E181" t="s">
        <v>2026</v>
      </c>
      <c r="F181" s="32">
        <f t="shared" si="4"/>
        <v>0</v>
      </c>
      <c r="G181" s="32">
        <f>C181*VLOOKUP($A181,'Selector Sheet '!$B$13:$D$43,2,FALSE)</f>
        <v>0</v>
      </c>
      <c r="I181" s="31" t="s">
        <v>55</v>
      </c>
      <c r="J181" t="s">
        <v>813</v>
      </c>
      <c r="K181" s="34">
        <v>0.128</v>
      </c>
      <c r="L181" s="36">
        <f>K181*VLOOKUP($I181,'Selector Sheet '!$B$13:$D$43,3,FALSE)</f>
        <v>0</v>
      </c>
    </row>
    <row r="182" spans="1:12">
      <c r="A182" s="31" t="s">
        <v>56</v>
      </c>
      <c r="B182" s="37" t="s">
        <v>2027</v>
      </c>
      <c r="C182" s="38">
        <v>0.0445</v>
      </c>
      <c r="D182" s="32">
        <f>C182*VLOOKUP($A182,'Selector Sheet '!$B$13:$D$43,2,FALSE)</f>
        <v>0</v>
      </c>
      <c r="E182" t="s">
        <v>2028</v>
      </c>
      <c r="F182" s="32">
        <f t="shared" si="4"/>
        <v>0</v>
      </c>
      <c r="G182" s="32">
        <f>C182*VLOOKUP($A182,'Selector Sheet '!$B$13:$D$43,2,FALSE)</f>
        <v>0</v>
      </c>
      <c r="I182" s="31" t="s">
        <v>55</v>
      </c>
      <c r="J182" t="s">
        <v>823</v>
      </c>
      <c r="K182" s="34">
        <v>0.104</v>
      </c>
      <c r="L182" s="36">
        <f>K182*VLOOKUP($I182,'Selector Sheet '!$B$13:$D$43,3,FALSE)</f>
        <v>0</v>
      </c>
    </row>
    <row r="183" spans="1:12">
      <c r="A183" s="31" t="s">
        <v>56</v>
      </c>
      <c r="B183" s="37" t="s">
        <v>2029</v>
      </c>
      <c r="C183" s="38">
        <v>0.037</v>
      </c>
      <c r="D183" s="32">
        <f>C183*VLOOKUP($A183,'Selector Sheet '!$B$13:$D$43,2,FALSE)</f>
        <v>0</v>
      </c>
      <c r="E183" t="s">
        <v>2030</v>
      </c>
      <c r="F183" s="32">
        <f t="shared" si="4"/>
        <v>0</v>
      </c>
      <c r="G183" s="32">
        <f>C183*VLOOKUP($A183,'Selector Sheet '!$B$13:$D$43,2,FALSE)</f>
        <v>0</v>
      </c>
      <c r="I183" s="31" t="s">
        <v>55</v>
      </c>
      <c r="J183" t="s">
        <v>1834</v>
      </c>
      <c r="K183" s="34">
        <v>0.092</v>
      </c>
      <c r="L183" s="36">
        <f>K183*VLOOKUP($I183,'Selector Sheet '!$B$13:$D$43,3,FALSE)</f>
        <v>0</v>
      </c>
    </row>
    <row r="184" spans="1:12">
      <c r="A184" s="31" t="s">
        <v>56</v>
      </c>
      <c r="B184" s="37" t="s">
        <v>2031</v>
      </c>
      <c r="C184" s="38">
        <v>0.0355</v>
      </c>
      <c r="D184" s="32">
        <f>C184*VLOOKUP($A184,'Selector Sheet '!$B$13:$D$43,2,FALSE)</f>
        <v>0</v>
      </c>
      <c r="E184" t="s">
        <v>2032</v>
      </c>
      <c r="F184" s="32">
        <f t="shared" si="4"/>
        <v>0</v>
      </c>
      <c r="G184" s="32">
        <f>C184*VLOOKUP($A184,'Selector Sheet '!$B$13:$D$43,2,FALSE)</f>
        <v>0</v>
      </c>
      <c r="I184" s="31" t="s">
        <v>55</v>
      </c>
      <c r="J184" t="s">
        <v>998</v>
      </c>
      <c r="K184" s="34">
        <v>0.015</v>
      </c>
      <c r="L184" s="36">
        <f>K184*VLOOKUP($I184,'Selector Sheet '!$B$13:$D$43,3,FALSE)</f>
        <v>0</v>
      </c>
    </row>
    <row r="185" spans="1:12">
      <c r="A185" s="31" t="s">
        <v>56</v>
      </c>
      <c r="B185" s="37" t="s">
        <v>1933</v>
      </c>
      <c r="C185" s="38">
        <v>0.0353</v>
      </c>
      <c r="D185" s="32">
        <f>C185*VLOOKUP($A185,'Selector Sheet '!$B$13:$D$43,2,FALSE)</f>
        <v>0</v>
      </c>
      <c r="E185" t="s">
        <v>2033</v>
      </c>
      <c r="F185" s="32">
        <f t="shared" si="4"/>
        <v>0</v>
      </c>
      <c r="G185" s="32">
        <f>C185*VLOOKUP($A185,'Selector Sheet '!$B$13:$D$43,2,FALSE)</f>
        <v>0</v>
      </c>
      <c r="I185" s="31" t="s">
        <v>49</v>
      </c>
      <c r="J185" t="s">
        <v>838</v>
      </c>
      <c r="K185" s="34">
        <v>0.2362</v>
      </c>
      <c r="L185" s="36">
        <f>K185*VLOOKUP($I185,'Selector Sheet '!$B$13:$D$43,3,FALSE)</f>
        <v>0</v>
      </c>
    </row>
    <row r="186" spans="1:12">
      <c r="A186" s="31" t="s">
        <v>56</v>
      </c>
      <c r="B186" s="37" t="s">
        <v>1887</v>
      </c>
      <c r="C186" s="38">
        <v>0.0351</v>
      </c>
      <c r="D186" s="32">
        <f>C186*VLOOKUP($A186,'Selector Sheet '!$B$13:$D$43,2,FALSE)</f>
        <v>0</v>
      </c>
      <c r="E186" t="s">
        <v>2034</v>
      </c>
      <c r="F186" s="32">
        <f t="shared" si="4"/>
        <v>0</v>
      </c>
      <c r="G186" s="32">
        <f>C186*VLOOKUP($A186,'Selector Sheet '!$B$13:$D$43,2,FALSE)</f>
        <v>0</v>
      </c>
      <c r="I186" s="31" t="s">
        <v>49</v>
      </c>
      <c r="J186" t="s">
        <v>1823</v>
      </c>
      <c r="K186" s="34">
        <v>0.2329</v>
      </c>
      <c r="L186" s="36">
        <f>K186*VLOOKUP($I186,'Selector Sheet '!$B$13:$D$43,3,FALSE)</f>
        <v>0</v>
      </c>
    </row>
    <row r="187" spans="1:12">
      <c r="A187" s="31" t="s">
        <v>56</v>
      </c>
      <c r="B187" s="37" t="s">
        <v>2035</v>
      </c>
      <c r="C187" s="38">
        <v>0.035</v>
      </c>
      <c r="D187" s="32">
        <f>C187*VLOOKUP($A187,'Selector Sheet '!$B$13:$D$43,2,FALSE)</f>
        <v>0</v>
      </c>
      <c r="E187" t="s">
        <v>2036</v>
      </c>
      <c r="F187" s="32">
        <f t="shared" si="4"/>
        <v>0</v>
      </c>
      <c r="G187" s="32">
        <f>C187*VLOOKUP($A187,'Selector Sheet '!$B$13:$D$43,2,FALSE)</f>
        <v>0</v>
      </c>
      <c r="I187" s="31" t="s">
        <v>49</v>
      </c>
      <c r="J187" t="s">
        <v>823</v>
      </c>
      <c r="K187" s="34">
        <v>0.1381</v>
      </c>
      <c r="L187" s="36">
        <f>K187*VLOOKUP($I187,'Selector Sheet '!$B$13:$D$43,3,FALSE)</f>
        <v>0</v>
      </c>
    </row>
    <row r="188" spans="1:12">
      <c r="A188" s="31" t="s">
        <v>56</v>
      </c>
      <c r="B188" s="37" t="s">
        <v>1895</v>
      </c>
      <c r="C188" s="38">
        <v>0.0325</v>
      </c>
      <c r="D188" s="32">
        <f>C188*VLOOKUP($A188,'Selector Sheet '!$B$13:$D$43,2,FALSE)</f>
        <v>0</v>
      </c>
      <c r="E188" t="s">
        <v>2037</v>
      </c>
      <c r="F188" s="32">
        <f t="shared" si="4"/>
        <v>0</v>
      </c>
      <c r="G188" s="32">
        <f>C188*VLOOKUP($A188,'Selector Sheet '!$B$13:$D$43,2,FALSE)</f>
        <v>0</v>
      </c>
      <c r="I188" s="31" t="s">
        <v>49</v>
      </c>
      <c r="J188" t="s">
        <v>813</v>
      </c>
      <c r="K188" s="34">
        <v>0.1081</v>
      </c>
      <c r="L188" s="36">
        <f>K188*VLOOKUP($I188,'Selector Sheet '!$B$13:$D$43,3,FALSE)</f>
        <v>0</v>
      </c>
    </row>
    <row r="189" spans="1:12">
      <c r="A189" s="31" t="s">
        <v>56</v>
      </c>
      <c r="B189" s="37" t="s">
        <v>1830</v>
      </c>
      <c r="C189" s="38">
        <v>0.0314</v>
      </c>
      <c r="D189" s="32">
        <f>C189*VLOOKUP($A189,'Selector Sheet '!$B$13:$D$43,2,FALSE)</f>
        <v>0</v>
      </c>
      <c r="E189" t="s">
        <v>2038</v>
      </c>
      <c r="F189" s="32">
        <f t="shared" si="4"/>
        <v>0</v>
      </c>
      <c r="G189" s="32">
        <f>C189*VLOOKUP($A189,'Selector Sheet '!$B$13:$D$43,2,FALSE)</f>
        <v>0</v>
      </c>
      <c r="I189" s="31" t="s">
        <v>49</v>
      </c>
      <c r="J189" t="s">
        <v>980</v>
      </c>
      <c r="K189" s="34">
        <v>0.0734</v>
      </c>
      <c r="L189" s="36">
        <f>K189*VLOOKUP($I189,'Selector Sheet '!$B$13:$D$43,3,FALSE)</f>
        <v>0</v>
      </c>
    </row>
    <row r="190" spans="1:12">
      <c r="A190" s="31" t="s">
        <v>56</v>
      </c>
      <c r="B190" s="37" t="s">
        <v>2039</v>
      </c>
      <c r="C190" s="38">
        <v>0.0301</v>
      </c>
      <c r="D190" s="32">
        <f>C190*VLOOKUP($A190,'Selector Sheet '!$B$13:$D$43,2,FALSE)</f>
        <v>0</v>
      </c>
      <c r="E190" t="s">
        <v>2040</v>
      </c>
      <c r="F190" s="32">
        <f t="shared" si="4"/>
        <v>0</v>
      </c>
      <c r="G190" s="32">
        <f>C190*VLOOKUP($A190,'Selector Sheet '!$B$13:$D$43,2,FALSE)</f>
        <v>0</v>
      </c>
      <c r="I190" s="31" t="s">
        <v>49</v>
      </c>
      <c r="J190" t="s">
        <v>1828</v>
      </c>
      <c r="K190" s="34">
        <v>0.058</v>
      </c>
      <c r="L190" s="36">
        <f>K190*VLOOKUP($I190,'Selector Sheet '!$B$13:$D$43,3,FALSE)</f>
        <v>0</v>
      </c>
    </row>
    <row r="191" spans="1:12">
      <c r="A191" s="31" t="s">
        <v>56</v>
      </c>
      <c r="B191" s="37" t="s">
        <v>1936</v>
      </c>
      <c r="C191" s="38">
        <v>0.0294</v>
      </c>
      <c r="D191" s="32">
        <f>C191*VLOOKUP($A191,'Selector Sheet '!$B$13:$D$43,2,FALSE)</f>
        <v>0</v>
      </c>
      <c r="E191" t="s">
        <v>2041</v>
      </c>
      <c r="F191" s="32">
        <f t="shared" si="4"/>
        <v>0</v>
      </c>
      <c r="G191" s="32">
        <f>C191*VLOOKUP($A191,'Selector Sheet '!$B$13:$D$43,2,FALSE)</f>
        <v>0</v>
      </c>
      <c r="I191" s="31" t="s">
        <v>49</v>
      </c>
      <c r="J191" t="s">
        <v>1825</v>
      </c>
      <c r="K191" s="34">
        <v>0.0507</v>
      </c>
      <c r="L191" s="36">
        <f>K191*VLOOKUP($I191,'Selector Sheet '!$B$13:$D$43,3,FALSE)</f>
        <v>0</v>
      </c>
    </row>
    <row r="192" spans="1:12">
      <c r="A192" s="31" t="s">
        <v>56</v>
      </c>
      <c r="B192" s="37" t="s">
        <v>2042</v>
      </c>
      <c r="C192" s="38">
        <v>0.0288</v>
      </c>
      <c r="D192" s="32">
        <f>C192*VLOOKUP($A192,'Selector Sheet '!$B$13:$D$43,2,FALSE)</f>
        <v>0</v>
      </c>
      <c r="E192" t="s">
        <v>2043</v>
      </c>
      <c r="F192" s="32">
        <f t="shared" si="4"/>
        <v>0</v>
      </c>
      <c r="G192" s="32">
        <f>C192*VLOOKUP($A192,'Selector Sheet '!$B$13:$D$43,2,FALSE)</f>
        <v>0</v>
      </c>
      <c r="I192" s="31" t="s">
        <v>49</v>
      </c>
      <c r="J192" t="s">
        <v>1834</v>
      </c>
      <c r="K192" s="34">
        <v>0.0472</v>
      </c>
      <c r="L192" s="36">
        <f>K192*VLOOKUP($I192,'Selector Sheet '!$B$13:$D$43,3,FALSE)</f>
        <v>0</v>
      </c>
    </row>
    <row r="193" spans="1:7">
      <c r="A193" s="31" t="s">
        <v>56</v>
      </c>
      <c r="B193" s="37" t="s">
        <v>1938</v>
      </c>
      <c r="C193" s="38">
        <v>0.0283</v>
      </c>
      <c r="D193" s="32">
        <f>C193*VLOOKUP($A193,'Selector Sheet '!$B$13:$D$43,2,FALSE)</f>
        <v>0</v>
      </c>
      <c r="E193" t="s">
        <v>2044</v>
      </c>
      <c r="F193" s="32">
        <f t="shared" si="4"/>
        <v>0</v>
      </c>
      <c r="G193" s="32">
        <f>C193*VLOOKUP($A193,'Selector Sheet '!$B$13:$D$43,2,FALSE)</f>
        <v>0</v>
      </c>
    </row>
    <row r="194" spans="1:7">
      <c r="A194" s="31" t="s">
        <v>56</v>
      </c>
      <c r="B194" s="37" t="s">
        <v>2045</v>
      </c>
      <c r="C194" s="38">
        <v>0.0269</v>
      </c>
      <c r="D194" s="32">
        <f>C194*VLOOKUP($A194,'Selector Sheet '!$B$13:$D$43,2,FALSE)</f>
        <v>0</v>
      </c>
      <c r="E194" t="s">
        <v>2046</v>
      </c>
      <c r="F194" s="32">
        <f t="shared" ref="F194:F223" si="5">SUMIF($B$2:$B$305,E194,$D$2:$D$305)</f>
        <v>0</v>
      </c>
      <c r="G194" s="32">
        <f>C194*VLOOKUP($A194,'Selector Sheet '!$B$13:$D$43,2,FALSE)</f>
        <v>0</v>
      </c>
    </row>
    <row r="195" spans="1:7">
      <c r="A195" s="31" t="s">
        <v>56</v>
      </c>
      <c r="B195" s="37" t="s">
        <v>1045</v>
      </c>
      <c r="C195" s="38">
        <v>0.0264</v>
      </c>
      <c r="D195" s="32">
        <f>C195*VLOOKUP($A195,'Selector Sheet '!$B$13:$D$43,2,FALSE)</f>
        <v>0</v>
      </c>
      <c r="E195" t="s">
        <v>2047</v>
      </c>
      <c r="F195" s="32">
        <f t="shared" si="5"/>
        <v>0</v>
      </c>
      <c r="G195" s="32">
        <f>C195*VLOOKUP($A195,'Selector Sheet '!$B$13:$D$43,2,FALSE)</f>
        <v>0</v>
      </c>
    </row>
    <row r="196" spans="1:7">
      <c r="A196" s="31" t="s">
        <v>56</v>
      </c>
      <c r="B196" s="37" t="s">
        <v>2048</v>
      </c>
      <c r="C196" s="38">
        <v>0.0258</v>
      </c>
      <c r="D196" s="32">
        <f>C196*VLOOKUP($A196,'Selector Sheet '!$B$13:$D$43,2,FALSE)</f>
        <v>0</v>
      </c>
      <c r="E196" t="s">
        <v>2049</v>
      </c>
      <c r="F196" s="32">
        <f t="shared" si="5"/>
        <v>0</v>
      </c>
      <c r="G196" s="32">
        <f>C196*VLOOKUP($A196,'Selector Sheet '!$B$13:$D$43,2,FALSE)</f>
        <v>0</v>
      </c>
    </row>
    <row r="197" spans="1:7">
      <c r="A197" s="31" t="s">
        <v>56</v>
      </c>
      <c r="B197" s="37" t="s">
        <v>1912</v>
      </c>
      <c r="C197" s="38">
        <v>0.0252</v>
      </c>
      <c r="D197" s="32">
        <f>C197*VLOOKUP($A197,'Selector Sheet '!$B$13:$D$43,2,FALSE)</f>
        <v>0</v>
      </c>
      <c r="E197" t="s">
        <v>2050</v>
      </c>
      <c r="F197" s="32">
        <f t="shared" si="5"/>
        <v>0</v>
      </c>
      <c r="G197" s="32">
        <f>C197*VLOOKUP($A197,'Selector Sheet '!$B$13:$D$43,2,FALSE)</f>
        <v>0</v>
      </c>
    </row>
    <row r="198" spans="1:7">
      <c r="A198" s="31" t="s">
        <v>56</v>
      </c>
      <c r="B198" s="37" t="s">
        <v>2051</v>
      </c>
      <c r="C198" s="38">
        <v>0.0202</v>
      </c>
      <c r="D198" s="32">
        <f>C198*VLOOKUP($A198,'Selector Sheet '!$B$13:$D$43,2,FALSE)</f>
        <v>0</v>
      </c>
      <c r="E198" t="s">
        <v>1965</v>
      </c>
      <c r="F198" s="32" t="e">
        <f t="shared" si="5"/>
        <v>#N/A</v>
      </c>
      <c r="G198" s="32">
        <f>C198*VLOOKUP($A198,'Selector Sheet '!$B$13:$D$43,2,FALSE)</f>
        <v>0</v>
      </c>
    </row>
    <row r="199" spans="1:7">
      <c r="A199" s="31" t="s">
        <v>56</v>
      </c>
      <c r="B199" s="37" t="s">
        <v>2052</v>
      </c>
      <c r="C199" s="38">
        <v>0.0201</v>
      </c>
      <c r="D199" s="32">
        <f>C199*VLOOKUP($A199,'Selector Sheet '!$B$13:$D$43,2,FALSE)</f>
        <v>0</v>
      </c>
      <c r="E199" t="s">
        <v>2053</v>
      </c>
      <c r="F199" s="32">
        <f t="shared" si="5"/>
        <v>0</v>
      </c>
      <c r="G199" s="32">
        <f>C199*VLOOKUP($A199,'Selector Sheet '!$B$13:$D$43,2,FALSE)</f>
        <v>0</v>
      </c>
    </row>
    <row r="200" spans="1:7">
      <c r="A200" s="31" t="s">
        <v>56</v>
      </c>
      <c r="B200" s="37" t="s">
        <v>2054</v>
      </c>
      <c r="C200" s="38">
        <v>0.0196</v>
      </c>
      <c r="D200" s="32">
        <f>C200*VLOOKUP($A200,'Selector Sheet '!$B$13:$D$43,2,FALSE)</f>
        <v>0</v>
      </c>
      <c r="E200" t="s">
        <v>2055</v>
      </c>
      <c r="F200" s="32">
        <f t="shared" si="5"/>
        <v>0</v>
      </c>
      <c r="G200" s="32">
        <f>C200*VLOOKUP($A200,'Selector Sheet '!$B$13:$D$43,2,FALSE)</f>
        <v>0</v>
      </c>
    </row>
    <row r="201" spans="1:7">
      <c r="A201" s="31" t="s">
        <v>56</v>
      </c>
      <c r="B201" s="37" t="s">
        <v>2056</v>
      </c>
      <c r="C201" s="38">
        <v>0.0192</v>
      </c>
      <c r="D201" s="32">
        <f>C201*VLOOKUP($A201,'Selector Sheet '!$B$13:$D$43,2,FALSE)</f>
        <v>0</v>
      </c>
      <c r="E201" t="s">
        <v>2057</v>
      </c>
      <c r="F201" s="32">
        <f t="shared" si="5"/>
        <v>0</v>
      </c>
      <c r="G201" s="32">
        <f>C201*VLOOKUP($A201,'Selector Sheet '!$B$13:$D$43,2,FALSE)</f>
        <v>0</v>
      </c>
    </row>
    <row r="202" spans="1:7">
      <c r="A202" s="31" t="s">
        <v>56</v>
      </c>
      <c r="B202" s="37" t="s">
        <v>2058</v>
      </c>
      <c r="C202" s="38">
        <v>0.015</v>
      </c>
      <c r="D202" s="32">
        <f>C202*VLOOKUP($A202,'Selector Sheet '!$B$13:$D$43,2,FALSE)</f>
        <v>0</v>
      </c>
      <c r="E202" t="s">
        <v>2059</v>
      </c>
      <c r="F202" s="32">
        <f t="shared" si="5"/>
        <v>0</v>
      </c>
      <c r="G202" s="32">
        <f>C202*VLOOKUP($A202,'Selector Sheet '!$B$13:$D$43,2,FALSE)</f>
        <v>0</v>
      </c>
    </row>
    <row r="203" spans="1:7">
      <c r="A203" s="31" t="s">
        <v>1920</v>
      </c>
      <c r="B203" t="s">
        <v>1822</v>
      </c>
      <c r="C203" s="34">
        <v>0.0913</v>
      </c>
      <c r="D203" s="32" t="e">
        <f>C203*VLOOKUP($A203,'Selector Sheet '!$B$13:$D$43,2,FALSE)</f>
        <v>#N/A</v>
      </c>
      <c r="E203" t="s">
        <v>2060</v>
      </c>
      <c r="F203" s="32">
        <f t="shared" si="5"/>
        <v>0</v>
      </c>
      <c r="G203" s="32" t="e">
        <f>C203*VLOOKUP($A203,'Selector Sheet '!$B$13:$D$43,2,FALSE)</f>
        <v>#N/A</v>
      </c>
    </row>
    <row r="204" spans="1:7">
      <c r="A204" s="31" t="s">
        <v>1920</v>
      </c>
      <c r="B204" t="s">
        <v>1824</v>
      </c>
      <c r="C204" s="34">
        <v>0.0807</v>
      </c>
      <c r="D204" s="32" t="e">
        <f>C204*VLOOKUP($A204,'Selector Sheet '!$B$13:$D$43,2,FALSE)</f>
        <v>#N/A</v>
      </c>
      <c r="E204" t="s">
        <v>2061</v>
      </c>
      <c r="F204" s="32">
        <f t="shared" si="5"/>
        <v>0</v>
      </c>
      <c r="G204" s="32" t="e">
        <f>C204*VLOOKUP($A204,'Selector Sheet '!$B$13:$D$43,2,FALSE)</f>
        <v>#N/A</v>
      </c>
    </row>
    <row r="205" spans="1:7">
      <c r="A205" s="31" t="s">
        <v>1920</v>
      </c>
      <c r="B205" t="s">
        <v>1827</v>
      </c>
      <c r="C205" s="34">
        <v>0.0506</v>
      </c>
      <c r="D205" s="32" t="e">
        <f>C205*VLOOKUP($A205,'Selector Sheet '!$B$13:$D$43,2,FALSE)</f>
        <v>#N/A</v>
      </c>
      <c r="E205" t="s">
        <v>2062</v>
      </c>
      <c r="F205" s="32">
        <f t="shared" si="5"/>
        <v>0</v>
      </c>
      <c r="G205" s="32" t="e">
        <f>C205*VLOOKUP($A205,'Selector Sheet '!$B$13:$D$43,2,FALSE)</f>
        <v>#N/A</v>
      </c>
    </row>
    <row r="206" spans="1:7">
      <c r="A206" s="31" t="s">
        <v>1920</v>
      </c>
      <c r="B206" t="s">
        <v>1826</v>
      </c>
      <c r="C206" s="34">
        <v>0.0487</v>
      </c>
      <c r="D206" s="32" t="e">
        <f>C206*VLOOKUP($A206,'Selector Sheet '!$B$13:$D$43,2,FALSE)</f>
        <v>#N/A</v>
      </c>
      <c r="E206" t="s">
        <v>2063</v>
      </c>
      <c r="F206" s="32">
        <f t="shared" si="5"/>
        <v>0</v>
      </c>
      <c r="G206" s="32" t="e">
        <f>C206*VLOOKUP($A206,'Selector Sheet '!$B$13:$D$43,2,FALSE)</f>
        <v>#N/A</v>
      </c>
    </row>
    <row r="207" spans="1:7">
      <c r="A207" s="31" t="s">
        <v>1920</v>
      </c>
      <c r="B207" t="s">
        <v>1830</v>
      </c>
      <c r="C207" s="34">
        <v>0.0395</v>
      </c>
      <c r="D207" s="32" t="e">
        <f>C207*VLOOKUP($A207,'Selector Sheet '!$B$13:$D$43,2,FALSE)</f>
        <v>#N/A</v>
      </c>
      <c r="E207" t="s">
        <v>2064</v>
      </c>
      <c r="F207" s="32">
        <f t="shared" si="5"/>
        <v>0</v>
      </c>
      <c r="G207" s="32" t="e">
        <f>C207*VLOOKUP($A207,'Selector Sheet '!$B$13:$D$43,2,FALSE)</f>
        <v>#N/A</v>
      </c>
    </row>
    <row r="208" spans="1:7">
      <c r="A208" s="31" t="s">
        <v>1920</v>
      </c>
      <c r="B208" t="s">
        <v>1829</v>
      </c>
      <c r="C208" s="34">
        <v>0.0339</v>
      </c>
      <c r="D208" s="32" t="e">
        <f>C208*VLOOKUP($A208,'Selector Sheet '!$B$13:$D$43,2,FALSE)</f>
        <v>#N/A</v>
      </c>
      <c r="E208" t="s">
        <v>2065</v>
      </c>
      <c r="F208" s="32">
        <f t="shared" si="5"/>
        <v>0</v>
      </c>
      <c r="G208" s="32" t="e">
        <f>C208*VLOOKUP($A208,'Selector Sheet '!$B$13:$D$43,2,FALSE)</f>
        <v>#N/A</v>
      </c>
    </row>
    <row r="209" spans="1:7">
      <c r="A209" s="31" t="s">
        <v>1920</v>
      </c>
      <c r="B209" t="s">
        <v>1835</v>
      </c>
      <c r="C209" s="34">
        <v>0.0302</v>
      </c>
      <c r="D209" s="32" t="e">
        <f>C209*VLOOKUP($A209,'Selector Sheet '!$B$13:$D$43,2,FALSE)</f>
        <v>#N/A</v>
      </c>
      <c r="E209" t="s">
        <v>2066</v>
      </c>
      <c r="F209" s="32">
        <f t="shared" si="5"/>
        <v>0</v>
      </c>
      <c r="G209" s="32" t="e">
        <f>C209*VLOOKUP($A209,'Selector Sheet '!$B$13:$D$43,2,FALSE)</f>
        <v>#N/A</v>
      </c>
    </row>
    <row r="210" spans="1:7">
      <c r="A210" s="31" t="s">
        <v>1920</v>
      </c>
      <c r="B210" t="s">
        <v>1844</v>
      </c>
      <c r="C210" s="34">
        <v>0.0302</v>
      </c>
      <c r="D210" s="32" t="e">
        <f>C210*VLOOKUP($A210,'Selector Sheet '!$B$13:$D$43,2,FALSE)</f>
        <v>#N/A</v>
      </c>
      <c r="E210" t="s">
        <v>2067</v>
      </c>
      <c r="F210" s="32">
        <f t="shared" si="5"/>
        <v>0</v>
      </c>
      <c r="G210" s="32" t="e">
        <f>C210*VLOOKUP($A210,'Selector Sheet '!$B$13:$D$43,2,FALSE)</f>
        <v>#N/A</v>
      </c>
    </row>
    <row r="211" spans="1:7">
      <c r="A211" s="31" t="s">
        <v>1920</v>
      </c>
      <c r="B211" t="s">
        <v>1831</v>
      </c>
      <c r="C211" s="34">
        <v>0.03</v>
      </c>
      <c r="D211" s="32" t="e">
        <f>C211*VLOOKUP($A211,'Selector Sheet '!$B$13:$D$43,2,FALSE)</f>
        <v>#N/A</v>
      </c>
      <c r="E211" t="s">
        <v>2068</v>
      </c>
      <c r="F211" s="32">
        <f t="shared" si="5"/>
        <v>0</v>
      </c>
      <c r="G211" s="32" t="e">
        <f>C211*VLOOKUP($A211,'Selector Sheet '!$B$13:$D$43,2,FALSE)</f>
        <v>#N/A</v>
      </c>
    </row>
    <row r="212" spans="1:7">
      <c r="A212" s="31" t="s">
        <v>1920</v>
      </c>
      <c r="B212" t="s">
        <v>1841</v>
      </c>
      <c r="C212" s="34">
        <v>0.0278</v>
      </c>
      <c r="D212" s="32" t="e">
        <f>C212*VLOOKUP($A212,'Selector Sheet '!$B$13:$D$43,2,FALSE)</f>
        <v>#N/A</v>
      </c>
      <c r="E212" t="s">
        <v>2069</v>
      </c>
      <c r="F212" s="32">
        <f t="shared" si="5"/>
        <v>0</v>
      </c>
      <c r="G212" s="32" t="e">
        <f>C212*VLOOKUP($A212,'Selector Sheet '!$B$13:$D$43,2,FALSE)</f>
        <v>#N/A</v>
      </c>
    </row>
    <row r="213" spans="1:7">
      <c r="A213" s="31" t="s">
        <v>1920</v>
      </c>
      <c r="B213" t="s">
        <v>1838</v>
      </c>
      <c r="C213" s="34">
        <v>0.0261</v>
      </c>
      <c r="D213" s="32" t="e">
        <f>C213*VLOOKUP($A213,'Selector Sheet '!$B$13:$D$43,2,FALSE)</f>
        <v>#N/A</v>
      </c>
      <c r="E213" t="s">
        <v>2070</v>
      </c>
      <c r="F213" s="32">
        <f t="shared" si="5"/>
        <v>0</v>
      </c>
      <c r="G213" s="32" t="e">
        <f>C213*VLOOKUP($A213,'Selector Sheet '!$B$13:$D$43,2,FALSE)</f>
        <v>#N/A</v>
      </c>
    </row>
    <row r="214" spans="1:7">
      <c r="A214" s="31" t="s">
        <v>1920</v>
      </c>
      <c r="B214" t="s">
        <v>1832</v>
      </c>
      <c r="C214" s="34">
        <v>0.0257</v>
      </c>
      <c r="D214" s="32" t="e">
        <f>C214*VLOOKUP($A214,'Selector Sheet '!$B$13:$D$43,2,FALSE)</f>
        <v>#N/A</v>
      </c>
      <c r="E214" t="s">
        <v>2071</v>
      </c>
      <c r="F214" s="32">
        <f t="shared" si="5"/>
        <v>0</v>
      </c>
      <c r="G214" s="32" t="e">
        <f>C214*VLOOKUP($A214,'Selector Sheet '!$B$13:$D$43,2,FALSE)</f>
        <v>#N/A</v>
      </c>
    </row>
    <row r="215" spans="1:7">
      <c r="A215" s="31" t="s">
        <v>1920</v>
      </c>
      <c r="B215" t="s">
        <v>1833</v>
      </c>
      <c r="C215" s="34">
        <v>0.0251</v>
      </c>
      <c r="D215" s="32" t="e">
        <f>C215*VLOOKUP($A215,'Selector Sheet '!$B$13:$D$43,2,FALSE)</f>
        <v>#N/A</v>
      </c>
      <c r="F215" s="32">
        <f t="shared" si="5"/>
        <v>0</v>
      </c>
      <c r="G215" s="32" t="e">
        <f>C215*VLOOKUP($A215,'Selector Sheet '!$B$13:$D$43,2,FALSE)</f>
        <v>#N/A</v>
      </c>
    </row>
    <row r="216" spans="1:7">
      <c r="A216" s="31" t="s">
        <v>1920</v>
      </c>
      <c r="B216" t="s">
        <v>1851</v>
      </c>
      <c r="C216" s="34">
        <v>0.0218</v>
      </c>
      <c r="D216" s="32" t="e">
        <f>C216*VLOOKUP($A216,'Selector Sheet '!$B$13:$D$43,2,FALSE)</f>
        <v>#N/A</v>
      </c>
      <c r="F216" s="32">
        <f t="shared" si="5"/>
        <v>0</v>
      </c>
      <c r="G216" s="32" t="e">
        <f>C216*VLOOKUP($A216,'Selector Sheet '!$B$13:$D$43,2,FALSE)</f>
        <v>#N/A</v>
      </c>
    </row>
    <row r="217" spans="1:7">
      <c r="A217" s="31" t="s">
        <v>1920</v>
      </c>
      <c r="B217" t="s">
        <v>1839</v>
      </c>
      <c r="C217" s="34">
        <v>0.0205</v>
      </c>
      <c r="D217" s="32" t="e">
        <f>C217*VLOOKUP($A217,'Selector Sheet '!$B$13:$D$43,2,FALSE)</f>
        <v>#N/A</v>
      </c>
      <c r="F217" s="32">
        <f t="shared" si="5"/>
        <v>0</v>
      </c>
      <c r="G217" s="32" t="e">
        <f>C217*VLOOKUP($A217,'Selector Sheet '!$B$13:$D$43,2,FALSE)</f>
        <v>#N/A</v>
      </c>
    </row>
    <row r="218" spans="1:7">
      <c r="A218" s="31" t="s">
        <v>1920</v>
      </c>
      <c r="B218" t="s">
        <v>1858</v>
      </c>
      <c r="C218" s="34">
        <v>0.0198</v>
      </c>
      <c r="D218" s="32" t="e">
        <f>C218*VLOOKUP($A218,'Selector Sheet '!$B$13:$D$43,2,FALSE)</f>
        <v>#N/A</v>
      </c>
      <c r="F218" s="32">
        <f t="shared" si="5"/>
        <v>0</v>
      </c>
      <c r="G218" s="32" t="e">
        <f>C218*VLOOKUP($A218,'Selector Sheet '!$B$13:$D$43,2,FALSE)</f>
        <v>#N/A</v>
      </c>
    </row>
    <row r="219" spans="1:7">
      <c r="A219" s="31" t="s">
        <v>1920</v>
      </c>
      <c r="B219" t="s">
        <v>1840</v>
      </c>
      <c r="C219" s="34">
        <v>0.0181</v>
      </c>
      <c r="D219" s="32" t="e">
        <f>C219*VLOOKUP($A219,'Selector Sheet '!$B$13:$D$43,2,FALSE)</f>
        <v>#N/A</v>
      </c>
      <c r="F219" s="32">
        <f t="shared" si="5"/>
        <v>0</v>
      </c>
      <c r="G219" s="32" t="e">
        <f>C219*VLOOKUP($A219,'Selector Sheet '!$B$13:$D$43,2,FALSE)</f>
        <v>#N/A</v>
      </c>
    </row>
    <row r="220" spans="1:7">
      <c r="A220" s="31" t="s">
        <v>1920</v>
      </c>
      <c r="B220" t="s">
        <v>1867</v>
      </c>
      <c r="C220" s="34">
        <v>0.0158</v>
      </c>
      <c r="D220" s="32" t="e">
        <f>C220*VLOOKUP($A220,'Selector Sheet '!$B$13:$D$43,2,FALSE)</f>
        <v>#N/A</v>
      </c>
      <c r="F220" s="32">
        <f t="shared" si="5"/>
        <v>0</v>
      </c>
      <c r="G220" s="32" t="e">
        <f>C220*VLOOKUP($A220,'Selector Sheet '!$B$13:$D$43,2,FALSE)</f>
        <v>#N/A</v>
      </c>
    </row>
    <row r="221" spans="1:7">
      <c r="A221" s="31" t="s">
        <v>1920</v>
      </c>
      <c r="B221" t="s">
        <v>1845</v>
      </c>
      <c r="C221" s="34">
        <v>0.0152</v>
      </c>
      <c r="D221" s="32" t="e">
        <f>C221*VLOOKUP($A221,'Selector Sheet '!$B$13:$D$43,2,FALSE)</f>
        <v>#N/A</v>
      </c>
      <c r="F221" s="32">
        <f t="shared" si="5"/>
        <v>0</v>
      </c>
      <c r="G221" s="32" t="e">
        <f>C221*VLOOKUP($A221,'Selector Sheet '!$B$13:$D$43,2,FALSE)</f>
        <v>#N/A</v>
      </c>
    </row>
    <row r="222" spans="1:7">
      <c r="A222" s="31" t="s">
        <v>1920</v>
      </c>
      <c r="B222" t="s">
        <v>1865</v>
      </c>
      <c r="C222" s="34">
        <v>0.0151</v>
      </c>
      <c r="D222" s="32" t="e">
        <f>C222*VLOOKUP($A222,'Selector Sheet '!$B$13:$D$43,2,FALSE)</f>
        <v>#N/A</v>
      </c>
      <c r="F222" s="32">
        <f t="shared" si="5"/>
        <v>0</v>
      </c>
      <c r="G222" s="32" t="e">
        <f>C222*VLOOKUP($A222,'Selector Sheet '!$B$13:$D$43,2,FALSE)</f>
        <v>#N/A</v>
      </c>
    </row>
    <row r="223" spans="1:7">
      <c r="A223" s="31" t="s">
        <v>1920</v>
      </c>
      <c r="B223" t="s">
        <v>1842</v>
      </c>
      <c r="C223" s="34">
        <v>0.0142</v>
      </c>
      <c r="D223" s="32" t="e">
        <f>C223*VLOOKUP($A223,'Selector Sheet '!$B$13:$D$43,2,FALSE)</f>
        <v>#N/A</v>
      </c>
      <c r="F223" s="32">
        <f t="shared" si="5"/>
        <v>0</v>
      </c>
      <c r="G223" s="32" t="e">
        <f>C223*VLOOKUP($A223,'Selector Sheet '!$B$13:$D$43,2,FALSE)</f>
        <v>#N/A</v>
      </c>
    </row>
    <row r="224" spans="1:7">
      <c r="A224" s="31" t="s">
        <v>1920</v>
      </c>
      <c r="B224" t="s">
        <v>1837</v>
      </c>
      <c r="C224" s="34">
        <v>0.014</v>
      </c>
      <c r="D224" s="32" t="e">
        <f>C224*VLOOKUP($A224,'Selector Sheet '!$B$13:$D$43,2,FALSE)</f>
        <v>#N/A</v>
      </c>
      <c r="F224" s="32"/>
      <c r="G224" s="32" t="e">
        <f>C224*VLOOKUP($A224,'Selector Sheet '!$B$13:$D$43,2,FALSE)</f>
        <v>#N/A</v>
      </c>
    </row>
    <row r="225" spans="1:7">
      <c r="A225" s="31" t="s">
        <v>1920</v>
      </c>
      <c r="B225" t="s">
        <v>1847</v>
      </c>
      <c r="C225" s="34">
        <v>0.0139</v>
      </c>
      <c r="D225" s="32" t="e">
        <f>C225*VLOOKUP($A225,'Selector Sheet '!$B$13:$D$43,2,FALSE)</f>
        <v>#N/A</v>
      </c>
      <c r="F225" s="32"/>
      <c r="G225" s="32" t="e">
        <f>C225*VLOOKUP($A225,'Selector Sheet '!$B$13:$D$43,2,FALSE)</f>
        <v>#N/A</v>
      </c>
    </row>
    <row r="226" spans="1:7">
      <c r="A226" s="31" t="s">
        <v>1920</v>
      </c>
      <c r="B226" t="s">
        <v>1966</v>
      </c>
      <c r="C226" s="34">
        <v>0.0139</v>
      </c>
      <c r="D226" s="32" t="e">
        <f>C226*VLOOKUP($A226,'Selector Sheet '!$B$13:$D$43,2,FALSE)</f>
        <v>#N/A</v>
      </c>
      <c r="F226" s="32"/>
      <c r="G226" s="32" t="e">
        <f>C226*VLOOKUP($A226,'Selector Sheet '!$B$13:$D$43,2,FALSE)</f>
        <v>#N/A</v>
      </c>
    </row>
    <row r="227" spans="1:7">
      <c r="A227" s="31" t="s">
        <v>1920</v>
      </c>
      <c r="B227" t="s">
        <v>1907</v>
      </c>
      <c r="C227" s="34">
        <v>0.0138</v>
      </c>
      <c r="D227" s="32" t="e">
        <f>C227*VLOOKUP($A227,'Selector Sheet '!$B$13:$D$43,2,FALSE)</f>
        <v>#N/A</v>
      </c>
      <c r="F227" s="32">
        <f t="shared" ref="F227:F258" si="6">SUMIF($B$2:$B$305,E227,$D$2:$D$305)</f>
        <v>0</v>
      </c>
      <c r="G227" s="32" t="e">
        <f>C227*VLOOKUP($A227,'Selector Sheet '!$B$13:$D$43,2,FALSE)</f>
        <v>#N/A</v>
      </c>
    </row>
    <row r="228" spans="1:7">
      <c r="A228" s="31" t="s">
        <v>1948</v>
      </c>
      <c r="B228" t="s">
        <v>1822</v>
      </c>
      <c r="C228" s="82">
        <v>0.0843</v>
      </c>
      <c r="D228" s="32" t="e">
        <f>C228*VLOOKUP($A228,'Selector Sheet '!$B$13:$D$43,2,FALSE)</f>
        <v>#N/A</v>
      </c>
      <c r="F228" s="32">
        <f t="shared" si="6"/>
        <v>0</v>
      </c>
      <c r="G228" s="32" t="e">
        <f>C228*VLOOKUP($A228,'Selector Sheet '!$B$13:$D$43,2,FALSE)</f>
        <v>#N/A</v>
      </c>
    </row>
    <row r="229" spans="1:7">
      <c r="A229" s="31" t="s">
        <v>1948</v>
      </c>
      <c r="B229" t="s">
        <v>1983</v>
      </c>
      <c r="C229" s="82">
        <v>0.07</v>
      </c>
      <c r="D229" s="32" t="e">
        <f>C229*VLOOKUP($A229,'Selector Sheet '!$B$13:$D$43,2,FALSE)</f>
        <v>#N/A</v>
      </c>
      <c r="F229" s="32">
        <f t="shared" si="6"/>
        <v>0</v>
      </c>
      <c r="G229" s="32" t="e">
        <f>C229*VLOOKUP($A229,'Selector Sheet '!$B$13:$D$43,2,FALSE)</f>
        <v>#N/A</v>
      </c>
    </row>
    <row r="230" spans="1:7">
      <c r="A230" s="31" t="s">
        <v>1948</v>
      </c>
      <c r="B230" t="s">
        <v>1969</v>
      </c>
      <c r="C230" s="82">
        <v>0.0599</v>
      </c>
      <c r="D230" s="32" t="e">
        <f>C230*VLOOKUP($A230,'Selector Sheet '!$B$13:$D$43,2,FALSE)</f>
        <v>#N/A</v>
      </c>
      <c r="F230" s="32">
        <f t="shared" si="6"/>
        <v>0</v>
      </c>
      <c r="G230" s="32" t="e">
        <f>C230*VLOOKUP($A230,'Selector Sheet '!$B$13:$D$43,2,FALSE)</f>
        <v>#N/A</v>
      </c>
    </row>
    <row r="231" spans="1:7">
      <c r="A231" s="31" t="s">
        <v>1948</v>
      </c>
      <c r="B231" t="s">
        <v>1921</v>
      </c>
      <c r="C231" s="82">
        <v>0.0552</v>
      </c>
      <c r="D231" s="32" t="e">
        <f>C231*VLOOKUP($A231,'Selector Sheet '!$B$13:$D$43,2,FALSE)</f>
        <v>#N/A</v>
      </c>
      <c r="F231" s="32">
        <f t="shared" si="6"/>
        <v>0</v>
      </c>
      <c r="G231" s="32" t="e">
        <f>C231*VLOOKUP($A231,'Selector Sheet '!$B$13:$D$43,2,FALSE)</f>
        <v>#N/A</v>
      </c>
    </row>
    <row r="232" spans="1:7">
      <c r="A232" s="31" t="s">
        <v>1948</v>
      </c>
      <c r="B232" t="s">
        <v>1824</v>
      </c>
      <c r="C232" s="82">
        <v>0.0479</v>
      </c>
      <c r="D232" s="32" t="e">
        <f>C232*VLOOKUP($A232,'Selector Sheet '!$B$13:$D$43,2,FALSE)</f>
        <v>#N/A</v>
      </c>
      <c r="F232" s="32">
        <f t="shared" si="6"/>
        <v>0</v>
      </c>
      <c r="G232" s="32" t="e">
        <f>C232*VLOOKUP($A232,'Selector Sheet '!$B$13:$D$43,2,FALSE)</f>
        <v>#N/A</v>
      </c>
    </row>
    <row r="233" spans="1:7">
      <c r="A233" s="31" t="s">
        <v>1948</v>
      </c>
      <c r="B233" t="s">
        <v>1833</v>
      </c>
      <c r="C233" s="82">
        <v>0.0454</v>
      </c>
      <c r="D233" s="32" t="e">
        <f>C233*VLOOKUP($A233,'Selector Sheet '!$B$13:$D$43,2,FALSE)</f>
        <v>#N/A</v>
      </c>
      <c r="F233" s="32">
        <f t="shared" si="6"/>
        <v>0</v>
      </c>
      <c r="G233" s="32" t="e">
        <f>C233*VLOOKUP($A233,'Selector Sheet '!$B$13:$D$43,2,FALSE)</f>
        <v>#N/A</v>
      </c>
    </row>
    <row r="234" spans="1:7">
      <c r="A234" s="31" t="s">
        <v>1948</v>
      </c>
      <c r="B234" t="s">
        <v>1845</v>
      </c>
      <c r="C234" s="82">
        <v>0.0427</v>
      </c>
      <c r="D234" s="32" t="e">
        <f>C234*VLOOKUP($A234,'Selector Sheet '!$B$13:$D$43,2,FALSE)</f>
        <v>#N/A</v>
      </c>
      <c r="F234" s="32">
        <f t="shared" si="6"/>
        <v>0</v>
      </c>
      <c r="G234" s="32" t="e">
        <f>C234*VLOOKUP($A234,'Selector Sheet '!$B$13:$D$43,2,FALSE)</f>
        <v>#N/A</v>
      </c>
    </row>
    <row r="235" spans="1:7">
      <c r="A235" s="31" t="s">
        <v>1948</v>
      </c>
      <c r="B235" t="s">
        <v>1837</v>
      </c>
      <c r="C235" s="82">
        <v>0.041</v>
      </c>
      <c r="D235" s="32" t="e">
        <f>C235*VLOOKUP($A235,'Selector Sheet '!$B$13:$D$43,2,FALSE)</f>
        <v>#N/A</v>
      </c>
      <c r="F235" s="32">
        <f t="shared" si="6"/>
        <v>0</v>
      </c>
      <c r="G235" s="32" t="e">
        <f>C235*VLOOKUP($A235,'Selector Sheet '!$B$13:$D$43,2,FALSE)</f>
        <v>#N/A</v>
      </c>
    </row>
    <row r="236" spans="1:7">
      <c r="A236" s="31" t="s">
        <v>1948</v>
      </c>
      <c r="B236" t="s">
        <v>2072</v>
      </c>
      <c r="C236" s="82">
        <v>0.0393</v>
      </c>
      <c r="D236" s="32" t="e">
        <f>C236*VLOOKUP($A236,'Selector Sheet '!$B$13:$D$43,2,FALSE)</f>
        <v>#N/A</v>
      </c>
      <c r="F236" s="32">
        <f t="shared" si="6"/>
        <v>0</v>
      </c>
      <c r="G236" s="32" t="e">
        <f>C236*VLOOKUP($A236,'Selector Sheet '!$B$13:$D$43,2,FALSE)</f>
        <v>#N/A</v>
      </c>
    </row>
    <row r="237" spans="1:7">
      <c r="A237" s="31" t="s">
        <v>1948</v>
      </c>
      <c r="B237" t="s">
        <v>1907</v>
      </c>
      <c r="C237" s="82">
        <v>0.0335</v>
      </c>
      <c r="D237" s="32" t="e">
        <f>C237*VLOOKUP($A237,'Selector Sheet '!$B$13:$D$43,2,FALSE)</f>
        <v>#N/A</v>
      </c>
      <c r="F237" s="32">
        <f t="shared" si="6"/>
        <v>0</v>
      </c>
      <c r="G237" s="32" t="e">
        <f>C237*VLOOKUP($A237,'Selector Sheet '!$B$13:$D$43,2,FALSE)</f>
        <v>#N/A</v>
      </c>
    </row>
    <row r="238" spans="1:7">
      <c r="A238" s="31" t="s">
        <v>1948</v>
      </c>
      <c r="B238" t="s">
        <v>2073</v>
      </c>
      <c r="C238" s="82">
        <v>0.0319</v>
      </c>
      <c r="D238" s="32" t="e">
        <f>C238*VLOOKUP($A238,'Selector Sheet '!$B$13:$D$43,2,FALSE)</f>
        <v>#N/A</v>
      </c>
      <c r="F238" s="32">
        <f t="shared" si="6"/>
        <v>0</v>
      </c>
      <c r="G238" s="32" t="e">
        <f>C238*VLOOKUP($A238,'Selector Sheet '!$B$13:$D$43,2,FALSE)</f>
        <v>#N/A</v>
      </c>
    </row>
    <row r="239" spans="1:7">
      <c r="A239" s="31" t="s">
        <v>1948</v>
      </c>
      <c r="B239" t="s">
        <v>1832</v>
      </c>
      <c r="C239" s="82">
        <v>0.0315</v>
      </c>
      <c r="D239" s="32" t="e">
        <f>C239*VLOOKUP($A239,'Selector Sheet '!$B$13:$D$43,2,FALSE)</f>
        <v>#N/A</v>
      </c>
      <c r="F239" s="32">
        <f t="shared" si="6"/>
        <v>0</v>
      </c>
      <c r="G239" s="32" t="e">
        <f>C239*VLOOKUP($A239,'Selector Sheet '!$B$13:$D$43,2,FALSE)</f>
        <v>#N/A</v>
      </c>
    </row>
    <row r="240" spans="1:7">
      <c r="A240" s="31" t="s">
        <v>1948</v>
      </c>
      <c r="B240" t="s">
        <v>1831</v>
      </c>
      <c r="C240" s="82">
        <v>0.0296</v>
      </c>
      <c r="D240" s="32" t="e">
        <f>C240*VLOOKUP($A240,'Selector Sheet '!$B$13:$D$43,2,FALSE)</f>
        <v>#N/A</v>
      </c>
      <c r="F240" s="32">
        <f t="shared" si="6"/>
        <v>0</v>
      </c>
      <c r="G240" s="32" t="e">
        <f>C240*VLOOKUP($A240,'Selector Sheet '!$B$13:$D$43,2,FALSE)</f>
        <v>#N/A</v>
      </c>
    </row>
    <row r="241" spans="1:7">
      <c r="A241" s="31" t="s">
        <v>1948</v>
      </c>
      <c r="B241" t="s">
        <v>1987</v>
      </c>
      <c r="C241" s="82">
        <v>0.0289</v>
      </c>
      <c r="D241" s="32" t="e">
        <f>C241*VLOOKUP($A241,'Selector Sheet '!$B$13:$D$43,2,FALSE)</f>
        <v>#N/A</v>
      </c>
      <c r="F241" s="32">
        <f t="shared" si="6"/>
        <v>0</v>
      </c>
      <c r="G241" s="32" t="e">
        <f>C241*VLOOKUP($A241,'Selector Sheet '!$B$13:$D$43,2,FALSE)</f>
        <v>#N/A</v>
      </c>
    </row>
    <row r="242" spans="1:7">
      <c r="A242" s="31" t="s">
        <v>1948</v>
      </c>
      <c r="B242" t="s">
        <v>1986</v>
      </c>
      <c r="C242" s="82">
        <v>0.0289</v>
      </c>
      <c r="D242" s="32" t="e">
        <f>C242*VLOOKUP($A242,'Selector Sheet '!$B$13:$D$43,2,FALSE)</f>
        <v>#N/A</v>
      </c>
      <c r="F242" s="32">
        <f t="shared" si="6"/>
        <v>0</v>
      </c>
      <c r="G242" s="32" t="e">
        <f>C242*VLOOKUP($A242,'Selector Sheet '!$B$13:$D$43,2,FALSE)</f>
        <v>#N/A</v>
      </c>
    </row>
    <row r="243" spans="1:7">
      <c r="A243" s="31" t="s">
        <v>1948</v>
      </c>
      <c r="B243" t="s">
        <v>1827</v>
      </c>
      <c r="C243" s="82">
        <v>0.0178</v>
      </c>
      <c r="D243" s="32" t="e">
        <f>C243*VLOOKUP($A243,'Selector Sheet '!$B$13:$D$43,2,FALSE)</f>
        <v>#N/A</v>
      </c>
      <c r="F243" s="32">
        <f t="shared" si="6"/>
        <v>0</v>
      </c>
      <c r="G243" s="32" t="e">
        <f>C243*VLOOKUP($A243,'Selector Sheet '!$B$13:$D$43,2,FALSE)</f>
        <v>#N/A</v>
      </c>
    </row>
    <row r="244" spans="1:7">
      <c r="A244" s="31" t="s">
        <v>1948</v>
      </c>
      <c r="B244" t="s">
        <v>1990</v>
      </c>
      <c r="C244" s="82">
        <v>0.0126</v>
      </c>
      <c r="D244" s="32" t="e">
        <f>C244*VLOOKUP($A244,'Selector Sheet '!$B$13:$D$43,2,FALSE)</f>
        <v>#N/A</v>
      </c>
      <c r="F244" s="32">
        <f t="shared" si="6"/>
        <v>0</v>
      </c>
      <c r="G244" s="32" t="e">
        <f>C244*VLOOKUP($A244,'Selector Sheet '!$B$13:$D$43,2,FALSE)</f>
        <v>#N/A</v>
      </c>
    </row>
    <row r="245" spans="1:7">
      <c r="A245" s="31" t="s">
        <v>1948</v>
      </c>
      <c r="B245" t="s">
        <v>1988</v>
      </c>
      <c r="C245" s="82">
        <v>0.0125</v>
      </c>
      <c r="D245" s="32" t="e">
        <f>C245*VLOOKUP($A245,'Selector Sheet '!$B$13:$D$43,2,FALSE)</f>
        <v>#N/A</v>
      </c>
      <c r="F245" s="32">
        <f t="shared" si="6"/>
        <v>0</v>
      </c>
      <c r="G245" s="32" t="e">
        <f>C245*VLOOKUP($A245,'Selector Sheet '!$B$13:$D$43,2,FALSE)</f>
        <v>#N/A</v>
      </c>
    </row>
    <row r="246" spans="1:7">
      <c r="A246" s="31" t="s">
        <v>1948</v>
      </c>
      <c r="B246" t="s">
        <v>1918</v>
      </c>
      <c r="C246" s="82">
        <v>0.0124</v>
      </c>
      <c r="D246" s="32" t="e">
        <f>C246*VLOOKUP($A246,'Selector Sheet '!$B$13:$D$43,2,FALSE)</f>
        <v>#N/A</v>
      </c>
      <c r="F246" s="32">
        <f t="shared" si="6"/>
        <v>0</v>
      </c>
      <c r="G246" s="32" t="e">
        <f>C246*VLOOKUP($A246,'Selector Sheet '!$B$13:$D$43,2,FALSE)</f>
        <v>#N/A</v>
      </c>
    </row>
    <row r="247" spans="1:7">
      <c r="A247" s="31" t="s">
        <v>1948</v>
      </c>
      <c r="B247" t="s">
        <v>1991</v>
      </c>
      <c r="C247" s="82">
        <v>0.0114</v>
      </c>
      <c r="D247" s="32" t="e">
        <f>C247*VLOOKUP($A247,'Selector Sheet '!$B$13:$D$43,2,FALSE)</f>
        <v>#N/A</v>
      </c>
      <c r="F247" s="32">
        <f t="shared" si="6"/>
        <v>0</v>
      </c>
      <c r="G247" s="32" t="e">
        <f>C247*VLOOKUP($A247,'Selector Sheet '!$B$13:$D$43,2,FALSE)</f>
        <v>#N/A</v>
      </c>
    </row>
    <row r="248" spans="1:7">
      <c r="A248" s="31" t="s">
        <v>1948</v>
      </c>
      <c r="B248" t="s">
        <v>1826</v>
      </c>
      <c r="C248" s="82">
        <v>0.0088</v>
      </c>
      <c r="D248" s="32" t="e">
        <f>C248*VLOOKUP($A248,'Selector Sheet '!$B$13:$D$43,2,FALSE)</f>
        <v>#N/A</v>
      </c>
      <c r="F248" s="32">
        <f t="shared" si="6"/>
        <v>0</v>
      </c>
      <c r="G248" s="32" t="e">
        <f>C248*VLOOKUP($A248,'Selector Sheet '!$B$13:$D$43,2,FALSE)</f>
        <v>#N/A</v>
      </c>
    </row>
    <row r="249" spans="1:7">
      <c r="A249" s="31" t="s">
        <v>1948</v>
      </c>
      <c r="B249" t="s">
        <v>1993</v>
      </c>
      <c r="C249" s="82">
        <v>0.0081</v>
      </c>
      <c r="D249" s="32" t="e">
        <f>C249*VLOOKUP($A249,'Selector Sheet '!$B$13:$D$43,2,FALSE)</f>
        <v>#N/A</v>
      </c>
      <c r="F249" s="32">
        <f t="shared" si="6"/>
        <v>0</v>
      </c>
      <c r="G249" s="32" t="e">
        <f>C249*VLOOKUP($A249,'Selector Sheet '!$B$13:$D$43,2,FALSE)</f>
        <v>#N/A</v>
      </c>
    </row>
    <row r="250" spans="1:7">
      <c r="A250" s="31" t="s">
        <v>1948</v>
      </c>
      <c r="B250" t="s">
        <v>1992</v>
      </c>
      <c r="C250" s="82">
        <v>0.0078</v>
      </c>
      <c r="D250" s="32" t="e">
        <f>C250*VLOOKUP($A250,'Selector Sheet '!$B$13:$D$43,2,FALSE)</f>
        <v>#N/A</v>
      </c>
      <c r="F250" s="32">
        <f t="shared" si="6"/>
        <v>0</v>
      </c>
      <c r="G250" s="32" t="e">
        <f>C250*VLOOKUP($A250,'Selector Sheet '!$B$13:$D$43,2,FALSE)</f>
        <v>#N/A</v>
      </c>
    </row>
    <row r="251" spans="1:7">
      <c r="A251" s="31" t="s">
        <v>1948</v>
      </c>
      <c r="B251" t="s">
        <v>1913</v>
      </c>
      <c r="C251" s="82">
        <v>0.0045</v>
      </c>
      <c r="D251" s="32" t="e">
        <f>C251*VLOOKUP($A251,'Selector Sheet '!$B$13:$D$43,2,FALSE)</f>
        <v>#N/A</v>
      </c>
      <c r="F251" s="32">
        <f t="shared" si="6"/>
        <v>0</v>
      </c>
      <c r="G251" s="32" t="e">
        <f>C251*VLOOKUP($A251,'Selector Sheet '!$B$13:$D$43,2,FALSE)</f>
        <v>#N/A</v>
      </c>
    </row>
    <row r="252" spans="1:7">
      <c r="A252" s="31" t="s">
        <v>1948</v>
      </c>
      <c r="B252" t="s">
        <v>2074</v>
      </c>
      <c r="C252" s="82">
        <v>0.0033</v>
      </c>
      <c r="D252" s="32" t="e">
        <f>C252*VLOOKUP($A252,'Selector Sheet '!$B$13:$D$43,2,FALSE)</f>
        <v>#N/A</v>
      </c>
      <c r="F252" s="32">
        <f t="shared" si="6"/>
        <v>0</v>
      </c>
      <c r="G252" s="32" t="e">
        <f>C252*VLOOKUP($A252,'Selector Sheet '!$B$13:$D$43,2,FALSE)</f>
        <v>#N/A</v>
      </c>
    </row>
    <row r="253" spans="1:7">
      <c r="A253" s="83" t="s">
        <v>52</v>
      </c>
      <c r="B253" s="37" t="s">
        <v>2075</v>
      </c>
      <c r="C253" s="38">
        <v>0.01</v>
      </c>
      <c r="D253" s="32">
        <f>C253*VLOOKUP($A253,'Selector Sheet '!$B$13:$D$43,2,FALSE)</f>
        <v>0</v>
      </c>
      <c r="F253" s="32">
        <f t="shared" si="6"/>
        <v>0</v>
      </c>
      <c r="G253" s="32">
        <f>C253*VLOOKUP($A253,'Selector Sheet '!$B$13:$D$43,2,FALSE)</f>
        <v>0</v>
      </c>
    </row>
    <row r="254" spans="1:7">
      <c r="A254" s="83" t="s">
        <v>52</v>
      </c>
      <c r="B254" s="37" t="s">
        <v>2063</v>
      </c>
      <c r="C254" s="38">
        <v>0.02</v>
      </c>
      <c r="D254" s="32">
        <f>C254*VLOOKUP($A254,'Selector Sheet '!$B$13:$D$43,2,FALSE)</f>
        <v>0</v>
      </c>
      <c r="F254" s="32">
        <f t="shared" si="6"/>
        <v>0</v>
      </c>
      <c r="G254" s="32">
        <f>C254*VLOOKUP($A254,'Selector Sheet '!$B$13:$D$43,2,FALSE)</f>
        <v>0</v>
      </c>
    </row>
    <row r="255" spans="1:7">
      <c r="A255" s="83" t="s">
        <v>52</v>
      </c>
      <c r="B255" s="37" t="s">
        <v>2076</v>
      </c>
      <c r="C255" s="38">
        <v>0.005</v>
      </c>
      <c r="D255" s="32">
        <f>C255*VLOOKUP($A255,'Selector Sheet '!$B$13:$D$43,2,FALSE)</f>
        <v>0</v>
      </c>
      <c r="F255" s="32">
        <f t="shared" si="6"/>
        <v>0</v>
      </c>
      <c r="G255" s="32">
        <f>C255*VLOOKUP($A255,'Selector Sheet '!$B$13:$D$43,2,FALSE)</f>
        <v>0</v>
      </c>
    </row>
    <row r="256" spans="1:7">
      <c r="A256" s="83" t="s">
        <v>52</v>
      </c>
      <c r="B256" s="37" t="s">
        <v>2077</v>
      </c>
      <c r="C256" s="38">
        <v>0.015</v>
      </c>
      <c r="D256" s="32">
        <f>C256*VLOOKUP($A256,'Selector Sheet '!$B$13:$D$43,2,FALSE)</f>
        <v>0</v>
      </c>
      <c r="F256" s="32">
        <f t="shared" si="6"/>
        <v>0</v>
      </c>
      <c r="G256" s="32">
        <f>C256*VLOOKUP($A256,'Selector Sheet '!$B$13:$D$43,2,FALSE)</f>
        <v>0</v>
      </c>
    </row>
    <row r="257" spans="1:7">
      <c r="A257" s="83" t="s">
        <v>52</v>
      </c>
      <c r="B257" s="37" t="s">
        <v>2078</v>
      </c>
      <c r="C257" s="38">
        <v>0.019</v>
      </c>
      <c r="D257" s="32">
        <f>C257*VLOOKUP($A257,'Selector Sheet '!$B$13:$D$43,2,FALSE)</f>
        <v>0</v>
      </c>
      <c r="F257" s="32">
        <f t="shared" si="6"/>
        <v>0</v>
      </c>
      <c r="G257" s="32">
        <f>C257*VLOOKUP($A257,'Selector Sheet '!$B$13:$D$43,2,FALSE)</f>
        <v>0</v>
      </c>
    </row>
    <row r="258" spans="1:7">
      <c r="A258" s="83" t="s">
        <v>52</v>
      </c>
      <c r="B258" s="37" t="s">
        <v>2025</v>
      </c>
      <c r="C258" s="38">
        <v>0.012</v>
      </c>
      <c r="D258" s="32">
        <f>C258*VLOOKUP($A258,'Selector Sheet '!$B$13:$D$43,2,FALSE)</f>
        <v>0</v>
      </c>
      <c r="F258" s="32">
        <f t="shared" si="6"/>
        <v>0</v>
      </c>
      <c r="G258" s="32">
        <f>C258*VLOOKUP($A258,'Selector Sheet '!$B$13:$D$43,2,FALSE)</f>
        <v>0</v>
      </c>
    </row>
    <row r="259" spans="1:7">
      <c r="A259" s="83" t="s">
        <v>52</v>
      </c>
      <c r="B259" s="37" t="s">
        <v>1879</v>
      </c>
      <c r="C259" s="38">
        <v>0.015</v>
      </c>
      <c r="D259" s="32">
        <f>C259*VLOOKUP($A259,'Selector Sheet '!$B$13:$D$43,2,FALSE)</f>
        <v>0</v>
      </c>
      <c r="F259" s="32">
        <f t="shared" ref="F259:F290" si="7">SUMIF($B$2:$B$305,E259,$D$2:$D$305)</f>
        <v>0</v>
      </c>
      <c r="G259" s="32">
        <f>C259*VLOOKUP($A259,'Selector Sheet '!$B$13:$D$43,2,FALSE)</f>
        <v>0</v>
      </c>
    </row>
    <row r="260" spans="1:7">
      <c r="A260" s="83" t="s">
        <v>52</v>
      </c>
      <c r="B260" s="37" t="s">
        <v>1855</v>
      </c>
      <c r="C260" s="38">
        <v>0.019</v>
      </c>
      <c r="D260" s="32">
        <f>C260*VLOOKUP($A260,'Selector Sheet '!$B$13:$D$43,2,FALSE)</f>
        <v>0</v>
      </c>
      <c r="F260" s="32">
        <f t="shared" si="7"/>
        <v>0</v>
      </c>
      <c r="G260" s="32">
        <f>C260*VLOOKUP($A260,'Selector Sheet '!$B$13:$D$43,2,FALSE)</f>
        <v>0</v>
      </c>
    </row>
    <row r="261" spans="1:7">
      <c r="A261" s="83" t="s">
        <v>52</v>
      </c>
      <c r="B261" s="37" t="s">
        <v>2079</v>
      </c>
      <c r="C261" s="38">
        <v>0.021</v>
      </c>
      <c r="D261" s="32">
        <f>C261*VLOOKUP($A261,'Selector Sheet '!$B$13:$D$43,2,FALSE)</f>
        <v>0</v>
      </c>
      <c r="F261" s="32">
        <f t="shared" si="7"/>
        <v>0</v>
      </c>
      <c r="G261" s="32">
        <f>C261*VLOOKUP($A261,'Selector Sheet '!$B$13:$D$43,2,FALSE)</f>
        <v>0</v>
      </c>
    </row>
    <row r="262" spans="1:7">
      <c r="A262" s="83" t="s">
        <v>52</v>
      </c>
      <c r="B262" s="37" t="s">
        <v>2027</v>
      </c>
      <c r="C262" s="38">
        <v>0.025</v>
      </c>
      <c r="D262" s="32">
        <f>C262*VLOOKUP($A262,'Selector Sheet '!$B$13:$D$43,2,FALSE)</f>
        <v>0</v>
      </c>
      <c r="F262" s="32">
        <f t="shared" si="7"/>
        <v>0</v>
      </c>
      <c r="G262" s="32">
        <f>C262*VLOOKUP($A262,'Selector Sheet '!$B$13:$D$43,2,FALSE)</f>
        <v>0</v>
      </c>
    </row>
    <row r="263" spans="1:7">
      <c r="A263" s="83" t="s">
        <v>52</v>
      </c>
      <c r="B263" s="37" t="s">
        <v>1844</v>
      </c>
      <c r="C263" s="38">
        <v>0.027</v>
      </c>
      <c r="D263" s="32">
        <f>C263*VLOOKUP($A263,'Selector Sheet '!$B$13:$D$43,2,FALSE)</f>
        <v>0</v>
      </c>
      <c r="F263" s="32">
        <f t="shared" si="7"/>
        <v>0</v>
      </c>
      <c r="G263" s="32">
        <f>C263*VLOOKUP($A263,'Selector Sheet '!$B$13:$D$43,2,FALSE)</f>
        <v>0</v>
      </c>
    </row>
    <row r="264" spans="1:7">
      <c r="A264" s="83" t="s">
        <v>52</v>
      </c>
      <c r="B264" s="37" t="s">
        <v>2080</v>
      </c>
      <c r="C264" s="38">
        <v>0.027</v>
      </c>
      <c r="D264" s="32">
        <f>C264*VLOOKUP($A264,'Selector Sheet '!$B$13:$D$43,2,FALSE)</f>
        <v>0</v>
      </c>
      <c r="F264" s="32">
        <f t="shared" si="7"/>
        <v>0</v>
      </c>
      <c r="G264" s="32">
        <f>C264*VLOOKUP($A264,'Selector Sheet '!$B$13:$D$43,2,FALSE)</f>
        <v>0</v>
      </c>
    </row>
    <row r="265" spans="1:7">
      <c r="A265" s="83" t="s">
        <v>52</v>
      </c>
      <c r="B265" s="37" t="s">
        <v>2081</v>
      </c>
      <c r="C265" s="38">
        <v>0.032</v>
      </c>
      <c r="D265" s="32">
        <f>C265*VLOOKUP($A265,'Selector Sheet '!$B$13:$D$43,2,FALSE)</f>
        <v>0</v>
      </c>
      <c r="F265" s="32">
        <f t="shared" si="7"/>
        <v>0</v>
      </c>
      <c r="G265" s="32">
        <f>C265*VLOOKUP($A265,'Selector Sheet '!$B$13:$D$43,2,FALSE)</f>
        <v>0</v>
      </c>
    </row>
    <row r="266" spans="1:7">
      <c r="A266" s="83" t="s">
        <v>52</v>
      </c>
      <c r="B266" s="37" t="s">
        <v>2082</v>
      </c>
      <c r="C266" s="38">
        <v>0.058</v>
      </c>
      <c r="D266" s="32">
        <f>C266*VLOOKUP($A266,'Selector Sheet '!$B$13:$D$43,2,FALSE)</f>
        <v>0</v>
      </c>
      <c r="F266" s="32">
        <f t="shared" si="7"/>
        <v>0</v>
      </c>
      <c r="G266" s="32">
        <f>C266*VLOOKUP($A266,'Selector Sheet '!$B$13:$D$43,2,FALSE)</f>
        <v>0</v>
      </c>
    </row>
    <row r="267" spans="1:7">
      <c r="A267" s="83" t="s">
        <v>52</v>
      </c>
      <c r="B267" s="37" t="s">
        <v>2083</v>
      </c>
      <c r="C267" s="38">
        <v>0.068</v>
      </c>
      <c r="D267" s="32">
        <f>C267*VLOOKUP($A267,'Selector Sheet '!$B$13:$D$43,2,FALSE)</f>
        <v>0</v>
      </c>
      <c r="F267" s="32">
        <f t="shared" si="7"/>
        <v>0</v>
      </c>
      <c r="G267" s="32">
        <f>C267*VLOOKUP($A267,'Selector Sheet '!$B$13:$D$43,2,FALSE)</f>
        <v>0</v>
      </c>
    </row>
    <row r="268" spans="1:7">
      <c r="A268" s="83" t="s">
        <v>52</v>
      </c>
      <c r="B268" s="37" t="s">
        <v>2084</v>
      </c>
      <c r="C268" s="38">
        <v>0.012</v>
      </c>
      <c r="D268" s="32">
        <f>C268*VLOOKUP($A268,'Selector Sheet '!$B$13:$D$43,2,FALSE)</f>
        <v>0</v>
      </c>
      <c r="F268" s="32">
        <f t="shared" si="7"/>
        <v>0</v>
      </c>
      <c r="G268" s="32">
        <f>C268*VLOOKUP($A268,'Selector Sheet '!$B$13:$D$43,2,FALSE)</f>
        <v>0</v>
      </c>
    </row>
    <row r="269" spans="1:7">
      <c r="A269" s="83" t="s">
        <v>52</v>
      </c>
      <c r="B269" s="37" t="s">
        <v>1592</v>
      </c>
      <c r="C269" s="38">
        <v>0.015</v>
      </c>
      <c r="D269" s="32">
        <f>C269*VLOOKUP($A269,'Selector Sheet '!$B$13:$D$43,2,FALSE)</f>
        <v>0</v>
      </c>
      <c r="F269" s="32">
        <f t="shared" si="7"/>
        <v>0</v>
      </c>
      <c r="G269" s="32">
        <f>C269*VLOOKUP($A269,'Selector Sheet '!$B$13:$D$43,2,FALSE)</f>
        <v>0</v>
      </c>
    </row>
    <row r="270" spans="1:7">
      <c r="A270" s="83" t="s">
        <v>52</v>
      </c>
      <c r="B270" s="37" t="s">
        <v>2085</v>
      </c>
      <c r="C270" s="38">
        <v>0.019</v>
      </c>
      <c r="D270" s="32">
        <f>C270*VLOOKUP($A270,'Selector Sheet '!$B$13:$D$43,2,FALSE)</f>
        <v>0</v>
      </c>
      <c r="F270" s="32">
        <f t="shared" si="7"/>
        <v>0</v>
      </c>
      <c r="G270" s="32">
        <f>C270*VLOOKUP($A270,'Selector Sheet '!$B$13:$D$43,2,FALSE)</f>
        <v>0</v>
      </c>
    </row>
    <row r="271" spans="1:7">
      <c r="A271" s="83" t="s">
        <v>52</v>
      </c>
      <c r="B271" s="37" t="s">
        <v>2086</v>
      </c>
      <c r="C271" s="38">
        <v>0.009</v>
      </c>
      <c r="D271" s="32">
        <f>C271*VLOOKUP($A271,'Selector Sheet '!$B$13:$D$43,2,FALSE)</f>
        <v>0</v>
      </c>
      <c r="F271" s="32">
        <f t="shared" si="7"/>
        <v>0</v>
      </c>
      <c r="G271" s="32">
        <f>C271*VLOOKUP($A271,'Selector Sheet '!$B$13:$D$43,2,FALSE)</f>
        <v>0</v>
      </c>
    </row>
    <row r="272" spans="1:7">
      <c r="A272" s="83" t="s">
        <v>52</v>
      </c>
      <c r="B272" s="37" t="s">
        <v>2070</v>
      </c>
      <c r="C272" s="38">
        <v>0.013</v>
      </c>
      <c r="D272" s="32">
        <f>C272*VLOOKUP($A272,'Selector Sheet '!$B$13:$D$43,2,FALSE)</f>
        <v>0</v>
      </c>
      <c r="F272" s="32">
        <f t="shared" si="7"/>
        <v>0</v>
      </c>
      <c r="G272" s="32">
        <f>C272*VLOOKUP($A272,'Selector Sheet '!$B$13:$D$43,2,FALSE)</f>
        <v>0</v>
      </c>
    </row>
    <row r="273" spans="1:7">
      <c r="A273" s="83" t="s">
        <v>52</v>
      </c>
      <c r="B273" s="37" t="s">
        <v>2087</v>
      </c>
      <c r="C273" s="38">
        <v>0.016</v>
      </c>
      <c r="D273" s="32">
        <f>C273*VLOOKUP($A273,'Selector Sheet '!$B$13:$D$43,2,FALSE)</f>
        <v>0</v>
      </c>
      <c r="F273" s="32">
        <f t="shared" si="7"/>
        <v>0</v>
      </c>
      <c r="G273" s="32">
        <f>C273*VLOOKUP($A273,'Selector Sheet '!$B$13:$D$43,2,FALSE)</f>
        <v>0</v>
      </c>
    </row>
    <row r="274" spans="1:7">
      <c r="A274" s="83" t="s">
        <v>52</v>
      </c>
      <c r="B274" s="37" t="s">
        <v>1965</v>
      </c>
      <c r="C274" s="38">
        <v>0.016</v>
      </c>
      <c r="D274" s="32">
        <f>C274*VLOOKUP($A274,'Selector Sheet '!$B$13:$D$43,2,FALSE)</f>
        <v>0</v>
      </c>
      <c r="F274" s="32">
        <f t="shared" si="7"/>
        <v>0</v>
      </c>
      <c r="G274" s="32">
        <f>C274*VLOOKUP($A274,'Selector Sheet '!$B$13:$D$43,2,FALSE)</f>
        <v>0</v>
      </c>
    </row>
    <row r="275" spans="1:7">
      <c r="A275" s="83" t="s">
        <v>52</v>
      </c>
      <c r="B275" s="37" t="s">
        <v>1860</v>
      </c>
      <c r="C275" s="38">
        <v>0.032</v>
      </c>
      <c r="D275" s="32">
        <f>C275*VLOOKUP($A275,'Selector Sheet '!$B$13:$D$43,2,FALSE)</f>
        <v>0</v>
      </c>
      <c r="F275" s="32">
        <f t="shared" si="7"/>
        <v>0</v>
      </c>
      <c r="G275" s="32">
        <f>C275*VLOOKUP($A275,'Selector Sheet '!$B$13:$D$43,2,FALSE)</f>
        <v>0</v>
      </c>
    </row>
    <row r="276" spans="1:7">
      <c r="A276" s="83" t="s">
        <v>52</v>
      </c>
      <c r="B276" s="37" t="s">
        <v>2088</v>
      </c>
      <c r="C276" s="38">
        <v>0.012</v>
      </c>
      <c r="D276" s="32">
        <f>C276*VLOOKUP($A276,'Selector Sheet '!$B$13:$D$43,2,FALSE)</f>
        <v>0</v>
      </c>
      <c r="F276" s="32">
        <f t="shared" si="7"/>
        <v>0</v>
      </c>
      <c r="G276" s="32">
        <f>C276*VLOOKUP($A276,'Selector Sheet '!$B$13:$D$43,2,FALSE)</f>
        <v>0</v>
      </c>
    </row>
    <row r="277" spans="1:7">
      <c r="A277" s="83" t="s">
        <v>52</v>
      </c>
      <c r="B277" s="37" t="s">
        <v>2089</v>
      </c>
      <c r="C277" s="38">
        <v>0.019</v>
      </c>
      <c r="D277" s="32">
        <f>C277*VLOOKUP($A277,'Selector Sheet '!$B$13:$D$43,2,FALSE)</f>
        <v>0</v>
      </c>
      <c r="F277" s="32">
        <f t="shared" si="7"/>
        <v>0</v>
      </c>
      <c r="G277" s="32">
        <f>C277*VLOOKUP($A277,'Selector Sheet '!$B$13:$D$43,2,FALSE)</f>
        <v>0</v>
      </c>
    </row>
    <row r="278" spans="1:7">
      <c r="A278" s="83" t="s">
        <v>52</v>
      </c>
      <c r="B278" s="37" t="s">
        <v>2090</v>
      </c>
      <c r="C278" s="38">
        <v>0.019</v>
      </c>
      <c r="D278" s="32">
        <f>C278*VLOOKUP($A278,'Selector Sheet '!$B$13:$D$43,2,FALSE)</f>
        <v>0</v>
      </c>
      <c r="F278" s="32">
        <f t="shared" si="7"/>
        <v>0</v>
      </c>
      <c r="G278" s="32">
        <f>C278*VLOOKUP($A278,'Selector Sheet '!$B$13:$D$43,2,FALSE)</f>
        <v>0</v>
      </c>
    </row>
    <row r="279" spans="1:7">
      <c r="A279" s="83" t="s">
        <v>52</v>
      </c>
      <c r="B279" s="37" t="s">
        <v>2091</v>
      </c>
      <c r="C279" s="38">
        <v>0.023</v>
      </c>
      <c r="D279" s="32">
        <f>C279*VLOOKUP($A279,'Selector Sheet '!$B$13:$D$43,2,FALSE)</f>
        <v>0</v>
      </c>
      <c r="F279" s="32">
        <f t="shared" si="7"/>
        <v>0</v>
      </c>
      <c r="G279" s="32">
        <f>C279*VLOOKUP($A279,'Selector Sheet '!$B$13:$D$43,2,FALSE)</f>
        <v>0</v>
      </c>
    </row>
    <row r="280" spans="1:7">
      <c r="A280" s="83" t="s">
        <v>52</v>
      </c>
      <c r="B280" s="37" t="s">
        <v>2019</v>
      </c>
      <c r="C280" s="38">
        <v>0.023</v>
      </c>
      <c r="D280" s="32">
        <f>C280*VLOOKUP($A280,'Selector Sheet '!$B$13:$D$43,2,FALSE)</f>
        <v>0</v>
      </c>
      <c r="F280" s="32">
        <f t="shared" si="7"/>
        <v>0</v>
      </c>
      <c r="G280" s="32">
        <f>C280*VLOOKUP($A280,'Selector Sheet '!$B$13:$D$43,2,FALSE)</f>
        <v>0</v>
      </c>
    </row>
    <row r="281" spans="1:7">
      <c r="A281" s="83" t="s">
        <v>52</v>
      </c>
      <c r="B281" s="37" t="s">
        <v>2092</v>
      </c>
      <c r="C281" s="38">
        <v>0.021</v>
      </c>
      <c r="D281" s="32">
        <f>C281*VLOOKUP($A281,'Selector Sheet '!$B$13:$D$43,2,FALSE)</f>
        <v>0</v>
      </c>
      <c r="F281" s="32">
        <f t="shared" si="7"/>
        <v>0</v>
      </c>
      <c r="G281" s="32">
        <f>C281*VLOOKUP($A281,'Selector Sheet '!$B$13:$D$43,2,FALSE)</f>
        <v>0</v>
      </c>
    </row>
    <row r="282" spans="1:7">
      <c r="A282" s="83" t="s">
        <v>52</v>
      </c>
      <c r="B282" s="37" t="s">
        <v>1966</v>
      </c>
      <c r="C282" s="38">
        <v>0.009</v>
      </c>
      <c r="D282" s="32">
        <f>C282*VLOOKUP($A282,'Selector Sheet '!$B$13:$D$43,2,FALSE)</f>
        <v>0</v>
      </c>
      <c r="F282" s="32">
        <f t="shared" si="7"/>
        <v>0</v>
      </c>
      <c r="G282" s="32">
        <f>C282*VLOOKUP($A282,'Selector Sheet '!$B$13:$D$43,2,FALSE)</f>
        <v>0</v>
      </c>
    </row>
    <row r="283" spans="1:7">
      <c r="A283" s="83" t="s">
        <v>52</v>
      </c>
      <c r="B283" s="37" t="s">
        <v>1900</v>
      </c>
      <c r="C283" s="38">
        <v>0.015</v>
      </c>
      <c r="D283" s="32">
        <f>C283*VLOOKUP($A283,'Selector Sheet '!$B$13:$D$43,2,FALSE)</f>
        <v>0</v>
      </c>
      <c r="F283" s="32">
        <f t="shared" si="7"/>
        <v>0</v>
      </c>
      <c r="G283" s="32">
        <f>C283*VLOOKUP($A283,'Selector Sheet '!$B$13:$D$43,2,FALSE)</f>
        <v>0</v>
      </c>
    </row>
    <row r="284" spans="1:7">
      <c r="A284" s="83" t="s">
        <v>52</v>
      </c>
      <c r="B284" s="37" t="s">
        <v>1994</v>
      </c>
      <c r="C284" s="38">
        <v>0.016</v>
      </c>
      <c r="D284" s="32">
        <f>C284*VLOOKUP($A284,'Selector Sheet '!$B$13:$D$43,2,FALSE)</f>
        <v>0</v>
      </c>
      <c r="F284" s="32">
        <f t="shared" si="7"/>
        <v>0</v>
      </c>
      <c r="G284" s="32">
        <f>C284*VLOOKUP($A284,'Selector Sheet '!$B$13:$D$43,2,FALSE)</f>
        <v>0</v>
      </c>
    </row>
    <row r="285" spans="1:7">
      <c r="A285" s="83" t="s">
        <v>52</v>
      </c>
      <c r="B285" s="37" t="s">
        <v>2093</v>
      </c>
      <c r="C285" s="38">
        <v>0.018</v>
      </c>
      <c r="D285" s="32">
        <f>C285*VLOOKUP($A285,'Selector Sheet '!$B$13:$D$43,2,FALSE)</f>
        <v>0</v>
      </c>
      <c r="F285" s="32">
        <f t="shared" si="7"/>
        <v>0</v>
      </c>
      <c r="G285" s="32">
        <f>C285*VLOOKUP($A285,'Selector Sheet '!$B$13:$D$43,2,FALSE)</f>
        <v>0</v>
      </c>
    </row>
    <row r="286" spans="1:7">
      <c r="A286" s="83" t="s">
        <v>52</v>
      </c>
      <c r="B286" s="37" t="s">
        <v>1908</v>
      </c>
      <c r="C286" s="38">
        <v>0.022</v>
      </c>
      <c r="D286" s="32">
        <f>C286*VLOOKUP($A286,'Selector Sheet '!$B$13:$D$43,2,FALSE)</f>
        <v>0</v>
      </c>
      <c r="F286" s="32">
        <f t="shared" si="7"/>
        <v>0</v>
      </c>
      <c r="G286" s="32">
        <f>C286*VLOOKUP($A286,'Selector Sheet '!$B$13:$D$43,2,FALSE)</f>
        <v>0</v>
      </c>
    </row>
    <row r="287" spans="1:7">
      <c r="A287" s="83" t="s">
        <v>52</v>
      </c>
      <c r="B287" s="37" t="s">
        <v>2094</v>
      </c>
      <c r="C287" s="38">
        <v>0.027</v>
      </c>
      <c r="D287" s="32">
        <f>C287*VLOOKUP($A287,'Selector Sheet '!$B$13:$D$43,2,FALSE)</f>
        <v>0</v>
      </c>
      <c r="F287" s="32">
        <f t="shared" si="7"/>
        <v>0</v>
      </c>
      <c r="G287" s="32">
        <f>C287*VLOOKUP($A287,'Selector Sheet '!$B$13:$D$43,2,FALSE)</f>
        <v>0</v>
      </c>
    </row>
    <row r="288" spans="1:7">
      <c r="A288" s="83" t="s">
        <v>52</v>
      </c>
      <c r="B288" s="37" t="s">
        <v>2095</v>
      </c>
      <c r="C288" s="38">
        <v>0.009</v>
      </c>
      <c r="D288" s="32">
        <f>C288*VLOOKUP($A288,'Selector Sheet '!$B$13:$D$43,2,FALSE)</f>
        <v>0</v>
      </c>
      <c r="F288" s="32">
        <f t="shared" si="7"/>
        <v>0</v>
      </c>
      <c r="G288" s="32">
        <f>C288*VLOOKUP($A288,'Selector Sheet '!$B$13:$D$43,2,FALSE)</f>
        <v>0</v>
      </c>
    </row>
    <row r="289" spans="1:7">
      <c r="A289" s="83" t="s">
        <v>52</v>
      </c>
      <c r="B289" s="37" t="s">
        <v>2096</v>
      </c>
      <c r="C289" s="38">
        <v>0.019</v>
      </c>
      <c r="D289" s="32">
        <f>C289*VLOOKUP($A289,'Selector Sheet '!$B$13:$D$43,2,FALSE)</f>
        <v>0</v>
      </c>
      <c r="F289" s="32">
        <f t="shared" si="7"/>
        <v>0</v>
      </c>
      <c r="G289" s="32">
        <f>C289*VLOOKUP($A289,'Selector Sheet '!$B$13:$D$43,2,FALSE)</f>
        <v>0</v>
      </c>
    </row>
    <row r="290" spans="1:7">
      <c r="A290" s="83" t="s">
        <v>52</v>
      </c>
      <c r="B290" s="37" t="s">
        <v>1847</v>
      </c>
      <c r="C290" s="38">
        <v>0.018</v>
      </c>
      <c r="D290" s="32">
        <f>C290*VLOOKUP($A290,'Selector Sheet '!$B$13:$D$43,2,FALSE)</f>
        <v>0</v>
      </c>
      <c r="F290" s="32">
        <f t="shared" si="7"/>
        <v>0</v>
      </c>
      <c r="G290" s="32">
        <f>C290*VLOOKUP($A290,'Selector Sheet '!$B$13:$D$43,2,FALSE)</f>
        <v>0</v>
      </c>
    </row>
    <row r="291" spans="1:7">
      <c r="A291" s="83" t="s">
        <v>52</v>
      </c>
      <c r="B291" s="37" t="s">
        <v>1827</v>
      </c>
      <c r="C291" s="38">
        <v>0.03</v>
      </c>
      <c r="D291" s="32">
        <f>C291*VLOOKUP($A291,'Selector Sheet '!$B$13:$D$43,2,FALSE)</f>
        <v>0</v>
      </c>
      <c r="F291" s="32">
        <f t="shared" ref="F291:F322" si="8">SUMIF($B$2:$B$305,E291,$D$2:$D$305)</f>
        <v>0</v>
      </c>
      <c r="G291" s="32">
        <f>C291*VLOOKUP($A291,'Selector Sheet '!$B$13:$D$43,2,FALSE)</f>
        <v>0</v>
      </c>
    </row>
    <row r="292" spans="1:7">
      <c r="A292" s="83" t="s">
        <v>52</v>
      </c>
      <c r="B292" s="37" t="s">
        <v>1881</v>
      </c>
      <c r="C292" s="38">
        <v>0.031</v>
      </c>
      <c r="D292" s="32">
        <f>C292*VLOOKUP($A292,'Selector Sheet '!$B$13:$D$43,2,FALSE)</f>
        <v>0</v>
      </c>
      <c r="F292" s="32">
        <f t="shared" si="8"/>
        <v>0</v>
      </c>
      <c r="G292" s="32">
        <f>C292*VLOOKUP($A292,'Selector Sheet '!$B$13:$D$43,2,FALSE)</f>
        <v>0</v>
      </c>
    </row>
    <row r="293" spans="1:7">
      <c r="A293" s="83" t="s">
        <v>52</v>
      </c>
      <c r="B293" s="37" t="s">
        <v>2097</v>
      </c>
      <c r="C293" s="38">
        <v>0.038</v>
      </c>
      <c r="D293" s="32">
        <f>C293*VLOOKUP($A293,'Selector Sheet '!$B$13:$D$43,2,FALSE)</f>
        <v>0</v>
      </c>
      <c r="F293" s="32">
        <f t="shared" si="8"/>
        <v>0</v>
      </c>
      <c r="G293" s="32">
        <f>C293*VLOOKUP($A293,'Selector Sheet '!$B$13:$D$43,2,FALSE)</f>
        <v>0</v>
      </c>
    </row>
    <row r="294" spans="1:7">
      <c r="A294" s="83" t="s">
        <v>52</v>
      </c>
      <c r="B294" s="37" t="s">
        <v>2098</v>
      </c>
      <c r="C294" s="38">
        <v>0.021</v>
      </c>
      <c r="D294" s="32">
        <f>C294*VLOOKUP($A294,'Selector Sheet '!$B$13:$D$43,2,FALSE)</f>
        <v>0</v>
      </c>
      <c r="F294" s="32">
        <f t="shared" si="8"/>
        <v>0</v>
      </c>
      <c r="G294" s="32">
        <f>C294*VLOOKUP($A294,'Selector Sheet '!$B$13:$D$43,2,FALSE)</f>
        <v>0</v>
      </c>
    </row>
    <row r="295" spans="1:7">
      <c r="A295" s="83" t="s">
        <v>52</v>
      </c>
      <c r="B295" s="37" t="s">
        <v>2099</v>
      </c>
      <c r="C295" s="38">
        <v>0.014</v>
      </c>
      <c r="D295" s="32">
        <f>C295*VLOOKUP($A295,'Selector Sheet '!$B$13:$D$43,2,FALSE)</f>
        <v>0</v>
      </c>
      <c r="F295" s="32">
        <f t="shared" si="8"/>
        <v>0</v>
      </c>
      <c r="G295" s="32">
        <f>C295*VLOOKUP($A295,'Selector Sheet '!$B$13:$D$43,2,FALSE)</f>
        <v>0</v>
      </c>
    </row>
    <row r="296" spans="1:7">
      <c r="A296" s="83" t="s">
        <v>52</v>
      </c>
      <c r="B296" s="37" t="s">
        <v>1830</v>
      </c>
      <c r="C296" s="38">
        <v>0.033</v>
      </c>
      <c r="D296" s="32">
        <f>C296*VLOOKUP($A296,'Selector Sheet '!$B$13:$D$43,2,FALSE)</f>
        <v>0</v>
      </c>
      <c r="F296" s="32">
        <f t="shared" si="8"/>
        <v>0</v>
      </c>
      <c r="G296" s="32">
        <f>C296*VLOOKUP($A296,'Selector Sheet '!$B$13:$D$43,2,FALSE)</f>
        <v>0</v>
      </c>
    </row>
    <row r="297" spans="1:7">
      <c r="A297" s="83" t="s">
        <v>52</v>
      </c>
      <c r="B297" s="37" t="s">
        <v>2100</v>
      </c>
      <c r="C297" s="38">
        <v>0.006</v>
      </c>
      <c r="D297" s="32">
        <f>C297*VLOOKUP($A297,'Selector Sheet '!$B$13:$D$43,2,FALSE)</f>
        <v>0</v>
      </c>
      <c r="F297" s="32">
        <f t="shared" si="8"/>
        <v>0</v>
      </c>
      <c r="G297" s="32">
        <f>C297*VLOOKUP($A297,'Selector Sheet '!$B$13:$D$43,2,FALSE)</f>
        <v>0</v>
      </c>
    </row>
    <row r="298" spans="1:7">
      <c r="A298" s="83" t="s">
        <v>52</v>
      </c>
      <c r="B298" s="37" t="s">
        <v>2101</v>
      </c>
      <c r="C298" s="38">
        <v>0.051</v>
      </c>
      <c r="D298" s="32">
        <f>C298*VLOOKUP($A298,'Selector Sheet '!$B$13:$D$43,2,FALSE)</f>
        <v>0</v>
      </c>
      <c r="F298" s="32">
        <f t="shared" si="8"/>
        <v>0</v>
      </c>
      <c r="G298" s="32">
        <f>C298*VLOOKUP($A298,'Selector Sheet '!$B$13:$D$43,2,FALSE)</f>
        <v>0</v>
      </c>
    </row>
    <row r="299" spans="1:7">
      <c r="A299" s="83" t="s">
        <v>1930</v>
      </c>
      <c r="B299" t="s">
        <v>1822</v>
      </c>
      <c r="C299" s="85">
        <v>0.0998</v>
      </c>
      <c r="D299" s="32" t="e">
        <f>C299*VLOOKUP($A299,'Selector Sheet '!$B$13:$D$43,2,FALSE)</f>
        <v>#N/A</v>
      </c>
      <c r="F299" s="32">
        <f t="shared" si="8"/>
        <v>0</v>
      </c>
      <c r="G299" s="32" t="e">
        <f>C299*VLOOKUP($A299,'Selector Sheet '!$B$13:$D$43,2,FALSE)</f>
        <v>#N/A</v>
      </c>
    </row>
    <row r="300" spans="1:7">
      <c r="A300" s="83" t="s">
        <v>1930</v>
      </c>
      <c r="B300" t="s">
        <v>1824</v>
      </c>
      <c r="C300" s="85">
        <v>0.0811</v>
      </c>
      <c r="D300" s="32" t="e">
        <f>C300*VLOOKUP($A300,'Selector Sheet '!$B$13:$D$43,2,FALSE)</f>
        <v>#N/A</v>
      </c>
      <c r="F300" s="32">
        <f t="shared" si="8"/>
        <v>0</v>
      </c>
      <c r="G300" s="32" t="e">
        <f>C300*VLOOKUP($A300,'Selector Sheet '!$B$13:$D$43,2,FALSE)</f>
        <v>#N/A</v>
      </c>
    </row>
    <row r="301" spans="1:7">
      <c r="A301" s="83" t="s">
        <v>1930</v>
      </c>
      <c r="B301" t="s">
        <v>1829</v>
      </c>
      <c r="C301" s="85">
        <v>0.0618</v>
      </c>
      <c r="D301" s="32" t="e">
        <f>C301*VLOOKUP($A301,'Selector Sheet '!$B$13:$D$43,2,FALSE)</f>
        <v>#N/A</v>
      </c>
      <c r="F301" s="32">
        <f t="shared" si="8"/>
        <v>0</v>
      </c>
      <c r="G301" s="32" t="e">
        <f>C301*VLOOKUP($A301,'Selector Sheet '!$B$13:$D$43,2,FALSE)</f>
        <v>#N/A</v>
      </c>
    </row>
    <row r="302" spans="1:7">
      <c r="A302" s="83" t="s">
        <v>1930</v>
      </c>
      <c r="B302" t="s">
        <v>1826</v>
      </c>
      <c r="C302" s="85">
        <v>0.0467</v>
      </c>
      <c r="D302" s="32" t="e">
        <f>C302*VLOOKUP($A302,'Selector Sheet '!$B$13:$D$43,2,FALSE)</f>
        <v>#N/A</v>
      </c>
      <c r="F302" s="32">
        <f t="shared" si="8"/>
        <v>0</v>
      </c>
      <c r="G302" s="32" t="e">
        <f>C302*VLOOKUP($A302,'Selector Sheet '!$B$13:$D$43,2,FALSE)</f>
        <v>#N/A</v>
      </c>
    </row>
    <row r="303" spans="1:7">
      <c r="A303" s="83" t="s">
        <v>1930</v>
      </c>
      <c r="B303" t="s">
        <v>1830</v>
      </c>
      <c r="C303" s="85">
        <v>0.0467</v>
      </c>
      <c r="D303" s="32" t="e">
        <f>C303*VLOOKUP($A303,'Selector Sheet '!$B$13:$D$43,2,FALSE)</f>
        <v>#N/A</v>
      </c>
      <c r="F303" s="32">
        <f t="shared" si="8"/>
        <v>0</v>
      </c>
      <c r="G303" s="32" t="e">
        <f>C303*VLOOKUP($A303,'Selector Sheet '!$B$13:$D$43,2,FALSE)</f>
        <v>#N/A</v>
      </c>
    </row>
    <row r="304" spans="1:7">
      <c r="A304" s="83" t="s">
        <v>1930</v>
      </c>
      <c r="B304" t="s">
        <v>1827</v>
      </c>
      <c r="C304" s="85">
        <v>0.0465</v>
      </c>
      <c r="D304" s="32" t="e">
        <f>C304*VLOOKUP($A304,'Selector Sheet '!$B$13:$D$43,2,FALSE)</f>
        <v>#N/A</v>
      </c>
      <c r="F304" s="32">
        <f t="shared" si="8"/>
        <v>0</v>
      </c>
      <c r="G304" s="32" t="e">
        <f>C304*VLOOKUP($A304,'Selector Sheet '!$B$13:$D$43,2,FALSE)</f>
        <v>#N/A</v>
      </c>
    </row>
    <row r="305" spans="1:7">
      <c r="A305" s="83" t="s">
        <v>1930</v>
      </c>
      <c r="B305" t="s">
        <v>1837</v>
      </c>
      <c r="C305" s="85">
        <v>0.0461</v>
      </c>
      <c r="D305" s="32" t="e">
        <f>C305*VLOOKUP($A305,'Selector Sheet '!$B$13:$D$43,2,FALSE)</f>
        <v>#N/A</v>
      </c>
      <c r="F305" s="32">
        <f t="shared" si="8"/>
        <v>0</v>
      </c>
      <c r="G305" s="32" t="e">
        <f>C305*VLOOKUP($A305,'Selector Sheet '!$B$13:$D$43,2,FALSE)</f>
        <v>#N/A</v>
      </c>
    </row>
    <row r="306" spans="1:7">
      <c r="A306" s="83" t="s">
        <v>1930</v>
      </c>
      <c r="B306" t="s">
        <v>1832</v>
      </c>
      <c r="C306" s="85">
        <v>0.041</v>
      </c>
      <c r="D306" s="32" t="e">
        <f>C306*VLOOKUP($A306,'Selector Sheet '!$B$13:$D$43,2,FALSE)</f>
        <v>#N/A</v>
      </c>
      <c r="F306" s="32">
        <f t="shared" si="8"/>
        <v>0</v>
      </c>
      <c r="G306" s="32" t="e">
        <f>C306*VLOOKUP($A306,'Selector Sheet '!$B$13:$D$43,2,FALSE)</f>
        <v>#N/A</v>
      </c>
    </row>
    <row r="307" spans="1:7">
      <c r="A307" s="83" t="s">
        <v>1930</v>
      </c>
      <c r="B307" t="s">
        <v>1841</v>
      </c>
      <c r="C307" s="85">
        <v>0.0408</v>
      </c>
      <c r="D307" s="32" t="e">
        <f>C307*VLOOKUP($A307,'Selector Sheet '!$B$13:$D$43,2,FALSE)</f>
        <v>#N/A</v>
      </c>
      <c r="F307" s="32">
        <f t="shared" si="8"/>
        <v>0</v>
      </c>
      <c r="G307" s="32" t="e">
        <f>C307*VLOOKUP($A307,'Selector Sheet '!$B$13:$D$43,2,FALSE)</f>
        <v>#N/A</v>
      </c>
    </row>
    <row r="308" spans="1:7">
      <c r="A308" s="83" t="s">
        <v>1930</v>
      </c>
      <c r="B308" t="s">
        <v>1840</v>
      </c>
      <c r="C308" s="85">
        <v>0.0271</v>
      </c>
      <c r="D308" s="32" t="e">
        <f>C308*VLOOKUP($A308,'Selector Sheet '!$B$13:$D$43,2,FALSE)</f>
        <v>#N/A</v>
      </c>
      <c r="F308" s="32">
        <f t="shared" si="8"/>
        <v>0</v>
      </c>
      <c r="G308" s="32" t="e">
        <f>C308*VLOOKUP($A308,'Selector Sheet '!$B$13:$D$43,2,FALSE)</f>
        <v>#N/A</v>
      </c>
    </row>
    <row r="309" spans="1:7">
      <c r="A309" s="83" t="s">
        <v>1930</v>
      </c>
      <c r="B309" t="s">
        <v>1839</v>
      </c>
      <c r="C309" s="85">
        <v>0.0199</v>
      </c>
      <c r="D309" s="32" t="e">
        <f>C309*VLOOKUP($A309,'Selector Sheet '!$B$13:$D$43,2,FALSE)</f>
        <v>#N/A</v>
      </c>
      <c r="F309" s="32">
        <f t="shared" si="8"/>
        <v>0</v>
      </c>
      <c r="G309" s="32" t="e">
        <f>C309*VLOOKUP($A309,'Selector Sheet '!$B$13:$D$43,2,FALSE)</f>
        <v>#N/A</v>
      </c>
    </row>
    <row r="310" spans="1:7">
      <c r="A310" s="83" t="s">
        <v>1930</v>
      </c>
      <c r="B310" t="s">
        <v>1923</v>
      </c>
      <c r="C310" s="85">
        <v>0.0193</v>
      </c>
      <c r="D310" s="32" t="e">
        <f>C310*VLOOKUP($A310,'Selector Sheet '!$B$13:$D$43,2,FALSE)</f>
        <v>#N/A</v>
      </c>
      <c r="F310" s="32">
        <f t="shared" si="8"/>
        <v>0</v>
      </c>
      <c r="G310" s="32" t="e">
        <f>C310*VLOOKUP($A310,'Selector Sheet '!$B$13:$D$43,2,FALSE)</f>
        <v>#N/A</v>
      </c>
    </row>
    <row r="311" spans="1:7">
      <c r="A311" s="83" t="s">
        <v>1930</v>
      </c>
      <c r="B311" t="s">
        <v>1842</v>
      </c>
      <c r="C311" s="85">
        <v>0.0189</v>
      </c>
      <c r="D311" s="32" t="e">
        <f>C311*VLOOKUP($A311,'Selector Sheet '!$B$13:$D$43,2,FALSE)</f>
        <v>#N/A</v>
      </c>
      <c r="F311" s="32">
        <f t="shared" si="8"/>
        <v>0</v>
      </c>
      <c r="G311" s="32" t="e">
        <f>C311*VLOOKUP($A311,'Selector Sheet '!$B$13:$D$43,2,FALSE)</f>
        <v>#N/A</v>
      </c>
    </row>
    <row r="312" spans="1:7">
      <c r="A312" s="83" t="s">
        <v>1930</v>
      </c>
      <c r="B312" t="s">
        <v>1833</v>
      </c>
      <c r="C312" s="85">
        <v>0.018</v>
      </c>
      <c r="D312" s="32" t="e">
        <f>C312*VLOOKUP($A312,'Selector Sheet '!$B$13:$D$43,2,FALSE)</f>
        <v>#N/A</v>
      </c>
      <c r="F312" s="32">
        <f t="shared" si="8"/>
        <v>0</v>
      </c>
      <c r="G312" s="32" t="e">
        <f>C312*VLOOKUP($A312,'Selector Sheet '!$B$13:$D$43,2,FALSE)</f>
        <v>#N/A</v>
      </c>
    </row>
    <row r="313" spans="1:7">
      <c r="A313" s="83" t="s">
        <v>1930</v>
      </c>
      <c r="B313" t="s">
        <v>1967</v>
      </c>
      <c r="C313" s="85">
        <v>0.0154</v>
      </c>
      <c r="D313" s="32" t="e">
        <f>C313*VLOOKUP($A313,'Selector Sheet '!$B$13:$D$43,2,FALSE)</f>
        <v>#N/A</v>
      </c>
      <c r="F313" s="32">
        <f t="shared" si="8"/>
        <v>0</v>
      </c>
      <c r="G313" s="32" t="e">
        <f>C313*VLOOKUP($A313,'Selector Sheet '!$B$13:$D$43,2,FALSE)</f>
        <v>#N/A</v>
      </c>
    </row>
    <row r="314" spans="1:7">
      <c r="A314" s="83" t="s">
        <v>1930</v>
      </c>
      <c r="B314" t="s">
        <v>1969</v>
      </c>
      <c r="C314" s="85">
        <v>0.0135</v>
      </c>
      <c r="D314" s="32" t="e">
        <f>C314*VLOOKUP($A314,'Selector Sheet '!$B$13:$D$43,2,FALSE)</f>
        <v>#N/A</v>
      </c>
      <c r="F314" s="32">
        <f t="shared" si="8"/>
        <v>0</v>
      </c>
      <c r="G314" s="32" t="e">
        <f>C314*VLOOKUP($A314,'Selector Sheet '!$B$13:$D$43,2,FALSE)</f>
        <v>#N/A</v>
      </c>
    </row>
    <row r="315" spans="1:7">
      <c r="A315" s="83" t="s">
        <v>1930</v>
      </c>
      <c r="B315" t="s">
        <v>1831</v>
      </c>
      <c r="C315" s="85">
        <v>0.0133</v>
      </c>
      <c r="D315" s="32" t="e">
        <f>C315*VLOOKUP($A315,'Selector Sheet '!$B$13:$D$43,2,FALSE)</f>
        <v>#N/A</v>
      </c>
      <c r="F315" s="32">
        <f t="shared" si="8"/>
        <v>0</v>
      </c>
      <c r="G315" s="32" t="e">
        <f>C315*VLOOKUP($A315,'Selector Sheet '!$B$13:$D$43,2,FALSE)</f>
        <v>#N/A</v>
      </c>
    </row>
    <row r="316" spans="1:7">
      <c r="A316" s="83" t="s">
        <v>1930</v>
      </c>
      <c r="B316" t="s">
        <v>1968</v>
      </c>
      <c r="C316" s="85">
        <v>0.0133</v>
      </c>
      <c r="D316" s="32" t="e">
        <f>C316*VLOOKUP($A316,'Selector Sheet '!$B$13:$D$43,2,FALSE)</f>
        <v>#N/A</v>
      </c>
      <c r="F316" s="32">
        <f t="shared" si="8"/>
        <v>0</v>
      </c>
      <c r="G316" s="32" t="e">
        <f>C316*VLOOKUP($A316,'Selector Sheet '!$B$13:$D$43,2,FALSE)</f>
        <v>#N/A</v>
      </c>
    </row>
    <row r="317" spans="1:7">
      <c r="A317" s="83" t="s">
        <v>1930</v>
      </c>
      <c r="B317" t="s">
        <v>1964</v>
      </c>
      <c r="C317" s="85">
        <v>0.0121</v>
      </c>
      <c r="D317" s="32" t="e">
        <f>C317*VLOOKUP($A317,'Selector Sheet '!$B$13:$D$43,2,FALSE)</f>
        <v>#N/A</v>
      </c>
      <c r="F317" s="32">
        <f t="shared" si="8"/>
        <v>0</v>
      </c>
      <c r="G317" s="32" t="e">
        <f>C317*VLOOKUP($A317,'Selector Sheet '!$B$13:$D$43,2,FALSE)</f>
        <v>#N/A</v>
      </c>
    </row>
    <row r="318" spans="1:7">
      <c r="A318" s="83" t="s">
        <v>1930</v>
      </c>
      <c r="B318" t="s">
        <v>1919</v>
      </c>
      <c r="C318" s="85">
        <v>0.011</v>
      </c>
      <c r="D318" s="32" t="e">
        <f>C318*VLOOKUP($A318,'Selector Sheet '!$B$13:$D$43,2,FALSE)</f>
        <v>#N/A</v>
      </c>
      <c r="F318" s="32">
        <f t="shared" si="8"/>
        <v>0</v>
      </c>
      <c r="G318" s="32" t="e">
        <f>C318*VLOOKUP($A318,'Selector Sheet '!$B$13:$D$43,2,FALSE)</f>
        <v>#N/A</v>
      </c>
    </row>
    <row r="319" spans="1:7">
      <c r="A319" s="83" t="s">
        <v>1930</v>
      </c>
      <c r="B319" t="s">
        <v>1970</v>
      </c>
      <c r="C319" s="85">
        <v>0.0108</v>
      </c>
      <c r="D319" s="32" t="e">
        <f>C319*VLOOKUP($A319,'Selector Sheet '!$B$13:$D$43,2,FALSE)</f>
        <v>#N/A</v>
      </c>
      <c r="F319" s="32">
        <f t="shared" si="8"/>
        <v>0</v>
      </c>
      <c r="G319" s="32" t="e">
        <f>C319*VLOOKUP($A319,'Selector Sheet '!$B$13:$D$43,2,FALSE)</f>
        <v>#N/A</v>
      </c>
    </row>
    <row r="320" spans="1:7">
      <c r="A320" s="83" t="s">
        <v>1930</v>
      </c>
      <c r="B320" t="s">
        <v>1921</v>
      </c>
      <c r="C320" s="85">
        <v>0.0104</v>
      </c>
      <c r="D320" s="32" t="e">
        <f>C320*VLOOKUP($A320,'Selector Sheet '!$B$13:$D$43,2,FALSE)</f>
        <v>#N/A</v>
      </c>
      <c r="F320" s="32">
        <f t="shared" si="8"/>
        <v>0</v>
      </c>
      <c r="G320" s="32" t="e">
        <f>C320*VLOOKUP($A320,'Selector Sheet '!$B$13:$D$43,2,FALSE)</f>
        <v>#N/A</v>
      </c>
    </row>
    <row r="321" spans="1:7">
      <c r="A321" s="83" t="s">
        <v>1930</v>
      </c>
      <c r="B321" t="s">
        <v>1907</v>
      </c>
      <c r="C321" s="85">
        <v>0.0101</v>
      </c>
      <c r="D321" s="32" t="e">
        <f>C321*VLOOKUP($A321,'Selector Sheet '!$B$13:$D$43,2,FALSE)</f>
        <v>#N/A</v>
      </c>
      <c r="F321" s="32">
        <f t="shared" si="8"/>
        <v>0</v>
      </c>
      <c r="G321" s="32" t="e">
        <f>C321*VLOOKUP($A321,'Selector Sheet '!$B$13:$D$43,2,FALSE)</f>
        <v>#N/A</v>
      </c>
    </row>
    <row r="322" spans="1:7">
      <c r="A322" s="83" t="s">
        <v>1930</v>
      </c>
      <c r="B322" t="s">
        <v>1922</v>
      </c>
      <c r="C322" s="85">
        <v>0.0097</v>
      </c>
      <c r="D322" s="32" t="e">
        <f>C322*VLOOKUP($A322,'Selector Sheet '!$B$13:$D$43,2,FALSE)</f>
        <v>#N/A</v>
      </c>
      <c r="F322" s="32">
        <f t="shared" si="8"/>
        <v>0</v>
      </c>
      <c r="G322" s="32" t="e">
        <f>C322*VLOOKUP($A322,'Selector Sheet '!$B$13:$D$43,2,FALSE)</f>
        <v>#N/A</v>
      </c>
    </row>
    <row r="323" spans="1:7">
      <c r="A323" s="83" t="s">
        <v>1930</v>
      </c>
      <c r="B323" t="s">
        <v>1912</v>
      </c>
      <c r="C323" s="85">
        <v>0.0097</v>
      </c>
      <c r="D323" s="32" t="e">
        <f>C323*VLOOKUP($A323,'Selector Sheet '!$B$13:$D$43,2,FALSE)</f>
        <v>#N/A</v>
      </c>
      <c r="F323" s="32">
        <f t="shared" ref="F323:F354" si="9">SUMIF($B$2:$B$305,E323,$D$2:$D$305)</f>
        <v>0</v>
      </c>
      <c r="G323" s="32" t="e">
        <f>C323*VLOOKUP($A323,'Selector Sheet '!$B$13:$D$43,2,FALSE)</f>
        <v>#N/A</v>
      </c>
    </row>
    <row r="324" spans="1:7">
      <c r="A324" s="31" t="s">
        <v>43</v>
      </c>
      <c r="B324" t="s">
        <v>1822</v>
      </c>
      <c r="C324" s="82">
        <v>0.0959</v>
      </c>
      <c r="D324" s="32">
        <f>C324*VLOOKUP($A324,'Selector Sheet '!$B$13:$D$43,2,FALSE)</f>
        <v>0.04795</v>
      </c>
      <c r="F324" s="32">
        <f t="shared" si="9"/>
        <v>0</v>
      </c>
      <c r="G324" s="32">
        <f>C324*VLOOKUP($A324,'Selector Sheet '!$B$13:$D$43,2,FALSE)</f>
        <v>0.04795</v>
      </c>
    </row>
    <row r="325" spans="1:7">
      <c r="A325" s="31" t="s">
        <v>43</v>
      </c>
      <c r="B325" t="s">
        <v>1826</v>
      </c>
      <c r="C325" s="82">
        <v>0.0633</v>
      </c>
      <c r="D325" s="32">
        <f>C325*VLOOKUP($A325,'Selector Sheet '!$B$13:$D$43,2,FALSE)</f>
        <v>0.03165</v>
      </c>
      <c r="F325" s="32">
        <f t="shared" si="9"/>
        <v>0</v>
      </c>
      <c r="G325" s="32">
        <f>C325*VLOOKUP($A325,'Selector Sheet '!$B$13:$D$43,2,FALSE)</f>
        <v>0.03165</v>
      </c>
    </row>
    <row r="326" spans="1:7">
      <c r="A326" s="31" t="s">
        <v>43</v>
      </c>
      <c r="B326" t="s">
        <v>1824</v>
      </c>
      <c r="C326" s="82">
        <v>0.0598</v>
      </c>
      <c r="D326" s="32">
        <f>C326*VLOOKUP($A326,'Selector Sheet '!$B$13:$D$43,2,FALSE)</f>
        <v>0.0299</v>
      </c>
      <c r="F326" s="32">
        <f t="shared" si="9"/>
        <v>0</v>
      </c>
      <c r="G326" s="32">
        <f>C326*VLOOKUP($A326,'Selector Sheet '!$B$13:$D$43,2,FALSE)</f>
        <v>0.0299</v>
      </c>
    </row>
    <row r="327" spans="1:7">
      <c r="A327" s="31" t="s">
        <v>43</v>
      </c>
      <c r="B327" t="s">
        <v>1832</v>
      </c>
      <c r="C327" s="82">
        <v>0.0489</v>
      </c>
      <c r="D327" s="32">
        <f>C327*VLOOKUP($A327,'Selector Sheet '!$B$13:$D$43,2,FALSE)</f>
        <v>0.02445</v>
      </c>
      <c r="F327" s="32">
        <f t="shared" si="9"/>
        <v>0</v>
      </c>
      <c r="G327" s="32">
        <f>C327*VLOOKUP($A327,'Selector Sheet '!$B$13:$D$43,2,FALSE)</f>
        <v>0.02445</v>
      </c>
    </row>
    <row r="328" spans="1:7">
      <c r="A328" s="31" t="s">
        <v>43</v>
      </c>
      <c r="B328" t="s">
        <v>1844</v>
      </c>
      <c r="C328" s="82">
        <v>0.0424</v>
      </c>
      <c r="D328" s="32">
        <f>C328*VLOOKUP($A328,'Selector Sheet '!$B$13:$D$43,2,FALSE)</f>
        <v>0.0212</v>
      </c>
      <c r="F328" s="32">
        <f t="shared" si="9"/>
        <v>0</v>
      </c>
      <c r="G328" s="32">
        <f>C328*VLOOKUP($A328,'Selector Sheet '!$B$13:$D$43,2,FALSE)</f>
        <v>0.0212</v>
      </c>
    </row>
    <row r="329" spans="1:7">
      <c r="A329" s="31" t="s">
        <v>43</v>
      </c>
      <c r="B329" t="s">
        <v>1829</v>
      </c>
      <c r="C329" s="82">
        <v>0.0388</v>
      </c>
      <c r="D329" s="32">
        <f>C329*VLOOKUP($A329,'Selector Sheet '!$B$13:$D$43,2,FALSE)</f>
        <v>0.0194</v>
      </c>
      <c r="F329" s="32">
        <f t="shared" si="9"/>
        <v>0</v>
      </c>
      <c r="G329" s="32">
        <f>C329*VLOOKUP($A329,'Selector Sheet '!$B$13:$D$43,2,FALSE)</f>
        <v>0.0194</v>
      </c>
    </row>
    <row r="330" spans="1:7">
      <c r="A330" s="31" t="s">
        <v>43</v>
      </c>
      <c r="B330" t="s">
        <v>1827</v>
      </c>
      <c r="C330" s="82">
        <v>0.0361</v>
      </c>
      <c r="D330" s="32">
        <f>C330*VLOOKUP($A330,'Selector Sheet '!$B$13:$D$43,2,FALSE)</f>
        <v>0.01805</v>
      </c>
      <c r="F330" s="32">
        <f t="shared" si="9"/>
        <v>0</v>
      </c>
      <c r="G330" s="32">
        <f>C330*VLOOKUP($A330,'Selector Sheet '!$B$13:$D$43,2,FALSE)</f>
        <v>0.01805</v>
      </c>
    </row>
    <row r="331" spans="1:7">
      <c r="A331" s="31" t="s">
        <v>43</v>
      </c>
      <c r="B331" t="s">
        <v>1835</v>
      </c>
      <c r="C331" s="82">
        <v>0.0356</v>
      </c>
      <c r="D331" s="32">
        <f>C331*VLOOKUP($A331,'Selector Sheet '!$B$13:$D$43,2,FALSE)</f>
        <v>0.0178</v>
      </c>
      <c r="F331" s="32">
        <f t="shared" si="9"/>
        <v>0</v>
      </c>
      <c r="G331" s="32">
        <f>C331*VLOOKUP($A331,'Selector Sheet '!$B$13:$D$43,2,FALSE)</f>
        <v>0.0178</v>
      </c>
    </row>
    <row r="332" spans="1:7">
      <c r="A332" s="31" t="s">
        <v>43</v>
      </c>
      <c r="B332" t="s">
        <v>1839</v>
      </c>
      <c r="C332" s="82">
        <v>0.0261</v>
      </c>
      <c r="D332" s="32">
        <f>C332*VLOOKUP($A332,'Selector Sheet '!$B$13:$D$43,2,FALSE)</f>
        <v>0.01305</v>
      </c>
      <c r="F332" s="32">
        <f t="shared" si="9"/>
        <v>0</v>
      </c>
      <c r="G332" s="32">
        <f>C332*VLOOKUP($A332,'Selector Sheet '!$B$13:$D$43,2,FALSE)</f>
        <v>0.01305</v>
      </c>
    </row>
    <row r="333" spans="1:7">
      <c r="A333" s="31" t="s">
        <v>43</v>
      </c>
      <c r="B333" t="s">
        <v>1838</v>
      </c>
      <c r="C333" s="82">
        <v>0.0255</v>
      </c>
      <c r="D333" s="32">
        <f>C333*VLOOKUP($A333,'Selector Sheet '!$B$13:$D$43,2,FALSE)</f>
        <v>0.01275</v>
      </c>
      <c r="F333" s="32">
        <f t="shared" si="9"/>
        <v>0</v>
      </c>
      <c r="G333" s="32">
        <f>C333*VLOOKUP($A333,'Selector Sheet '!$B$13:$D$43,2,FALSE)</f>
        <v>0.01275</v>
      </c>
    </row>
    <row r="334" spans="1:7">
      <c r="A334" s="31" t="s">
        <v>43</v>
      </c>
      <c r="B334" t="s">
        <v>1873</v>
      </c>
      <c r="C334" s="82">
        <v>0.0223</v>
      </c>
      <c r="D334" s="32">
        <f>C334*VLOOKUP($A334,'Selector Sheet '!$B$13:$D$43,2,FALSE)</f>
        <v>0.01115</v>
      </c>
      <c r="F334" s="32">
        <f t="shared" si="9"/>
        <v>0</v>
      </c>
      <c r="G334" s="32">
        <f>C334*VLOOKUP($A334,'Selector Sheet '!$B$13:$D$43,2,FALSE)</f>
        <v>0.01115</v>
      </c>
    </row>
    <row r="335" spans="1:7">
      <c r="A335" s="31" t="s">
        <v>43</v>
      </c>
      <c r="B335" t="s">
        <v>1843</v>
      </c>
      <c r="C335" s="82">
        <v>0.022</v>
      </c>
      <c r="D335" s="32">
        <f>C335*VLOOKUP($A335,'Selector Sheet '!$B$13:$D$43,2,FALSE)</f>
        <v>0.011</v>
      </c>
      <c r="F335" s="32">
        <f t="shared" si="9"/>
        <v>0</v>
      </c>
      <c r="G335" s="32">
        <f>C335*VLOOKUP($A335,'Selector Sheet '!$B$13:$D$43,2,FALSE)</f>
        <v>0.011</v>
      </c>
    </row>
    <row r="336" spans="1:7">
      <c r="A336" s="31" t="s">
        <v>43</v>
      </c>
      <c r="B336" t="s">
        <v>2102</v>
      </c>
      <c r="C336" s="82">
        <v>0.0205</v>
      </c>
      <c r="D336" s="32">
        <f>C336*VLOOKUP($A336,'Selector Sheet '!$B$13:$D$43,2,FALSE)</f>
        <v>0.01025</v>
      </c>
      <c r="F336" s="32">
        <f t="shared" si="9"/>
        <v>0</v>
      </c>
      <c r="G336" s="32">
        <f>C336*VLOOKUP($A336,'Selector Sheet '!$B$13:$D$43,2,FALSE)</f>
        <v>0.01025</v>
      </c>
    </row>
    <row r="337" spans="1:7">
      <c r="A337" s="31" t="s">
        <v>43</v>
      </c>
      <c r="B337" t="s">
        <v>1837</v>
      </c>
      <c r="C337" s="82">
        <v>0.0205</v>
      </c>
      <c r="D337" s="32">
        <f>C337*VLOOKUP($A337,'Selector Sheet '!$B$13:$D$43,2,FALSE)</f>
        <v>0.01025</v>
      </c>
      <c r="F337" s="32">
        <f t="shared" si="9"/>
        <v>0</v>
      </c>
      <c r="G337" s="32">
        <f>C337*VLOOKUP($A337,'Selector Sheet '!$B$13:$D$43,2,FALSE)</f>
        <v>0.01025</v>
      </c>
    </row>
    <row r="338" spans="1:7">
      <c r="A338" s="31" t="s">
        <v>43</v>
      </c>
      <c r="B338" t="s">
        <v>1831</v>
      </c>
      <c r="C338" s="82">
        <v>0.0172</v>
      </c>
      <c r="D338" s="32">
        <f>C338*VLOOKUP($A338,'Selector Sheet '!$B$13:$D$43,2,FALSE)</f>
        <v>0.0086</v>
      </c>
      <c r="F338" s="32">
        <f t="shared" si="9"/>
        <v>0</v>
      </c>
      <c r="G338" s="32">
        <f>C338*VLOOKUP($A338,'Selector Sheet '!$B$13:$D$43,2,FALSE)</f>
        <v>0.0086</v>
      </c>
    </row>
    <row r="339" spans="1:7">
      <c r="A339" s="31" t="s">
        <v>43</v>
      </c>
      <c r="B339" t="s">
        <v>1851</v>
      </c>
      <c r="C339" s="82">
        <v>0.0169</v>
      </c>
      <c r="D339" s="32">
        <f>C339*VLOOKUP($A339,'Selector Sheet '!$B$13:$D$43,2,FALSE)</f>
        <v>0.00845</v>
      </c>
      <c r="F339" s="32">
        <f t="shared" si="9"/>
        <v>0</v>
      </c>
      <c r="G339" s="32">
        <f>C339*VLOOKUP($A339,'Selector Sheet '!$B$13:$D$43,2,FALSE)</f>
        <v>0.00845</v>
      </c>
    </row>
    <row r="340" spans="1:7">
      <c r="A340" s="31" t="s">
        <v>43</v>
      </c>
      <c r="B340" t="s">
        <v>1907</v>
      </c>
      <c r="C340" s="82">
        <v>0.0166</v>
      </c>
      <c r="D340" s="32">
        <f>C340*VLOOKUP($A340,'Selector Sheet '!$B$13:$D$43,2,FALSE)</f>
        <v>0.0083</v>
      </c>
      <c r="F340" s="32">
        <f t="shared" si="9"/>
        <v>0</v>
      </c>
      <c r="G340" s="32">
        <f>C340*VLOOKUP($A340,'Selector Sheet '!$B$13:$D$43,2,FALSE)</f>
        <v>0.0083</v>
      </c>
    </row>
    <row r="341" spans="1:7">
      <c r="A341" s="31" t="s">
        <v>43</v>
      </c>
      <c r="B341" t="s">
        <v>2103</v>
      </c>
      <c r="C341" s="82">
        <v>0.0163</v>
      </c>
      <c r="D341" s="32">
        <f>C341*VLOOKUP($A341,'Selector Sheet '!$B$13:$D$43,2,FALSE)</f>
        <v>0.00815</v>
      </c>
      <c r="F341" s="32">
        <f t="shared" si="9"/>
        <v>0</v>
      </c>
      <c r="G341" s="32">
        <f>C341*VLOOKUP($A341,'Selector Sheet '!$B$13:$D$43,2,FALSE)</f>
        <v>0.00815</v>
      </c>
    </row>
    <row r="342" spans="1:7">
      <c r="A342" s="31" t="s">
        <v>43</v>
      </c>
      <c r="B342" t="s">
        <v>1841</v>
      </c>
      <c r="C342" s="82">
        <v>0.0148</v>
      </c>
      <c r="D342" s="32">
        <f>C342*VLOOKUP($A342,'Selector Sheet '!$B$13:$D$43,2,FALSE)</f>
        <v>0.0074</v>
      </c>
      <c r="F342" s="32">
        <f t="shared" si="9"/>
        <v>0</v>
      </c>
      <c r="G342" s="32">
        <f>C342*VLOOKUP($A342,'Selector Sheet '!$B$13:$D$43,2,FALSE)</f>
        <v>0.0074</v>
      </c>
    </row>
    <row r="343" spans="1:7">
      <c r="A343" s="31" t="s">
        <v>43</v>
      </c>
      <c r="B343" t="s">
        <v>2104</v>
      </c>
      <c r="C343" s="82">
        <v>0.0146</v>
      </c>
      <c r="D343" s="32">
        <f>C343*VLOOKUP($A343,'Selector Sheet '!$B$13:$D$43,2,FALSE)</f>
        <v>0.0073</v>
      </c>
      <c r="F343" s="32">
        <f t="shared" si="9"/>
        <v>0</v>
      </c>
      <c r="G343" s="32">
        <f>C343*VLOOKUP($A343,'Selector Sheet '!$B$13:$D$43,2,FALSE)</f>
        <v>0.0073</v>
      </c>
    </row>
    <row r="344" spans="1:7">
      <c r="A344" s="31" t="s">
        <v>43</v>
      </c>
      <c r="B344" t="s">
        <v>1857</v>
      </c>
      <c r="C344" s="82">
        <v>0.0146</v>
      </c>
      <c r="D344" s="32">
        <f>C344*VLOOKUP($A344,'Selector Sheet '!$B$13:$D$43,2,FALSE)</f>
        <v>0.0073</v>
      </c>
      <c r="F344" s="32">
        <f t="shared" si="9"/>
        <v>0</v>
      </c>
      <c r="G344" s="32">
        <f>C344*VLOOKUP($A344,'Selector Sheet '!$B$13:$D$43,2,FALSE)</f>
        <v>0.0073</v>
      </c>
    </row>
    <row r="345" spans="1:7">
      <c r="A345" s="31" t="s">
        <v>43</v>
      </c>
      <c r="B345" t="s">
        <v>1964</v>
      </c>
      <c r="C345" s="82">
        <v>0.0144</v>
      </c>
      <c r="D345" s="32">
        <f>C345*VLOOKUP($A345,'Selector Sheet '!$B$13:$D$43,2,FALSE)</f>
        <v>0.0072</v>
      </c>
      <c r="F345" s="32">
        <f t="shared" si="9"/>
        <v>0</v>
      </c>
      <c r="G345" s="32">
        <f>C345*VLOOKUP($A345,'Selector Sheet '!$B$13:$D$43,2,FALSE)</f>
        <v>0.0072</v>
      </c>
    </row>
    <row r="346" spans="1:7">
      <c r="A346" s="31" t="s">
        <v>43</v>
      </c>
      <c r="B346" t="s">
        <v>1896</v>
      </c>
      <c r="C346" s="82">
        <v>0.0135</v>
      </c>
      <c r="D346" s="32">
        <f>C346*VLOOKUP($A346,'Selector Sheet '!$B$13:$D$43,2,FALSE)</f>
        <v>0.00675</v>
      </c>
      <c r="F346" s="32">
        <f t="shared" si="9"/>
        <v>0</v>
      </c>
      <c r="G346" s="32">
        <f>C346*VLOOKUP($A346,'Selector Sheet '!$B$13:$D$43,2,FALSE)</f>
        <v>0.00675</v>
      </c>
    </row>
    <row r="347" spans="1:7">
      <c r="A347" s="31" t="s">
        <v>43</v>
      </c>
      <c r="B347" t="s">
        <v>1889</v>
      </c>
      <c r="C347" s="82">
        <v>0.0128</v>
      </c>
      <c r="D347" s="32">
        <f>C347*VLOOKUP($A347,'Selector Sheet '!$B$13:$D$43,2,FALSE)</f>
        <v>0.0064</v>
      </c>
      <c r="F347" s="32">
        <f t="shared" si="9"/>
        <v>0</v>
      </c>
      <c r="G347" s="32">
        <f>C347*VLOOKUP($A347,'Selector Sheet '!$B$13:$D$43,2,FALSE)</f>
        <v>0.0064</v>
      </c>
    </row>
    <row r="348" spans="1:7">
      <c r="A348" s="31" t="s">
        <v>43</v>
      </c>
      <c r="B348" t="s">
        <v>2105</v>
      </c>
      <c r="C348" s="82">
        <v>0.0113</v>
      </c>
      <c r="D348" s="32">
        <f>C348*VLOOKUP($A348,'Selector Sheet '!$B$13:$D$43,2,FALSE)</f>
        <v>0.00565</v>
      </c>
      <c r="F348" s="32">
        <f t="shared" si="9"/>
        <v>0</v>
      </c>
      <c r="G348" s="32">
        <f>C348*VLOOKUP($A348,'Selector Sheet '!$B$13:$D$43,2,FALSE)</f>
        <v>0.00565</v>
      </c>
    </row>
    <row r="349" spans="1:7">
      <c r="A349" s="31" t="s">
        <v>1957</v>
      </c>
      <c r="B349" t="s">
        <v>1827</v>
      </c>
      <c r="C349" s="82">
        <v>0.038</v>
      </c>
      <c r="D349" s="32" t="e">
        <f>C349*VLOOKUP($A349,'Selector Sheet '!$B$13:$D$43,2,FALSE)</f>
        <v>#N/A</v>
      </c>
      <c r="F349" s="32">
        <f t="shared" si="9"/>
        <v>0</v>
      </c>
      <c r="G349" s="32" t="e">
        <f>C349*VLOOKUP($A349,'Selector Sheet '!$B$13:$D$43,2,FALSE)</f>
        <v>#N/A</v>
      </c>
    </row>
    <row r="350" spans="1:7">
      <c r="A350" s="31" t="s">
        <v>1957</v>
      </c>
      <c r="B350" t="s">
        <v>1824</v>
      </c>
      <c r="C350" s="82">
        <v>0.0371</v>
      </c>
      <c r="D350" s="32" t="e">
        <f>C350*VLOOKUP($A350,'Selector Sheet '!$B$13:$D$43,2,FALSE)</f>
        <v>#N/A</v>
      </c>
      <c r="F350" s="32">
        <f t="shared" si="9"/>
        <v>0</v>
      </c>
      <c r="G350" s="32" t="e">
        <f>C350*VLOOKUP($A350,'Selector Sheet '!$B$13:$D$43,2,FALSE)</f>
        <v>#N/A</v>
      </c>
    </row>
    <row r="351" spans="1:7">
      <c r="A351" s="31" t="s">
        <v>1957</v>
      </c>
      <c r="B351" t="s">
        <v>1822</v>
      </c>
      <c r="C351" s="82">
        <v>0.0348</v>
      </c>
      <c r="D351" s="32" t="e">
        <f>C351*VLOOKUP($A351,'Selector Sheet '!$B$13:$D$43,2,FALSE)</f>
        <v>#N/A</v>
      </c>
      <c r="F351" s="32">
        <f t="shared" si="9"/>
        <v>0</v>
      </c>
      <c r="G351" s="32" t="e">
        <f>C351*VLOOKUP($A351,'Selector Sheet '!$B$13:$D$43,2,FALSE)</f>
        <v>#N/A</v>
      </c>
    </row>
    <row r="352" spans="1:7">
      <c r="A352" s="31" t="s">
        <v>1957</v>
      </c>
      <c r="B352" t="s">
        <v>1826</v>
      </c>
      <c r="C352" s="82">
        <v>0.0302</v>
      </c>
      <c r="D352" s="32" t="e">
        <f>C352*VLOOKUP($A352,'Selector Sheet '!$B$13:$D$43,2,FALSE)</f>
        <v>#N/A</v>
      </c>
      <c r="F352" s="32">
        <f t="shared" si="9"/>
        <v>0</v>
      </c>
      <c r="G352" s="32" t="e">
        <f>C352*VLOOKUP($A352,'Selector Sheet '!$B$13:$D$43,2,FALSE)</f>
        <v>#N/A</v>
      </c>
    </row>
    <row r="353" spans="1:7">
      <c r="A353" s="31" t="s">
        <v>1957</v>
      </c>
      <c r="B353" t="s">
        <v>1842</v>
      </c>
      <c r="C353" s="82">
        <v>0.0218</v>
      </c>
      <c r="D353" s="32" t="e">
        <f>C353*VLOOKUP($A353,'Selector Sheet '!$B$13:$D$43,2,FALSE)</f>
        <v>#N/A</v>
      </c>
      <c r="F353" s="32">
        <f t="shared" si="9"/>
        <v>0</v>
      </c>
      <c r="G353" s="32" t="e">
        <f>C353*VLOOKUP($A353,'Selector Sheet '!$B$13:$D$43,2,FALSE)</f>
        <v>#N/A</v>
      </c>
    </row>
    <row r="354" spans="1:7">
      <c r="A354" s="31" t="s">
        <v>1957</v>
      </c>
      <c r="B354" t="s">
        <v>1829</v>
      </c>
      <c r="C354" s="82">
        <v>0.0174</v>
      </c>
      <c r="D354" s="32" t="e">
        <f>C354*VLOOKUP($A354,'Selector Sheet '!$B$13:$D$43,2,FALSE)</f>
        <v>#N/A</v>
      </c>
      <c r="F354" s="32">
        <f t="shared" si="9"/>
        <v>0</v>
      </c>
      <c r="G354" s="32" t="e">
        <f>C354*VLOOKUP($A354,'Selector Sheet '!$B$13:$D$43,2,FALSE)</f>
        <v>#N/A</v>
      </c>
    </row>
    <row r="355" spans="1:7">
      <c r="A355" s="31" t="s">
        <v>1957</v>
      </c>
      <c r="B355" t="s">
        <v>1831</v>
      </c>
      <c r="C355" s="82">
        <v>0.0165</v>
      </c>
      <c r="D355" s="32" t="e">
        <f>C355*VLOOKUP($A355,'Selector Sheet '!$B$13:$D$43,2,FALSE)</f>
        <v>#N/A</v>
      </c>
      <c r="F355" s="32">
        <f t="shared" ref="F355:F386" si="10">SUMIF($B$2:$B$305,E355,$D$2:$D$305)</f>
        <v>0</v>
      </c>
      <c r="G355" s="32" t="e">
        <f>C355*VLOOKUP($A355,'Selector Sheet '!$B$13:$D$43,2,FALSE)</f>
        <v>#N/A</v>
      </c>
    </row>
    <row r="356" spans="1:7">
      <c r="A356" s="31" t="s">
        <v>1957</v>
      </c>
      <c r="B356" t="s">
        <v>1838</v>
      </c>
      <c r="C356" s="82">
        <v>0.0152</v>
      </c>
      <c r="D356" s="32" t="e">
        <f>C356*VLOOKUP($A356,'Selector Sheet '!$B$13:$D$43,2,FALSE)</f>
        <v>#N/A</v>
      </c>
      <c r="F356" s="32">
        <f t="shared" si="10"/>
        <v>0</v>
      </c>
      <c r="G356" s="32" t="e">
        <f>C356*VLOOKUP($A356,'Selector Sheet '!$B$13:$D$43,2,FALSE)</f>
        <v>#N/A</v>
      </c>
    </row>
    <row r="357" spans="1:7">
      <c r="A357" s="31" t="s">
        <v>1957</v>
      </c>
      <c r="B357" t="s">
        <v>1832</v>
      </c>
      <c r="C357" s="82">
        <v>0.0152</v>
      </c>
      <c r="D357" s="32" t="e">
        <f>C357*VLOOKUP($A357,'Selector Sheet '!$B$13:$D$43,2,FALSE)</f>
        <v>#N/A</v>
      </c>
      <c r="F357" s="32">
        <f t="shared" si="10"/>
        <v>0</v>
      </c>
      <c r="G357" s="32" t="e">
        <f>C357*VLOOKUP($A357,'Selector Sheet '!$B$13:$D$43,2,FALSE)</f>
        <v>#N/A</v>
      </c>
    </row>
    <row r="358" spans="1:7">
      <c r="A358" s="31" t="s">
        <v>1957</v>
      </c>
      <c r="B358" t="s">
        <v>1837</v>
      </c>
      <c r="C358" s="82">
        <v>0.0149</v>
      </c>
      <c r="D358" s="32" t="e">
        <f>C358*VLOOKUP($A358,'Selector Sheet '!$B$13:$D$43,2,FALSE)</f>
        <v>#N/A</v>
      </c>
      <c r="F358" s="32">
        <f t="shared" si="10"/>
        <v>0</v>
      </c>
      <c r="G358" s="32" t="e">
        <f>C358*VLOOKUP($A358,'Selector Sheet '!$B$13:$D$43,2,FALSE)</f>
        <v>#N/A</v>
      </c>
    </row>
    <row r="359" spans="1:7">
      <c r="A359" s="31" t="s">
        <v>1957</v>
      </c>
      <c r="B359" t="s">
        <v>1830</v>
      </c>
      <c r="C359" s="82">
        <v>0.0149</v>
      </c>
      <c r="D359" s="32" t="e">
        <f>C359*VLOOKUP($A359,'Selector Sheet '!$B$13:$D$43,2,FALSE)</f>
        <v>#N/A</v>
      </c>
      <c r="F359" s="32">
        <f t="shared" si="10"/>
        <v>0</v>
      </c>
      <c r="G359" s="32" t="e">
        <f>C359*VLOOKUP($A359,'Selector Sheet '!$B$13:$D$43,2,FALSE)</f>
        <v>#N/A</v>
      </c>
    </row>
    <row r="360" spans="1:7">
      <c r="A360" s="31" t="s">
        <v>1957</v>
      </c>
      <c r="B360" t="s">
        <v>1833</v>
      </c>
      <c r="C360" s="82">
        <v>0.0145</v>
      </c>
      <c r="D360" s="32" t="e">
        <f>C360*VLOOKUP($A360,'Selector Sheet '!$B$13:$D$43,2,FALSE)</f>
        <v>#N/A</v>
      </c>
      <c r="F360" s="32">
        <f t="shared" si="10"/>
        <v>0</v>
      </c>
      <c r="G360" s="32" t="e">
        <f>C360*VLOOKUP($A360,'Selector Sheet '!$B$13:$D$43,2,FALSE)</f>
        <v>#N/A</v>
      </c>
    </row>
    <row r="361" spans="1:7">
      <c r="A361" s="31" t="s">
        <v>1957</v>
      </c>
      <c r="B361" t="s">
        <v>1844</v>
      </c>
      <c r="C361" s="82">
        <v>0.0145</v>
      </c>
      <c r="D361" s="32" t="e">
        <f>C361*VLOOKUP($A361,'Selector Sheet '!$B$13:$D$43,2,FALSE)</f>
        <v>#N/A</v>
      </c>
      <c r="F361" s="32">
        <f t="shared" si="10"/>
        <v>0</v>
      </c>
      <c r="G361" s="32" t="e">
        <f>C361*VLOOKUP($A361,'Selector Sheet '!$B$13:$D$43,2,FALSE)</f>
        <v>#N/A</v>
      </c>
    </row>
    <row r="362" spans="1:7">
      <c r="A362" s="31" t="s">
        <v>1957</v>
      </c>
      <c r="B362" t="s">
        <v>1845</v>
      </c>
      <c r="C362" s="82">
        <v>0.0118</v>
      </c>
      <c r="D362" s="32" t="e">
        <f>C362*VLOOKUP($A362,'Selector Sheet '!$B$13:$D$43,2,FALSE)</f>
        <v>#N/A</v>
      </c>
      <c r="F362" s="32">
        <f t="shared" si="10"/>
        <v>0</v>
      </c>
      <c r="G362" s="32" t="e">
        <f>C362*VLOOKUP($A362,'Selector Sheet '!$B$13:$D$43,2,FALSE)</f>
        <v>#N/A</v>
      </c>
    </row>
    <row r="363" spans="1:7">
      <c r="A363" s="31" t="s">
        <v>1957</v>
      </c>
      <c r="B363" t="s">
        <v>1843</v>
      </c>
      <c r="C363" s="82">
        <v>0.0117</v>
      </c>
      <c r="D363" s="32" t="e">
        <f>C363*VLOOKUP($A363,'Selector Sheet '!$B$13:$D$43,2,FALSE)</f>
        <v>#N/A</v>
      </c>
      <c r="F363" s="32">
        <f t="shared" si="10"/>
        <v>0</v>
      </c>
      <c r="G363" s="32" t="e">
        <f>C363*VLOOKUP($A363,'Selector Sheet '!$B$13:$D$43,2,FALSE)</f>
        <v>#N/A</v>
      </c>
    </row>
    <row r="364" spans="1:7">
      <c r="A364" s="31" t="s">
        <v>1957</v>
      </c>
      <c r="B364" t="s">
        <v>1995</v>
      </c>
      <c r="C364" s="82">
        <v>0.0115</v>
      </c>
      <c r="D364" s="32" t="e">
        <f>C364*VLOOKUP($A364,'Selector Sheet '!$B$13:$D$43,2,FALSE)</f>
        <v>#N/A</v>
      </c>
      <c r="F364" s="32">
        <f t="shared" si="10"/>
        <v>0</v>
      </c>
      <c r="G364" s="32" t="e">
        <f>C364*VLOOKUP($A364,'Selector Sheet '!$B$13:$D$43,2,FALSE)</f>
        <v>#N/A</v>
      </c>
    </row>
    <row r="365" spans="1:7">
      <c r="A365" s="31" t="s">
        <v>1957</v>
      </c>
      <c r="B365" t="s">
        <v>1851</v>
      </c>
      <c r="C365" s="82">
        <v>0.0108</v>
      </c>
      <c r="D365" s="32" t="e">
        <f>C365*VLOOKUP($A365,'Selector Sheet '!$B$13:$D$43,2,FALSE)</f>
        <v>#N/A</v>
      </c>
      <c r="F365" s="32">
        <f t="shared" si="10"/>
        <v>0</v>
      </c>
      <c r="G365" s="32" t="e">
        <f>C365*VLOOKUP($A365,'Selector Sheet '!$B$13:$D$43,2,FALSE)</f>
        <v>#N/A</v>
      </c>
    </row>
    <row r="366" spans="1:7">
      <c r="A366" s="31" t="s">
        <v>1957</v>
      </c>
      <c r="B366" t="s">
        <v>1898</v>
      </c>
      <c r="C366" s="82">
        <v>0.0105</v>
      </c>
      <c r="D366" s="32" t="e">
        <f>C366*VLOOKUP($A366,'Selector Sheet '!$B$13:$D$43,2,FALSE)</f>
        <v>#N/A</v>
      </c>
      <c r="F366" s="32">
        <f t="shared" si="10"/>
        <v>0</v>
      </c>
      <c r="G366" s="32" t="e">
        <f>C366*VLOOKUP($A366,'Selector Sheet '!$B$13:$D$43,2,FALSE)</f>
        <v>#N/A</v>
      </c>
    </row>
    <row r="367" spans="1:7">
      <c r="A367" s="31" t="s">
        <v>1957</v>
      </c>
      <c r="B367" t="s">
        <v>1847</v>
      </c>
      <c r="C367" s="82">
        <v>0.0104</v>
      </c>
      <c r="D367" s="32" t="e">
        <f>C367*VLOOKUP($A367,'Selector Sheet '!$B$13:$D$43,2,FALSE)</f>
        <v>#N/A</v>
      </c>
      <c r="F367" s="32">
        <f t="shared" si="10"/>
        <v>0</v>
      </c>
      <c r="G367" s="32" t="e">
        <f>C367*VLOOKUP($A367,'Selector Sheet '!$B$13:$D$43,2,FALSE)</f>
        <v>#N/A</v>
      </c>
    </row>
    <row r="368" spans="1:7">
      <c r="A368" s="31" t="s">
        <v>1957</v>
      </c>
      <c r="B368" t="s">
        <v>1926</v>
      </c>
      <c r="C368" s="82">
        <v>0.0096</v>
      </c>
      <c r="D368" s="32" t="e">
        <f>C368*VLOOKUP($A368,'Selector Sheet '!$B$13:$D$43,2,FALSE)</f>
        <v>#N/A</v>
      </c>
      <c r="F368" s="32">
        <f t="shared" si="10"/>
        <v>0</v>
      </c>
      <c r="G368" s="32" t="e">
        <f>C368*VLOOKUP($A368,'Selector Sheet '!$B$13:$D$43,2,FALSE)</f>
        <v>#N/A</v>
      </c>
    </row>
    <row r="369" spans="1:7">
      <c r="A369" s="31" t="s">
        <v>1957</v>
      </c>
      <c r="B369" t="s">
        <v>1849</v>
      </c>
      <c r="C369" s="82">
        <v>0.0096</v>
      </c>
      <c r="D369" s="32" t="e">
        <f>C369*VLOOKUP($A369,'Selector Sheet '!$B$13:$D$43,2,FALSE)</f>
        <v>#N/A</v>
      </c>
      <c r="F369" s="32">
        <f t="shared" si="10"/>
        <v>0</v>
      </c>
      <c r="G369" s="32" t="e">
        <f>C369*VLOOKUP($A369,'Selector Sheet '!$B$13:$D$43,2,FALSE)</f>
        <v>#N/A</v>
      </c>
    </row>
    <row r="370" spans="1:7">
      <c r="A370" s="31" t="s">
        <v>1957</v>
      </c>
      <c r="B370" t="s">
        <v>1996</v>
      </c>
      <c r="C370" s="82">
        <v>0.0092</v>
      </c>
      <c r="D370" s="32" t="e">
        <f>C370*VLOOKUP($A370,'Selector Sheet '!$B$13:$D$43,2,FALSE)</f>
        <v>#N/A</v>
      </c>
      <c r="F370" s="32">
        <f t="shared" si="10"/>
        <v>0</v>
      </c>
      <c r="G370" s="32" t="e">
        <f>C370*VLOOKUP($A370,'Selector Sheet '!$B$13:$D$43,2,FALSE)</f>
        <v>#N/A</v>
      </c>
    </row>
    <row r="371" spans="1:7">
      <c r="A371" s="31" t="s">
        <v>1957</v>
      </c>
      <c r="B371" t="s">
        <v>1835</v>
      </c>
      <c r="C371" s="82">
        <v>0.0092</v>
      </c>
      <c r="D371" s="32" t="e">
        <f>C371*VLOOKUP($A371,'Selector Sheet '!$B$13:$D$43,2,FALSE)</f>
        <v>#N/A</v>
      </c>
      <c r="F371" s="32">
        <f t="shared" si="10"/>
        <v>0</v>
      </c>
      <c r="G371" s="32" t="e">
        <f>C371*VLOOKUP($A371,'Selector Sheet '!$B$13:$D$43,2,FALSE)</f>
        <v>#N/A</v>
      </c>
    </row>
    <row r="372" spans="1:7">
      <c r="A372" s="31" t="s">
        <v>1957</v>
      </c>
      <c r="B372" t="s">
        <v>1982</v>
      </c>
      <c r="C372" s="82">
        <v>0.0087</v>
      </c>
      <c r="D372" s="32" t="e">
        <f>C372*VLOOKUP($A372,'Selector Sheet '!$B$13:$D$43,2,FALSE)</f>
        <v>#N/A</v>
      </c>
      <c r="F372" s="32">
        <f t="shared" si="10"/>
        <v>0</v>
      </c>
      <c r="G372" s="32" t="e">
        <f>C372*VLOOKUP($A372,'Selector Sheet '!$B$13:$D$43,2,FALSE)</f>
        <v>#N/A</v>
      </c>
    </row>
    <row r="373" spans="1:7">
      <c r="A373" s="31" t="s">
        <v>1957</v>
      </c>
      <c r="B373" t="s">
        <v>1841</v>
      </c>
      <c r="C373" s="82">
        <v>0.0086</v>
      </c>
      <c r="D373" s="32" t="e">
        <f>C373*VLOOKUP($A373,'Selector Sheet '!$B$13:$D$43,2,FALSE)</f>
        <v>#N/A</v>
      </c>
      <c r="F373" s="32">
        <f t="shared" si="10"/>
        <v>0</v>
      </c>
      <c r="G373" s="32" t="e">
        <f>C373*VLOOKUP($A373,'Selector Sheet '!$B$13:$D$43,2,FALSE)</f>
        <v>#N/A</v>
      </c>
    </row>
    <row r="374" spans="1:7">
      <c r="A374" s="31" t="s">
        <v>1989</v>
      </c>
      <c r="B374" t="s">
        <v>1822</v>
      </c>
      <c r="C374" s="82">
        <v>0.0776</v>
      </c>
      <c r="D374" s="32" t="e">
        <f>C374*VLOOKUP($A374,'Selector Sheet '!$B$13:$D$43,2,FALSE)</f>
        <v>#N/A</v>
      </c>
      <c r="F374" s="32">
        <f t="shared" si="10"/>
        <v>0</v>
      </c>
      <c r="G374" s="32" t="e">
        <f>C374*VLOOKUP($A374,'Selector Sheet '!$B$13:$D$43,2,FALSE)</f>
        <v>#N/A</v>
      </c>
    </row>
    <row r="375" spans="1:7">
      <c r="A375" s="31" t="s">
        <v>1989</v>
      </c>
      <c r="B375" t="s">
        <v>1826</v>
      </c>
      <c r="C375" s="82">
        <v>0.0374</v>
      </c>
      <c r="D375" s="32" t="e">
        <f>C375*VLOOKUP($A375,'Selector Sheet '!$B$13:$D$43,2,FALSE)</f>
        <v>#N/A</v>
      </c>
      <c r="F375" s="32">
        <f t="shared" si="10"/>
        <v>0</v>
      </c>
      <c r="G375" s="32" t="e">
        <f>C375*VLOOKUP($A375,'Selector Sheet '!$B$13:$D$43,2,FALSE)</f>
        <v>#N/A</v>
      </c>
    </row>
    <row r="376" spans="1:7">
      <c r="A376" s="31" t="s">
        <v>1989</v>
      </c>
      <c r="B376" t="s">
        <v>1845</v>
      </c>
      <c r="C376" s="82">
        <v>0.0308</v>
      </c>
      <c r="D376" s="32" t="e">
        <f>C376*VLOOKUP($A376,'Selector Sheet '!$B$13:$D$43,2,FALSE)</f>
        <v>#N/A</v>
      </c>
      <c r="F376" s="32">
        <f t="shared" si="10"/>
        <v>0</v>
      </c>
      <c r="G376" s="32" t="e">
        <f>C376*VLOOKUP($A376,'Selector Sheet '!$B$13:$D$43,2,FALSE)</f>
        <v>#N/A</v>
      </c>
    </row>
    <row r="377" spans="1:7">
      <c r="A377" s="31" t="s">
        <v>1989</v>
      </c>
      <c r="B377" t="s">
        <v>1847</v>
      </c>
      <c r="C377" s="82">
        <v>0.0217</v>
      </c>
      <c r="D377" s="32" t="e">
        <f>C377*VLOOKUP($A377,'Selector Sheet '!$B$13:$D$43,2,FALSE)</f>
        <v>#N/A</v>
      </c>
      <c r="F377" s="32">
        <f t="shared" si="10"/>
        <v>0</v>
      </c>
      <c r="G377" s="32" t="e">
        <f>C377*VLOOKUP($A377,'Selector Sheet '!$B$13:$D$43,2,FALSE)</f>
        <v>#N/A</v>
      </c>
    </row>
    <row r="378" spans="1:7">
      <c r="A378" s="31" t="s">
        <v>1989</v>
      </c>
      <c r="B378" t="s">
        <v>2106</v>
      </c>
      <c r="C378" s="82">
        <v>0.0205</v>
      </c>
      <c r="D378" s="32" t="e">
        <f>C378*VLOOKUP($A378,'Selector Sheet '!$B$13:$D$43,2,FALSE)</f>
        <v>#N/A</v>
      </c>
      <c r="F378" s="32">
        <f t="shared" si="10"/>
        <v>0</v>
      </c>
      <c r="G378" s="32" t="e">
        <f>C378*VLOOKUP($A378,'Selector Sheet '!$B$13:$D$43,2,FALSE)</f>
        <v>#N/A</v>
      </c>
    </row>
    <row r="379" spans="1:7">
      <c r="A379" s="31" t="s">
        <v>1989</v>
      </c>
      <c r="B379" t="s">
        <v>2107</v>
      </c>
      <c r="C379" s="82">
        <v>0.0199</v>
      </c>
      <c r="D379" s="32" t="e">
        <f>C379*VLOOKUP($A379,'Selector Sheet '!$B$13:$D$43,2,FALSE)</f>
        <v>#N/A</v>
      </c>
      <c r="F379" s="32">
        <f t="shared" si="10"/>
        <v>0</v>
      </c>
      <c r="G379" s="32" t="e">
        <f>C379*VLOOKUP($A379,'Selector Sheet '!$B$13:$D$43,2,FALSE)</f>
        <v>#N/A</v>
      </c>
    </row>
    <row r="380" spans="1:7">
      <c r="A380" s="31" t="s">
        <v>1989</v>
      </c>
      <c r="B380" t="s">
        <v>1876</v>
      </c>
      <c r="C380" s="82">
        <v>0.0197</v>
      </c>
      <c r="D380" s="32" t="e">
        <f>C380*VLOOKUP($A380,'Selector Sheet '!$B$13:$D$43,2,FALSE)</f>
        <v>#N/A</v>
      </c>
      <c r="F380" s="32">
        <f t="shared" si="10"/>
        <v>0</v>
      </c>
      <c r="G380" s="32" t="e">
        <f>C380*VLOOKUP($A380,'Selector Sheet '!$B$13:$D$43,2,FALSE)</f>
        <v>#N/A</v>
      </c>
    </row>
    <row r="381" spans="1:7">
      <c r="A381" s="31" t="s">
        <v>1989</v>
      </c>
      <c r="B381" t="s">
        <v>1853</v>
      </c>
      <c r="C381" s="82">
        <v>0.0184</v>
      </c>
      <c r="D381" s="32" t="e">
        <f>C381*VLOOKUP($A381,'Selector Sheet '!$B$13:$D$43,2,FALSE)</f>
        <v>#N/A</v>
      </c>
      <c r="F381" s="32">
        <f t="shared" si="10"/>
        <v>0</v>
      </c>
      <c r="G381" s="32" t="e">
        <f>C381*VLOOKUP($A381,'Selector Sheet '!$B$13:$D$43,2,FALSE)</f>
        <v>#N/A</v>
      </c>
    </row>
    <row r="382" spans="1:7">
      <c r="A382" s="31" t="s">
        <v>1989</v>
      </c>
      <c r="B382" t="s">
        <v>1835</v>
      </c>
      <c r="C382" s="82">
        <v>0.0178</v>
      </c>
      <c r="D382" s="32" t="e">
        <f>C382*VLOOKUP($A382,'Selector Sheet '!$B$13:$D$43,2,FALSE)</f>
        <v>#N/A</v>
      </c>
      <c r="F382" s="32">
        <f t="shared" si="10"/>
        <v>0</v>
      </c>
      <c r="G382" s="32" t="e">
        <f>C382*VLOOKUP($A382,'Selector Sheet '!$B$13:$D$43,2,FALSE)</f>
        <v>#N/A</v>
      </c>
    </row>
    <row r="383" spans="1:7">
      <c r="A383" s="31" t="s">
        <v>1989</v>
      </c>
      <c r="B383" t="s">
        <v>1833</v>
      </c>
      <c r="C383" s="82">
        <v>0.0167</v>
      </c>
      <c r="D383" s="32" t="e">
        <f>C383*VLOOKUP($A383,'Selector Sheet '!$B$13:$D$43,2,FALSE)</f>
        <v>#N/A</v>
      </c>
      <c r="F383" s="32">
        <f t="shared" si="10"/>
        <v>0</v>
      </c>
      <c r="G383" s="32" t="e">
        <f>C383*VLOOKUP($A383,'Selector Sheet '!$B$13:$D$43,2,FALSE)</f>
        <v>#N/A</v>
      </c>
    </row>
    <row r="384" spans="1:7">
      <c r="A384" s="31" t="s">
        <v>1989</v>
      </c>
      <c r="B384" t="s">
        <v>2108</v>
      </c>
      <c r="C384" s="82">
        <v>0.0163</v>
      </c>
      <c r="D384" s="32" t="e">
        <f>C384*VLOOKUP($A384,'Selector Sheet '!$B$13:$D$43,2,FALSE)</f>
        <v>#N/A</v>
      </c>
      <c r="F384" s="32">
        <f t="shared" si="10"/>
        <v>0</v>
      </c>
      <c r="G384" s="32" t="e">
        <f>C384*VLOOKUP($A384,'Selector Sheet '!$B$13:$D$43,2,FALSE)</f>
        <v>#N/A</v>
      </c>
    </row>
    <row r="385" spans="1:7">
      <c r="A385" s="31" t="s">
        <v>1989</v>
      </c>
      <c r="B385" t="s">
        <v>2099</v>
      </c>
      <c r="C385" s="82">
        <v>0.0162</v>
      </c>
      <c r="D385" s="32" t="e">
        <f>C385*VLOOKUP($A385,'Selector Sheet '!$B$13:$D$43,2,FALSE)</f>
        <v>#N/A</v>
      </c>
      <c r="F385" s="32">
        <f t="shared" si="10"/>
        <v>0</v>
      </c>
      <c r="G385" s="32" t="e">
        <f>C385*VLOOKUP($A385,'Selector Sheet '!$B$13:$D$43,2,FALSE)</f>
        <v>#N/A</v>
      </c>
    </row>
    <row r="386" spans="1:7">
      <c r="A386" s="31" t="s">
        <v>1989</v>
      </c>
      <c r="B386" t="s">
        <v>1824</v>
      </c>
      <c r="C386" s="82">
        <v>0.0161</v>
      </c>
      <c r="D386" s="32" t="e">
        <f>C386*VLOOKUP($A386,'Selector Sheet '!$B$13:$D$43,2,FALSE)</f>
        <v>#N/A</v>
      </c>
      <c r="F386" s="32">
        <f t="shared" si="10"/>
        <v>0</v>
      </c>
      <c r="G386" s="32" t="e">
        <f>C386*VLOOKUP($A386,'Selector Sheet '!$B$13:$D$43,2,FALSE)</f>
        <v>#N/A</v>
      </c>
    </row>
    <row r="387" spans="1:7">
      <c r="A387" s="31" t="s">
        <v>1989</v>
      </c>
      <c r="B387" t="s">
        <v>1478</v>
      </c>
      <c r="C387" s="82">
        <v>0.0153</v>
      </c>
      <c r="D387" s="32" t="e">
        <f>C387*VLOOKUP($A387,'Selector Sheet '!$B$13:$D$43,2,FALSE)</f>
        <v>#N/A</v>
      </c>
      <c r="F387" s="32">
        <f t="shared" ref="F387:F420" si="11">SUMIF($B$2:$B$305,E387,$D$2:$D$305)</f>
        <v>0</v>
      </c>
      <c r="G387" s="32" t="e">
        <f>C387*VLOOKUP($A387,'Selector Sheet '!$B$13:$D$43,2,FALSE)</f>
        <v>#N/A</v>
      </c>
    </row>
    <row r="388" spans="1:7">
      <c r="A388" s="31" t="s">
        <v>1989</v>
      </c>
      <c r="B388" t="s">
        <v>2109</v>
      </c>
      <c r="C388" s="82">
        <v>0.0149</v>
      </c>
      <c r="D388" s="32" t="e">
        <f>C388*VLOOKUP($A388,'Selector Sheet '!$B$13:$D$43,2,FALSE)</f>
        <v>#N/A</v>
      </c>
      <c r="F388" s="32">
        <f t="shared" si="11"/>
        <v>0</v>
      </c>
      <c r="G388" s="32" t="e">
        <f>C388*VLOOKUP($A388,'Selector Sheet '!$B$13:$D$43,2,FALSE)</f>
        <v>#N/A</v>
      </c>
    </row>
    <row r="389" spans="1:7">
      <c r="A389" s="31" t="s">
        <v>1989</v>
      </c>
      <c r="B389" t="s">
        <v>1907</v>
      </c>
      <c r="C389" s="82">
        <v>0.014</v>
      </c>
      <c r="D389" s="32" t="e">
        <f>C389*VLOOKUP($A389,'Selector Sheet '!$B$13:$D$43,2,FALSE)</f>
        <v>#N/A</v>
      </c>
      <c r="F389" s="32">
        <f t="shared" si="11"/>
        <v>0</v>
      </c>
      <c r="G389" s="32" t="e">
        <f>C389*VLOOKUP($A389,'Selector Sheet '!$B$13:$D$43,2,FALSE)</f>
        <v>#N/A</v>
      </c>
    </row>
    <row r="390" spans="1:7">
      <c r="A390" s="31" t="s">
        <v>1989</v>
      </c>
      <c r="B390" t="s">
        <v>1918</v>
      </c>
      <c r="C390" s="82">
        <v>0.0136</v>
      </c>
      <c r="D390" s="32" t="e">
        <f>C390*VLOOKUP($A390,'Selector Sheet '!$B$13:$D$43,2,FALSE)</f>
        <v>#N/A</v>
      </c>
      <c r="F390" s="32">
        <f t="shared" si="11"/>
        <v>0</v>
      </c>
      <c r="G390" s="32" t="e">
        <f>C390*VLOOKUP($A390,'Selector Sheet '!$B$13:$D$43,2,FALSE)</f>
        <v>#N/A</v>
      </c>
    </row>
    <row r="391" spans="1:7">
      <c r="A391" s="31" t="s">
        <v>1989</v>
      </c>
      <c r="B391" t="s">
        <v>1968</v>
      </c>
      <c r="C391" s="82">
        <v>0.0136</v>
      </c>
      <c r="D391" s="32" t="e">
        <f>C391*VLOOKUP($A391,'Selector Sheet '!$B$13:$D$43,2,FALSE)</f>
        <v>#N/A</v>
      </c>
      <c r="F391" s="32">
        <f t="shared" si="11"/>
        <v>0</v>
      </c>
      <c r="G391" s="32" t="e">
        <f>C391*VLOOKUP($A391,'Selector Sheet '!$B$13:$D$43,2,FALSE)</f>
        <v>#N/A</v>
      </c>
    </row>
    <row r="392" spans="1:7">
      <c r="A392" s="31" t="s">
        <v>1989</v>
      </c>
      <c r="B392" t="s">
        <v>1827</v>
      </c>
      <c r="C392" s="82">
        <v>0.0128</v>
      </c>
      <c r="D392" s="32" t="e">
        <f>C392*VLOOKUP($A392,'Selector Sheet '!$B$13:$D$43,2,FALSE)</f>
        <v>#N/A</v>
      </c>
      <c r="F392" s="32">
        <f t="shared" si="11"/>
        <v>0</v>
      </c>
      <c r="G392" s="32" t="e">
        <f>C392*VLOOKUP($A392,'Selector Sheet '!$B$13:$D$43,2,FALSE)</f>
        <v>#N/A</v>
      </c>
    </row>
    <row r="393" spans="1:7">
      <c r="A393" s="31" t="s">
        <v>1989</v>
      </c>
      <c r="B393" t="s">
        <v>1832</v>
      </c>
      <c r="C393" s="82">
        <v>0.0126</v>
      </c>
      <c r="D393" s="32" t="e">
        <f>C393*VLOOKUP($A393,'Selector Sheet '!$B$13:$D$43,2,FALSE)</f>
        <v>#N/A</v>
      </c>
      <c r="F393" s="32">
        <f t="shared" si="11"/>
        <v>0</v>
      </c>
      <c r="G393" s="32" t="e">
        <f>C393*VLOOKUP($A393,'Selector Sheet '!$B$13:$D$43,2,FALSE)</f>
        <v>#N/A</v>
      </c>
    </row>
    <row r="394" spans="1:7">
      <c r="A394" s="31" t="s">
        <v>1989</v>
      </c>
      <c r="B394" t="s">
        <v>2110</v>
      </c>
      <c r="C394" s="82">
        <v>0.0125</v>
      </c>
      <c r="D394" s="32" t="e">
        <f>C394*VLOOKUP($A394,'Selector Sheet '!$B$13:$D$43,2,FALSE)</f>
        <v>#N/A</v>
      </c>
      <c r="F394" s="32">
        <f t="shared" si="11"/>
        <v>0</v>
      </c>
      <c r="G394" s="32" t="e">
        <f>C394*VLOOKUP($A394,'Selector Sheet '!$B$13:$D$43,2,FALSE)</f>
        <v>#N/A</v>
      </c>
    </row>
    <row r="395" spans="1:7">
      <c r="A395" s="31" t="s">
        <v>1989</v>
      </c>
      <c r="B395" t="s">
        <v>1830</v>
      </c>
      <c r="C395" s="82">
        <v>0.0125</v>
      </c>
      <c r="D395" s="32" t="e">
        <f>C395*VLOOKUP($A395,'Selector Sheet '!$B$13:$D$43,2,FALSE)</f>
        <v>#N/A</v>
      </c>
      <c r="F395" s="32">
        <f t="shared" si="11"/>
        <v>0</v>
      </c>
      <c r="G395" s="32" t="e">
        <f>C395*VLOOKUP($A395,'Selector Sheet '!$B$13:$D$43,2,FALSE)</f>
        <v>#N/A</v>
      </c>
    </row>
    <row r="396" spans="1:7">
      <c r="A396" s="31" t="s">
        <v>1989</v>
      </c>
      <c r="B396" t="s">
        <v>1967</v>
      </c>
      <c r="C396" s="82">
        <v>0.0123</v>
      </c>
      <c r="D396" s="32" t="e">
        <f>C396*VLOOKUP($A396,'Selector Sheet '!$B$13:$D$43,2,FALSE)</f>
        <v>#N/A</v>
      </c>
      <c r="F396" s="32">
        <f t="shared" si="11"/>
        <v>0</v>
      </c>
      <c r="G396" s="32" t="e">
        <f>C396*VLOOKUP($A396,'Selector Sheet '!$B$13:$D$43,2,FALSE)</f>
        <v>#N/A</v>
      </c>
    </row>
    <row r="397" spans="1:7">
      <c r="A397" s="31" t="s">
        <v>1989</v>
      </c>
      <c r="B397" t="s">
        <v>1883</v>
      </c>
      <c r="C397" s="82">
        <v>0.0118</v>
      </c>
      <c r="D397" s="32" t="e">
        <f>C397*VLOOKUP($A397,'Selector Sheet '!$B$13:$D$43,2,FALSE)</f>
        <v>#N/A</v>
      </c>
      <c r="F397" s="32">
        <f t="shared" si="11"/>
        <v>0</v>
      </c>
      <c r="G397" s="32" t="e">
        <f>C397*VLOOKUP($A397,'Selector Sheet '!$B$13:$D$43,2,FALSE)</f>
        <v>#N/A</v>
      </c>
    </row>
    <row r="398" spans="1:7">
      <c r="A398" s="31" t="s">
        <v>1989</v>
      </c>
      <c r="B398" t="s">
        <v>1929</v>
      </c>
      <c r="C398" s="82">
        <v>0.0105</v>
      </c>
      <c r="D398" s="32" t="e">
        <f>C398*VLOOKUP($A398,'Selector Sheet '!$B$13:$D$43,2,FALSE)</f>
        <v>#N/A</v>
      </c>
      <c r="F398" s="32">
        <f t="shared" si="11"/>
        <v>0</v>
      </c>
      <c r="G398" s="32" t="e">
        <f>C398*VLOOKUP($A398,'Selector Sheet '!$B$13:$D$43,2,FALSE)</f>
        <v>#N/A</v>
      </c>
    </row>
    <row r="399" spans="1:7">
      <c r="A399" s="31" t="s">
        <v>1848</v>
      </c>
      <c r="B399" t="s">
        <v>1822</v>
      </c>
      <c r="C399" s="82">
        <v>0.0832</v>
      </c>
      <c r="D399" s="32" t="e">
        <f>C399*VLOOKUP($A399,'Selector Sheet '!$B$13:$D$43,2,FALSE)</f>
        <v>#N/A</v>
      </c>
      <c r="F399" s="32">
        <f t="shared" si="11"/>
        <v>0</v>
      </c>
      <c r="G399" s="32" t="e">
        <f>C399*VLOOKUP($A399,'Selector Sheet '!$B$13:$D$43,2,FALSE)</f>
        <v>#N/A</v>
      </c>
    </row>
    <row r="400" spans="1:7">
      <c r="A400" s="31" t="s">
        <v>1848</v>
      </c>
      <c r="B400" t="s">
        <v>1845</v>
      </c>
      <c r="C400" s="82">
        <v>0.0389</v>
      </c>
      <c r="D400" s="32" t="e">
        <f>C400*VLOOKUP($A400,'Selector Sheet '!$B$13:$D$43,2,FALSE)</f>
        <v>#N/A</v>
      </c>
      <c r="F400" s="32">
        <f t="shared" si="11"/>
        <v>0</v>
      </c>
      <c r="G400" s="32" t="e">
        <f>C400*VLOOKUP($A400,'Selector Sheet '!$B$13:$D$43,2,FALSE)</f>
        <v>#N/A</v>
      </c>
    </row>
    <row r="401" spans="1:7">
      <c r="A401" s="31" t="s">
        <v>1848</v>
      </c>
      <c r="B401" t="s">
        <v>1832</v>
      </c>
      <c r="C401" s="82">
        <v>0.0341</v>
      </c>
      <c r="D401" s="32" t="e">
        <f>C401*VLOOKUP($A401,'Selector Sheet '!$B$13:$D$43,2,FALSE)</f>
        <v>#N/A</v>
      </c>
      <c r="F401" s="32">
        <f t="shared" si="11"/>
        <v>0</v>
      </c>
      <c r="G401" s="32" t="e">
        <f>C401*VLOOKUP($A401,'Selector Sheet '!$B$13:$D$43,2,FALSE)</f>
        <v>#N/A</v>
      </c>
    </row>
    <row r="402" spans="1:7">
      <c r="A402" s="31" t="s">
        <v>1848</v>
      </c>
      <c r="B402" t="s">
        <v>1826</v>
      </c>
      <c r="C402" s="82">
        <v>0.0333</v>
      </c>
      <c r="D402" s="32" t="e">
        <f>C402*VLOOKUP($A402,'Selector Sheet '!$B$13:$D$43,2,FALSE)</f>
        <v>#N/A</v>
      </c>
      <c r="F402" s="32">
        <f t="shared" si="11"/>
        <v>0</v>
      </c>
      <c r="G402" s="32" t="e">
        <f>C402*VLOOKUP($A402,'Selector Sheet '!$B$13:$D$43,2,FALSE)</f>
        <v>#N/A</v>
      </c>
    </row>
    <row r="403" spans="1:7">
      <c r="A403" s="31" t="s">
        <v>1848</v>
      </c>
      <c r="B403" t="s">
        <v>1871</v>
      </c>
      <c r="C403" s="82">
        <v>0.0305</v>
      </c>
      <c r="D403" s="32" t="e">
        <f>C403*VLOOKUP($A403,'Selector Sheet '!$B$13:$D$43,2,FALSE)</f>
        <v>#N/A</v>
      </c>
      <c r="F403" s="32">
        <f t="shared" si="11"/>
        <v>0</v>
      </c>
      <c r="G403" s="32" t="e">
        <f>C403*VLOOKUP($A403,'Selector Sheet '!$B$13:$D$43,2,FALSE)</f>
        <v>#N/A</v>
      </c>
    </row>
    <row r="404" spans="1:7">
      <c r="A404" s="31" t="s">
        <v>1848</v>
      </c>
      <c r="B404" t="s">
        <v>1885</v>
      </c>
      <c r="C404" s="82">
        <v>0.0289</v>
      </c>
      <c r="D404" s="32" t="e">
        <f>C404*VLOOKUP($A404,'Selector Sheet '!$B$13:$D$43,2,FALSE)</f>
        <v>#N/A</v>
      </c>
      <c r="F404" s="32">
        <f t="shared" si="11"/>
        <v>0</v>
      </c>
      <c r="G404" s="32" t="e">
        <f>C404*VLOOKUP($A404,'Selector Sheet '!$B$13:$D$43,2,FALSE)</f>
        <v>#N/A</v>
      </c>
    </row>
    <row r="405" spans="1:7">
      <c r="A405" s="31" t="s">
        <v>1848</v>
      </c>
      <c r="B405" t="s">
        <v>1824</v>
      </c>
      <c r="C405" s="82">
        <v>0.0257</v>
      </c>
      <c r="D405" s="32" t="e">
        <f>C405*VLOOKUP($A405,'Selector Sheet '!$B$13:$D$43,2,FALSE)</f>
        <v>#N/A</v>
      </c>
      <c r="F405" s="32">
        <f t="shared" si="11"/>
        <v>0</v>
      </c>
      <c r="G405" s="32" t="e">
        <f>C405*VLOOKUP($A405,'Selector Sheet '!$B$13:$D$43,2,FALSE)</f>
        <v>#N/A</v>
      </c>
    </row>
    <row r="406" spans="1:7">
      <c r="A406" s="31" t="s">
        <v>1848</v>
      </c>
      <c r="B406" t="s">
        <v>1878</v>
      </c>
      <c r="C406" s="82">
        <v>0.0253</v>
      </c>
      <c r="D406" s="32" t="e">
        <f>C406*VLOOKUP($A406,'Selector Sheet '!$B$13:$D$43,2,FALSE)</f>
        <v>#N/A</v>
      </c>
      <c r="F406" s="32">
        <f t="shared" si="11"/>
        <v>0</v>
      </c>
      <c r="G406" s="32" t="e">
        <f>C406*VLOOKUP($A406,'Selector Sheet '!$B$13:$D$43,2,FALSE)</f>
        <v>#N/A</v>
      </c>
    </row>
    <row r="407" spans="1:7">
      <c r="A407" s="31" t="s">
        <v>1848</v>
      </c>
      <c r="B407" t="s">
        <v>1883</v>
      </c>
      <c r="C407" s="82">
        <v>0.0251</v>
      </c>
      <c r="D407" s="32" t="e">
        <f>C407*VLOOKUP($A407,'Selector Sheet '!$B$13:$D$43,2,FALSE)</f>
        <v>#N/A</v>
      </c>
      <c r="F407" s="32">
        <f t="shared" si="11"/>
        <v>0</v>
      </c>
      <c r="G407" s="32" t="e">
        <f>C407*VLOOKUP($A407,'Selector Sheet '!$B$13:$D$43,2,FALSE)</f>
        <v>#N/A</v>
      </c>
    </row>
    <row r="408" spans="1:7">
      <c r="A408" s="31" t="s">
        <v>1848</v>
      </c>
      <c r="B408" t="s">
        <v>1827</v>
      </c>
      <c r="C408" s="82">
        <v>0.0234</v>
      </c>
      <c r="D408" s="32" t="e">
        <f>C408*VLOOKUP($A408,'Selector Sheet '!$B$13:$D$43,2,FALSE)</f>
        <v>#N/A</v>
      </c>
      <c r="F408" s="32">
        <f t="shared" si="11"/>
        <v>0</v>
      </c>
      <c r="G408" s="32" t="e">
        <f>C408*VLOOKUP($A408,'Selector Sheet '!$B$13:$D$43,2,FALSE)</f>
        <v>#N/A</v>
      </c>
    </row>
    <row r="409" spans="1:7">
      <c r="A409" s="31" t="s">
        <v>1848</v>
      </c>
      <c r="B409" t="s">
        <v>1835</v>
      </c>
      <c r="C409" s="82">
        <v>0.0231</v>
      </c>
      <c r="D409" s="32" t="e">
        <f>C409*VLOOKUP($A409,'Selector Sheet '!$B$13:$D$43,2,FALSE)</f>
        <v>#N/A</v>
      </c>
      <c r="F409" s="32">
        <f t="shared" si="11"/>
        <v>0</v>
      </c>
      <c r="G409" s="32" t="e">
        <f>C409*VLOOKUP($A409,'Selector Sheet '!$B$13:$D$43,2,FALSE)</f>
        <v>#N/A</v>
      </c>
    </row>
    <row r="410" spans="1:7">
      <c r="A410" s="31" t="s">
        <v>1848</v>
      </c>
      <c r="B410" t="s">
        <v>1888</v>
      </c>
      <c r="C410" s="82">
        <v>0.0229</v>
      </c>
      <c r="D410" s="32" t="e">
        <f>C410*VLOOKUP($A410,'Selector Sheet '!$B$13:$D$43,2,FALSE)</f>
        <v>#N/A</v>
      </c>
      <c r="F410" s="32">
        <f t="shared" si="11"/>
        <v>0</v>
      </c>
      <c r="G410" s="32" t="e">
        <f>C410*VLOOKUP($A410,'Selector Sheet '!$B$13:$D$43,2,FALSE)</f>
        <v>#N/A</v>
      </c>
    </row>
    <row r="411" spans="1:7">
      <c r="A411" s="31" t="s">
        <v>1848</v>
      </c>
      <c r="B411" t="s">
        <v>1882</v>
      </c>
      <c r="C411" s="82">
        <v>0.021</v>
      </c>
      <c r="D411" s="32" t="e">
        <f>C411*VLOOKUP($A411,'Selector Sheet '!$B$13:$D$43,2,FALSE)</f>
        <v>#N/A</v>
      </c>
      <c r="F411" s="32">
        <f t="shared" si="11"/>
        <v>0</v>
      </c>
      <c r="G411" s="32" t="e">
        <f>C411*VLOOKUP($A411,'Selector Sheet '!$B$13:$D$43,2,FALSE)</f>
        <v>#N/A</v>
      </c>
    </row>
    <row r="412" spans="1:7">
      <c r="A412" s="31" t="s">
        <v>1848</v>
      </c>
      <c r="B412" t="s">
        <v>1879</v>
      </c>
      <c r="C412" s="82">
        <v>0.021</v>
      </c>
      <c r="D412" s="32" t="e">
        <f>C412*VLOOKUP($A412,'Selector Sheet '!$B$13:$D$43,2,FALSE)</f>
        <v>#N/A</v>
      </c>
      <c r="F412" s="32">
        <f t="shared" si="11"/>
        <v>0</v>
      </c>
      <c r="G412" s="32" t="e">
        <f>C412*VLOOKUP($A412,'Selector Sheet '!$B$13:$D$43,2,FALSE)</f>
        <v>#N/A</v>
      </c>
    </row>
    <row r="413" spans="1:7">
      <c r="A413" s="31" t="s">
        <v>1848</v>
      </c>
      <c r="B413" t="s">
        <v>1876</v>
      </c>
      <c r="C413" s="82">
        <v>0.0183</v>
      </c>
      <c r="D413" s="32" t="e">
        <f>C413*VLOOKUP($A413,'Selector Sheet '!$B$13:$D$43,2,FALSE)</f>
        <v>#N/A</v>
      </c>
      <c r="F413" s="32">
        <f t="shared" si="11"/>
        <v>0</v>
      </c>
      <c r="G413" s="32" t="e">
        <f>C413*VLOOKUP($A413,'Selector Sheet '!$B$13:$D$43,2,FALSE)</f>
        <v>#N/A</v>
      </c>
    </row>
    <row r="414" spans="1:7">
      <c r="A414" s="31" t="s">
        <v>1848</v>
      </c>
      <c r="B414" t="s">
        <v>1886</v>
      </c>
      <c r="C414" s="82">
        <v>0.018</v>
      </c>
      <c r="D414" s="32" t="e">
        <f>C414*VLOOKUP($A414,'Selector Sheet '!$B$13:$D$43,2,FALSE)</f>
        <v>#N/A</v>
      </c>
      <c r="F414" s="32">
        <f t="shared" si="11"/>
        <v>0</v>
      </c>
      <c r="G414" s="32" t="e">
        <f>C414*VLOOKUP($A414,'Selector Sheet '!$B$13:$D$43,2,FALSE)</f>
        <v>#N/A</v>
      </c>
    </row>
    <row r="415" spans="1:7">
      <c r="A415" s="31" t="s">
        <v>1848</v>
      </c>
      <c r="B415" t="s">
        <v>1887</v>
      </c>
      <c r="C415" s="82">
        <v>0.0174</v>
      </c>
      <c r="D415" s="32" t="e">
        <f>C415*VLOOKUP($A415,'Selector Sheet '!$B$13:$D$43,2,FALSE)</f>
        <v>#N/A</v>
      </c>
      <c r="F415" s="32">
        <f t="shared" si="11"/>
        <v>0</v>
      </c>
      <c r="G415" s="32" t="e">
        <f>C415*VLOOKUP($A415,'Selector Sheet '!$B$13:$D$43,2,FALSE)</f>
        <v>#N/A</v>
      </c>
    </row>
    <row r="416" spans="1:7">
      <c r="A416" s="31" t="s">
        <v>1848</v>
      </c>
      <c r="B416" t="s">
        <v>1889</v>
      </c>
      <c r="C416" s="82">
        <v>0.0166</v>
      </c>
      <c r="D416" s="32" t="e">
        <f>C416*VLOOKUP($A416,'Selector Sheet '!$B$13:$D$43,2,FALSE)</f>
        <v>#N/A</v>
      </c>
      <c r="F416" s="32">
        <f t="shared" si="11"/>
        <v>0</v>
      </c>
      <c r="G416" s="32" t="e">
        <f>C416*VLOOKUP($A416,'Selector Sheet '!$B$13:$D$43,2,FALSE)</f>
        <v>#N/A</v>
      </c>
    </row>
    <row r="417" spans="1:7">
      <c r="A417" s="31" t="s">
        <v>1848</v>
      </c>
      <c r="B417" t="s">
        <v>1890</v>
      </c>
      <c r="C417" s="82">
        <v>0.0164</v>
      </c>
      <c r="D417" s="32" t="e">
        <f>C417*VLOOKUP($A417,'Selector Sheet '!$B$13:$D$43,2,FALSE)</f>
        <v>#N/A</v>
      </c>
      <c r="F417" s="32">
        <f t="shared" si="11"/>
        <v>0</v>
      </c>
      <c r="G417" s="32" t="e">
        <f>C417*VLOOKUP($A417,'Selector Sheet '!$B$13:$D$43,2,FALSE)</f>
        <v>#N/A</v>
      </c>
    </row>
    <row r="418" spans="1:7">
      <c r="A418" s="31" t="s">
        <v>1848</v>
      </c>
      <c r="B418" t="s">
        <v>1843</v>
      </c>
      <c r="C418" s="82">
        <v>0.016</v>
      </c>
      <c r="D418" s="32" t="e">
        <f>C418*VLOOKUP($A418,'Selector Sheet '!$B$13:$D$43,2,FALSE)</f>
        <v>#N/A</v>
      </c>
      <c r="F418" s="32">
        <f t="shared" si="11"/>
        <v>0</v>
      </c>
      <c r="G418" s="32" t="e">
        <f>C418*VLOOKUP($A418,'Selector Sheet '!$B$13:$D$43,2,FALSE)</f>
        <v>#N/A</v>
      </c>
    </row>
    <row r="419" spans="1:7">
      <c r="A419" s="31" t="s">
        <v>1848</v>
      </c>
      <c r="B419" t="s">
        <v>1894</v>
      </c>
      <c r="C419" s="82">
        <v>0.0158</v>
      </c>
      <c r="D419" s="32" t="e">
        <f>C419*VLOOKUP($A419,'Selector Sheet '!$B$13:$D$43,2,FALSE)</f>
        <v>#N/A</v>
      </c>
      <c r="F419" s="32">
        <f t="shared" si="11"/>
        <v>0</v>
      </c>
      <c r="G419" s="32" t="e">
        <f>C419*VLOOKUP($A419,'Selector Sheet '!$B$13:$D$43,2,FALSE)</f>
        <v>#N/A</v>
      </c>
    </row>
    <row r="420" spans="1:7">
      <c r="A420" s="31" t="s">
        <v>1848</v>
      </c>
      <c r="B420" t="s">
        <v>1925</v>
      </c>
      <c r="C420" s="82">
        <v>0.0155</v>
      </c>
      <c r="D420" s="32" t="e">
        <f>C420*VLOOKUP($A420,'Selector Sheet '!$B$13:$D$43,2,FALSE)</f>
        <v>#N/A</v>
      </c>
      <c r="F420" s="32">
        <f t="shared" si="11"/>
        <v>0</v>
      </c>
      <c r="G420" s="32" t="e">
        <f>C420*VLOOKUP($A420,'Selector Sheet '!$B$13:$D$43,2,FALSE)</f>
        <v>#N/A</v>
      </c>
    </row>
    <row r="421" spans="1:7">
      <c r="A421" s="31" t="s">
        <v>1848</v>
      </c>
      <c r="B421" t="s">
        <v>1838</v>
      </c>
      <c r="C421" s="82">
        <v>0.0146</v>
      </c>
      <c r="D421" s="32" t="e">
        <f>C421*VLOOKUP($A421,'Selector Sheet '!$B$13:$D$43,2,FALSE)</f>
        <v>#N/A</v>
      </c>
      <c r="E421" s="32" t="e">
        <f>#REF!*VLOOKUP(#REF!,'Selector Sheet '!$B$13:$D$43,3,FALSE)</f>
        <v>#REF!</v>
      </c>
      <c r="F421" s="32" t="e">
        <f>E421*VLOOKUP(#REF!,'Selector Sheet '!$B$13:$D$43,3,FALSE)</f>
        <v>#REF!</v>
      </c>
      <c r="G421" s="32" t="e">
        <f>C421*VLOOKUP($A421,'Selector Sheet '!$B$13:$D$43,2,FALSE)</f>
        <v>#N/A</v>
      </c>
    </row>
    <row r="422" spans="1:7">
      <c r="A422" s="31" t="s">
        <v>1848</v>
      </c>
      <c r="B422" t="s">
        <v>1829</v>
      </c>
      <c r="C422" s="82">
        <v>0.0136</v>
      </c>
      <c r="D422" s="32" t="e">
        <f>C422*VLOOKUP($A422,'Selector Sheet '!$B$13:$D$43,2,FALSE)</f>
        <v>#N/A</v>
      </c>
      <c r="F422" s="32">
        <f t="shared" ref="F422:F430" si="12">SUMIF($B$2:$B$305,E422,$D$2:$D$305)</f>
        <v>0</v>
      </c>
      <c r="G422" s="32" t="e">
        <f>C422*VLOOKUP($A422,'Selector Sheet '!$B$13:$D$43,2,FALSE)</f>
        <v>#N/A</v>
      </c>
    </row>
    <row r="423" spans="1:7">
      <c r="A423" s="31" t="s">
        <v>1848</v>
      </c>
      <c r="B423" t="s">
        <v>1881</v>
      </c>
      <c r="C423" s="82">
        <v>0.0134</v>
      </c>
      <c r="D423" s="32" t="e">
        <f>C423*VLOOKUP($A423,'Selector Sheet '!$B$13:$D$43,2,FALSE)</f>
        <v>#N/A</v>
      </c>
      <c r="F423" s="32">
        <f t="shared" si="12"/>
        <v>0</v>
      </c>
      <c r="G423" s="32" t="e">
        <f>C423*VLOOKUP($A423,'Selector Sheet '!$B$13:$D$43,2,FALSE)</f>
        <v>#N/A</v>
      </c>
    </row>
    <row r="424" spans="1:7">
      <c r="A424" s="31" t="s">
        <v>565</v>
      </c>
      <c r="B424" s="37" t="s">
        <v>2111</v>
      </c>
      <c r="C424" s="38">
        <v>0.031</v>
      </c>
      <c r="D424" s="32">
        <f>C424*VLOOKUP($A424,'Selector Sheet '!$B$13:$D$43,2,FALSE)</f>
        <v>0</v>
      </c>
      <c r="F424" s="32">
        <f t="shared" si="12"/>
        <v>0</v>
      </c>
      <c r="G424" s="32">
        <f>C424*VLOOKUP($A424,'Selector Sheet '!$B$13:$D$43,2,FALSE)</f>
        <v>0</v>
      </c>
    </row>
    <row r="425" spans="1:7">
      <c r="A425" s="31" t="s">
        <v>565</v>
      </c>
      <c r="B425" s="37" t="s">
        <v>2075</v>
      </c>
      <c r="C425" s="38">
        <v>0.016</v>
      </c>
      <c r="D425" s="32">
        <f>C425*VLOOKUP($A425,'Selector Sheet '!$B$13:$D$43,2,FALSE)</f>
        <v>0</v>
      </c>
      <c r="F425" s="32">
        <f t="shared" si="12"/>
        <v>0</v>
      </c>
      <c r="G425" s="32">
        <f>C425*VLOOKUP($A425,'Selector Sheet '!$B$13:$D$43,2,FALSE)</f>
        <v>0</v>
      </c>
    </row>
    <row r="426" spans="1:7">
      <c r="A426" s="31" t="s">
        <v>565</v>
      </c>
      <c r="B426" s="37" t="s">
        <v>2112</v>
      </c>
      <c r="C426" s="38">
        <v>0.009</v>
      </c>
      <c r="D426" s="32">
        <f>C426*VLOOKUP($A426,'Selector Sheet '!$B$13:$D$43,2,FALSE)</f>
        <v>0</v>
      </c>
      <c r="F426" s="32">
        <f t="shared" si="12"/>
        <v>0</v>
      </c>
      <c r="G426" s="32">
        <f>C426*VLOOKUP($A426,'Selector Sheet '!$B$13:$D$43,2,FALSE)</f>
        <v>0</v>
      </c>
    </row>
    <row r="427" spans="1:7">
      <c r="A427" s="31" t="s">
        <v>565</v>
      </c>
      <c r="B427" s="37" t="s">
        <v>2077</v>
      </c>
      <c r="C427" s="38">
        <v>0.02</v>
      </c>
      <c r="D427" s="32">
        <f>C427*VLOOKUP($A427,'Selector Sheet '!$B$13:$D$43,2,FALSE)</f>
        <v>0</v>
      </c>
      <c r="F427" s="32">
        <f t="shared" si="12"/>
        <v>0</v>
      </c>
      <c r="G427" s="32">
        <f>C427*VLOOKUP($A427,'Selector Sheet '!$B$13:$D$43,2,FALSE)</f>
        <v>0</v>
      </c>
    </row>
    <row r="428" spans="1:7">
      <c r="A428" s="31" t="s">
        <v>565</v>
      </c>
      <c r="B428" s="37" t="s">
        <v>2113</v>
      </c>
      <c r="C428" s="38">
        <v>0.028</v>
      </c>
      <c r="D428" s="32">
        <f>C428*VLOOKUP($A428,'Selector Sheet '!$B$13:$D$43,2,FALSE)</f>
        <v>0</v>
      </c>
      <c r="F428" s="32">
        <f t="shared" si="12"/>
        <v>0</v>
      </c>
      <c r="G428" s="32">
        <f>C428*VLOOKUP($A428,'Selector Sheet '!$B$13:$D$43,2,FALSE)</f>
        <v>0</v>
      </c>
    </row>
    <row r="429" spans="1:7">
      <c r="A429" s="31" t="s">
        <v>565</v>
      </c>
      <c r="B429" s="37" t="s">
        <v>2114</v>
      </c>
      <c r="C429" s="38">
        <v>0.016</v>
      </c>
      <c r="D429" s="32">
        <f>C429*VLOOKUP($A429,'Selector Sheet '!$B$13:$D$43,2,FALSE)</f>
        <v>0</v>
      </c>
      <c r="F429" s="32">
        <f t="shared" si="12"/>
        <v>0</v>
      </c>
      <c r="G429" s="32">
        <f>C429*VLOOKUP($A429,'Selector Sheet '!$B$13:$D$43,2,FALSE)</f>
        <v>0</v>
      </c>
    </row>
    <row r="430" spans="1:7">
      <c r="A430" s="31" t="s">
        <v>565</v>
      </c>
      <c r="B430" s="37" t="s">
        <v>2115</v>
      </c>
      <c r="C430" s="38">
        <v>0.02</v>
      </c>
      <c r="D430" s="32">
        <f>C430*VLOOKUP($A430,'Selector Sheet '!$B$13:$D$43,2,FALSE)</f>
        <v>0</v>
      </c>
      <c r="F430" s="32">
        <f t="shared" si="12"/>
        <v>0</v>
      </c>
      <c r="G430" s="32">
        <f>C430*VLOOKUP($A430,'Selector Sheet '!$B$13:$D$43,2,FALSE)</f>
        <v>0</v>
      </c>
    </row>
    <row r="431" spans="1:7">
      <c r="A431" s="31" t="s">
        <v>565</v>
      </c>
      <c r="B431" s="37" t="s">
        <v>2116</v>
      </c>
      <c r="C431" s="38">
        <v>0.008</v>
      </c>
      <c r="D431" s="32">
        <f>C431*VLOOKUP($A431,'Selector Sheet '!$B$13:$D$43,2,FALSE)</f>
        <v>0</v>
      </c>
      <c r="G431" s="32">
        <f>C431*VLOOKUP($A431,'Selector Sheet '!$B$13:$D$43,2,FALSE)</f>
        <v>0</v>
      </c>
    </row>
    <row r="432" spans="1:7">
      <c r="A432" s="31" t="s">
        <v>565</v>
      </c>
      <c r="B432" s="37" t="s">
        <v>2081</v>
      </c>
      <c r="C432" s="38">
        <v>0.039</v>
      </c>
      <c r="D432" s="32">
        <f>C432*VLOOKUP($A432,'Selector Sheet '!$B$13:$D$43,2,FALSE)</f>
        <v>0</v>
      </c>
      <c r="G432" s="32">
        <f>C432*VLOOKUP($A432,'Selector Sheet '!$B$13:$D$43,2,FALSE)</f>
        <v>0</v>
      </c>
    </row>
    <row r="433" spans="1:7">
      <c r="A433" s="31" t="s">
        <v>565</v>
      </c>
      <c r="B433" s="37" t="s">
        <v>2117</v>
      </c>
      <c r="C433" s="38">
        <v>0.02</v>
      </c>
      <c r="D433" s="32">
        <f>C433*VLOOKUP($A433,'Selector Sheet '!$B$13:$D$43,2,FALSE)</f>
        <v>0</v>
      </c>
      <c r="G433" s="32">
        <f>C433*VLOOKUP($A433,'Selector Sheet '!$B$13:$D$43,2,FALSE)</f>
        <v>0</v>
      </c>
    </row>
    <row r="434" spans="1:7">
      <c r="A434" s="31" t="s">
        <v>565</v>
      </c>
      <c r="B434" s="37" t="s">
        <v>940</v>
      </c>
      <c r="C434" s="38">
        <v>0.016</v>
      </c>
      <c r="D434" s="32">
        <f>C434*VLOOKUP($A434,'Selector Sheet '!$B$13:$D$43,2,FALSE)</f>
        <v>0</v>
      </c>
      <c r="G434" s="32">
        <f>C434*VLOOKUP($A434,'Selector Sheet '!$B$13:$D$43,2,FALSE)</f>
        <v>0</v>
      </c>
    </row>
    <row r="435" spans="1:7">
      <c r="A435" s="31" t="s">
        <v>565</v>
      </c>
      <c r="B435" s="37" t="s">
        <v>2118</v>
      </c>
      <c r="C435" s="38">
        <v>0.013</v>
      </c>
      <c r="D435" s="32">
        <f>C435*VLOOKUP($A435,'Selector Sheet '!$B$13:$D$43,2,FALSE)</f>
        <v>0</v>
      </c>
      <c r="G435" s="32">
        <f>C435*VLOOKUP($A435,'Selector Sheet '!$B$13:$D$43,2,FALSE)</f>
        <v>0</v>
      </c>
    </row>
    <row r="436" spans="1:7">
      <c r="A436" s="31" t="s">
        <v>565</v>
      </c>
      <c r="B436" s="37" t="s">
        <v>1855</v>
      </c>
      <c r="C436" s="38">
        <v>0.017</v>
      </c>
      <c r="D436" s="32">
        <f>C436*VLOOKUP($A436,'Selector Sheet '!$B$13:$D$43,2,FALSE)</f>
        <v>0</v>
      </c>
      <c r="G436" s="32">
        <f>C436*VLOOKUP($A436,'Selector Sheet '!$B$13:$D$43,2,FALSE)</f>
        <v>0</v>
      </c>
    </row>
    <row r="437" spans="1:7">
      <c r="A437" s="31" t="s">
        <v>565</v>
      </c>
      <c r="B437" s="37" t="s">
        <v>2079</v>
      </c>
      <c r="C437" s="38">
        <v>0.021</v>
      </c>
      <c r="D437" s="32">
        <f>C437*VLOOKUP($A437,'Selector Sheet '!$B$13:$D$43,2,FALSE)</f>
        <v>0</v>
      </c>
      <c r="G437" s="32">
        <f>C437*VLOOKUP($A437,'Selector Sheet '!$B$13:$D$43,2,FALSE)</f>
        <v>0</v>
      </c>
    </row>
    <row r="438" spans="1:7">
      <c r="A438" s="31" t="s">
        <v>565</v>
      </c>
      <c r="B438" s="37" t="s">
        <v>2080</v>
      </c>
      <c r="C438" s="38">
        <v>0.021</v>
      </c>
      <c r="D438" s="32">
        <f>C438*VLOOKUP($A438,'Selector Sheet '!$B$13:$D$43,2,FALSE)</f>
        <v>0</v>
      </c>
      <c r="G438" s="32">
        <f>C438*VLOOKUP($A438,'Selector Sheet '!$B$13:$D$43,2,FALSE)</f>
        <v>0</v>
      </c>
    </row>
    <row r="439" spans="1:7">
      <c r="A439" s="31" t="s">
        <v>565</v>
      </c>
      <c r="B439" s="37" t="s">
        <v>2119</v>
      </c>
      <c r="C439" s="38">
        <v>0.007</v>
      </c>
      <c r="D439" s="32">
        <f>C439*VLOOKUP($A439,'Selector Sheet '!$B$13:$D$43,2,FALSE)</f>
        <v>0</v>
      </c>
      <c r="G439" s="32">
        <f>C439*VLOOKUP($A439,'Selector Sheet '!$B$13:$D$43,2,FALSE)</f>
        <v>0</v>
      </c>
    </row>
    <row r="440" spans="1:7">
      <c r="A440" s="31" t="s">
        <v>565</v>
      </c>
      <c r="B440" s="37" t="s">
        <v>2084</v>
      </c>
      <c r="C440" s="38">
        <v>0.015</v>
      </c>
      <c r="D440" s="32">
        <f>C440*VLOOKUP($A440,'Selector Sheet '!$B$13:$D$43,2,FALSE)</f>
        <v>0</v>
      </c>
      <c r="G440" s="32">
        <f>C440*VLOOKUP($A440,'Selector Sheet '!$B$13:$D$43,2,FALSE)</f>
        <v>0</v>
      </c>
    </row>
    <row r="441" spans="1:7">
      <c r="A441" s="31" t="s">
        <v>565</v>
      </c>
      <c r="B441" s="37" t="s">
        <v>2085</v>
      </c>
      <c r="C441" s="38">
        <v>0.026</v>
      </c>
      <c r="D441" s="32">
        <f>C441*VLOOKUP($A441,'Selector Sheet '!$B$13:$D$43,2,FALSE)</f>
        <v>0</v>
      </c>
      <c r="G441" s="32">
        <f>C441*VLOOKUP($A441,'Selector Sheet '!$B$13:$D$43,2,FALSE)</f>
        <v>0</v>
      </c>
    </row>
    <row r="442" spans="1:7">
      <c r="A442" s="31" t="s">
        <v>565</v>
      </c>
      <c r="B442" s="37" t="s">
        <v>1592</v>
      </c>
      <c r="C442" s="38">
        <v>0.03</v>
      </c>
      <c r="D442" s="32">
        <f>C442*VLOOKUP($A442,'Selector Sheet '!$B$13:$D$43,2,FALSE)</f>
        <v>0</v>
      </c>
      <c r="G442" s="32">
        <f>C442*VLOOKUP($A442,'Selector Sheet '!$B$13:$D$43,2,FALSE)</f>
        <v>0</v>
      </c>
    </row>
    <row r="443" spans="1:7">
      <c r="A443" s="31" t="s">
        <v>565</v>
      </c>
      <c r="B443" s="37" t="s">
        <v>2087</v>
      </c>
      <c r="C443" s="38">
        <v>0.015</v>
      </c>
      <c r="D443" s="32">
        <f>C443*VLOOKUP($A443,'Selector Sheet '!$B$13:$D$43,2,FALSE)</f>
        <v>0</v>
      </c>
      <c r="G443" s="32">
        <f>C443*VLOOKUP($A443,'Selector Sheet '!$B$13:$D$43,2,FALSE)</f>
        <v>0</v>
      </c>
    </row>
    <row r="444" spans="1:7">
      <c r="A444" s="31" t="s">
        <v>565</v>
      </c>
      <c r="B444" s="37" t="s">
        <v>2120</v>
      </c>
      <c r="C444" s="38">
        <v>0.01</v>
      </c>
      <c r="D444" s="32">
        <f>C444*VLOOKUP($A444,'Selector Sheet '!$B$13:$D$43,2,FALSE)</f>
        <v>0</v>
      </c>
      <c r="G444" s="32">
        <f>C444*VLOOKUP($A444,'Selector Sheet '!$B$13:$D$43,2,FALSE)</f>
        <v>0</v>
      </c>
    </row>
    <row r="445" spans="1:7">
      <c r="A445" s="31" t="s">
        <v>565</v>
      </c>
      <c r="B445" s="37" t="s">
        <v>2121</v>
      </c>
      <c r="C445" s="38">
        <v>0.024</v>
      </c>
      <c r="D445" s="32">
        <f>C445*VLOOKUP($A445,'Selector Sheet '!$B$13:$D$43,2,FALSE)</f>
        <v>0</v>
      </c>
      <c r="G445" s="32">
        <f>C445*VLOOKUP($A445,'Selector Sheet '!$B$13:$D$43,2,FALSE)</f>
        <v>0</v>
      </c>
    </row>
    <row r="446" spans="1:7">
      <c r="A446" s="31" t="s">
        <v>565</v>
      </c>
      <c r="B446" s="37" t="s">
        <v>2122</v>
      </c>
      <c r="C446" s="38">
        <v>0.015</v>
      </c>
      <c r="D446" s="32">
        <f>C446*VLOOKUP($A446,'Selector Sheet '!$B$13:$D$43,2,FALSE)</f>
        <v>0</v>
      </c>
      <c r="G446" s="32">
        <f>C446*VLOOKUP($A446,'Selector Sheet '!$B$13:$D$43,2,FALSE)</f>
        <v>0</v>
      </c>
    </row>
    <row r="447" spans="1:7">
      <c r="A447" s="31" t="s">
        <v>565</v>
      </c>
      <c r="B447" s="37" t="s">
        <v>2123</v>
      </c>
      <c r="C447" s="38">
        <v>0.012</v>
      </c>
      <c r="D447" s="32">
        <f>C447*VLOOKUP($A447,'Selector Sheet '!$B$13:$D$43,2,FALSE)</f>
        <v>0</v>
      </c>
      <c r="G447" s="32">
        <f>C447*VLOOKUP($A447,'Selector Sheet '!$B$13:$D$43,2,FALSE)</f>
        <v>0</v>
      </c>
    </row>
    <row r="448" spans="1:7">
      <c r="A448" s="31" t="s">
        <v>565</v>
      </c>
      <c r="B448" s="37" t="s">
        <v>2124</v>
      </c>
      <c r="C448" s="38">
        <v>0.008</v>
      </c>
      <c r="D448" s="32">
        <f>C448*VLOOKUP($A448,'Selector Sheet '!$B$13:$D$43,2,FALSE)</f>
        <v>0</v>
      </c>
      <c r="G448" s="32">
        <f>C448*VLOOKUP($A448,'Selector Sheet '!$B$13:$D$43,2,FALSE)</f>
        <v>0</v>
      </c>
    </row>
    <row r="449" spans="1:7">
      <c r="A449" s="31" t="s">
        <v>565</v>
      </c>
      <c r="B449" s="37" t="s">
        <v>2125</v>
      </c>
      <c r="C449" s="38">
        <v>0.013</v>
      </c>
      <c r="D449" s="32">
        <f>C449*VLOOKUP($A449,'Selector Sheet '!$B$13:$D$43,2,FALSE)</f>
        <v>0</v>
      </c>
      <c r="G449" s="32">
        <f>C449*VLOOKUP($A449,'Selector Sheet '!$B$13:$D$43,2,FALSE)</f>
        <v>0</v>
      </c>
    </row>
    <row r="450" spans="1:7">
      <c r="A450" s="31" t="s">
        <v>565</v>
      </c>
      <c r="B450" s="37" t="s">
        <v>2126</v>
      </c>
      <c r="C450" s="38">
        <v>0.01</v>
      </c>
      <c r="D450" s="32">
        <f>C450*VLOOKUP($A450,'Selector Sheet '!$B$13:$D$43,2,FALSE)</f>
        <v>0</v>
      </c>
      <c r="G450" s="32">
        <f>C450*VLOOKUP($A450,'Selector Sheet '!$B$13:$D$43,2,FALSE)</f>
        <v>0</v>
      </c>
    </row>
    <row r="451" spans="1:7">
      <c r="A451" s="31" t="s">
        <v>565</v>
      </c>
      <c r="B451" s="37" t="s">
        <v>2127</v>
      </c>
      <c r="C451" s="38">
        <v>0.01</v>
      </c>
      <c r="D451" s="32">
        <f>C451*VLOOKUP($A451,'Selector Sheet '!$B$13:$D$43,2,FALSE)</f>
        <v>0</v>
      </c>
      <c r="G451" s="32">
        <f>C451*VLOOKUP($A451,'Selector Sheet '!$B$13:$D$43,2,FALSE)</f>
        <v>0</v>
      </c>
    </row>
    <row r="452" spans="1:7">
      <c r="A452" s="31" t="s">
        <v>565</v>
      </c>
      <c r="B452" s="37" t="s">
        <v>2128</v>
      </c>
      <c r="C452" s="38">
        <v>0.01</v>
      </c>
      <c r="D452" s="32">
        <f>C452*VLOOKUP($A452,'Selector Sheet '!$B$13:$D$43,2,FALSE)</f>
        <v>0</v>
      </c>
      <c r="G452" s="32">
        <f>C452*VLOOKUP($A452,'Selector Sheet '!$B$13:$D$43,2,FALSE)</f>
        <v>0</v>
      </c>
    </row>
    <row r="453" spans="1:7">
      <c r="A453" s="31" t="s">
        <v>565</v>
      </c>
      <c r="B453" s="37" t="s">
        <v>2129</v>
      </c>
      <c r="C453" s="38">
        <v>0.033</v>
      </c>
      <c r="D453" s="32">
        <f>C453*VLOOKUP($A453,'Selector Sheet '!$B$13:$D$43,2,FALSE)</f>
        <v>0</v>
      </c>
      <c r="G453" s="32">
        <f>C453*VLOOKUP($A453,'Selector Sheet '!$B$13:$D$43,2,FALSE)</f>
        <v>0</v>
      </c>
    </row>
    <row r="454" spans="1:7">
      <c r="A454" s="31" t="s">
        <v>565</v>
      </c>
      <c r="B454" s="37" t="s">
        <v>2130</v>
      </c>
      <c r="C454" s="38">
        <v>0.021</v>
      </c>
      <c r="D454" s="32">
        <f>C454*VLOOKUP($A454,'Selector Sheet '!$B$13:$D$43,2,FALSE)</f>
        <v>0</v>
      </c>
      <c r="G454" s="32">
        <f>C454*VLOOKUP($A454,'Selector Sheet '!$B$13:$D$43,2,FALSE)</f>
        <v>0</v>
      </c>
    </row>
    <row r="455" spans="1:7">
      <c r="A455" s="31" t="s">
        <v>565</v>
      </c>
      <c r="B455" s="37" t="s">
        <v>2091</v>
      </c>
      <c r="C455" s="38">
        <v>0.026</v>
      </c>
      <c r="D455" s="32">
        <f>C455*VLOOKUP($A455,'Selector Sheet '!$B$13:$D$43,2,FALSE)</f>
        <v>0</v>
      </c>
      <c r="G455" s="32">
        <f>C455*VLOOKUP($A455,'Selector Sheet '!$B$13:$D$43,2,FALSE)</f>
        <v>0</v>
      </c>
    </row>
    <row r="456" spans="1:7">
      <c r="A456" s="31" t="s">
        <v>565</v>
      </c>
      <c r="B456" s="37" t="s">
        <v>2090</v>
      </c>
      <c r="C456" s="38">
        <v>0.016</v>
      </c>
      <c r="D456" s="32">
        <f>C456*VLOOKUP($A456,'Selector Sheet '!$B$13:$D$43,2,FALSE)</f>
        <v>0</v>
      </c>
      <c r="G456" s="32">
        <f>C456*VLOOKUP($A456,'Selector Sheet '!$B$13:$D$43,2,FALSE)</f>
        <v>0</v>
      </c>
    </row>
    <row r="457" spans="1:7">
      <c r="A457" s="31" t="s">
        <v>565</v>
      </c>
      <c r="B457" s="37" t="s">
        <v>2131</v>
      </c>
      <c r="C457" s="38">
        <v>0.032</v>
      </c>
      <c r="D457" s="32">
        <f>C457*VLOOKUP($A457,'Selector Sheet '!$B$13:$D$43,2,FALSE)</f>
        <v>0</v>
      </c>
      <c r="G457" s="32">
        <f>C457*VLOOKUP($A457,'Selector Sheet '!$B$13:$D$43,2,FALSE)</f>
        <v>0</v>
      </c>
    </row>
    <row r="458" spans="1:7">
      <c r="A458" s="31" t="s">
        <v>565</v>
      </c>
      <c r="B458" s="37" t="s">
        <v>2132</v>
      </c>
      <c r="C458" s="38">
        <v>0.015</v>
      </c>
      <c r="D458" s="32">
        <f>C458*VLOOKUP($A458,'Selector Sheet '!$B$13:$D$43,2,FALSE)</f>
        <v>0</v>
      </c>
      <c r="G458" s="32">
        <f>C458*VLOOKUP($A458,'Selector Sheet '!$B$13:$D$43,2,FALSE)</f>
        <v>0</v>
      </c>
    </row>
    <row r="459" spans="1:7">
      <c r="A459" s="31" t="s">
        <v>565</v>
      </c>
      <c r="B459" s="37" t="s">
        <v>2133</v>
      </c>
      <c r="C459" s="38">
        <v>0.007</v>
      </c>
      <c r="D459" s="32">
        <f>C459*VLOOKUP($A459,'Selector Sheet '!$B$13:$D$43,2,FALSE)</f>
        <v>0</v>
      </c>
      <c r="G459" s="32">
        <f>C459*VLOOKUP($A459,'Selector Sheet '!$B$13:$D$43,2,FALSE)</f>
        <v>0</v>
      </c>
    </row>
    <row r="460" spans="1:7">
      <c r="A460" s="31" t="s">
        <v>565</v>
      </c>
      <c r="B460" s="37" t="s">
        <v>2134</v>
      </c>
      <c r="C460" s="38">
        <v>0.013</v>
      </c>
      <c r="D460" s="32">
        <f>C460*VLOOKUP($A460,'Selector Sheet '!$B$13:$D$43,2,FALSE)</f>
        <v>0</v>
      </c>
      <c r="G460" s="32">
        <f>C460*VLOOKUP($A460,'Selector Sheet '!$B$13:$D$43,2,FALSE)</f>
        <v>0</v>
      </c>
    </row>
    <row r="461" spans="1:7">
      <c r="A461" s="31" t="s">
        <v>565</v>
      </c>
      <c r="B461" s="37" t="s">
        <v>2135</v>
      </c>
      <c r="C461" s="38">
        <v>0.009</v>
      </c>
      <c r="D461" s="32">
        <f>C461*VLOOKUP($A461,'Selector Sheet '!$B$13:$D$43,2,FALSE)</f>
        <v>0</v>
      </c>
      <c r="G461" s="32">
        <f>C461*VLOOKUP($A461,'Selector Sheet '!$B$13:$D$43,2,FALSE)</f>
        <v>0</v>
      </c>
    </row>
    <row r="462" spans="1:7">
      <c r="A462" s="31" t="s">
        <v>565</v>
      </c>
      <c r="B462" s="37" t="s">
        <v>2092</v>
      </c>
      <c r="C462" s="38">
        <v>0.025</v>
      </c>
      <c r="D462" s="32">
        <f>C462*VLOOKUP($A462,'Selector Sheet '!$B$13:$D$43,2,FALSE)</f>
        <v>0</v>
      </c>
      <c r="G462" s="32">
        <f>C462*VLOOKUP($A462,'Selector Sheet '!$B$13:$D$43,2,FALSE)</f>
        <v>0</v>
      </c>
    </row>
    <row r="463" spans="1:7">
      <c r="A463" s="31" t="s">
        <v>565</v>
      </c>
      <c r="B463" s="37" t="s">
        <v>2136</v>
      </c>
      <c r="C463" s="38">
        <v>0.012</v>
      </c>
      <c r="D463" s="32">
        <f>C463*VLOOKUP($A463,'Selector Sheet '!$B$13:$D$43,2,FALSE)</f>
        <v>0</v>
      </c>
      <c r="G463" s="32">
        <f>C463*VLOOKUP($A463,'Selector Sheet '!$B$13:$D$43,2,FALSE)</f>
        <v>0</v>
      </c>
    </row>
    <row r="464" spans="1:7">
      <c r="A464" s="31" t="s">
        <v>565</v>
      </c>
      <c r="B464" s="37" t="s">
        <v>1900</v>
      </c>
      <c r="C464" s="38">
        <v>0.019</v>
      </c>
      <c r="D464" s="32">
        <f>C464*VLOOKUP($A464,'Selector Sheet '!$B$13:$D$43,2,FALSE)</f>
        <v>0</v>
      </c>
      <c r="G464" s="32">
        <f>C464*VLOOKUP($A464,'Selector Sheet '!$B$13:$D$43,2,FALSE)</f>
        <v>0</v>
      </c>
    </row>
    <row r="465" spans="1:7">
      <c r="A465" s="31" t="s">
        <v>565</v>
      </c>
      <c r="B465" s="37" t="s">
        <v>2093</v>
      </c>
      <c r="C465" s="38">
        <v>0.016</v>
      </c>
      <c r="D465" s="32">
        <f>C465*VLOOKUP($A465,'Selector Sheet '!$B$13:$D$43,2,FALSE)</f>
        <v>0</v>
      </c>
      <c r="G465" s="32">
        <f>C465*VLOOKUP($A465,'Selector Sheet '!$B$13:$D$43,2,FALSE)</f>
        <v>0</v>
      </c>
    </row>
    <row r="466" spans="1:7">
      <c r="A466" s="31" t="s">
        <v>565</v>
      </c>
      <c r="B466" s="37" t="s">
        <v>2094</v>
      </c>
      <c r="C466" s="38">
        <v>0.02</v>
      </c>
      <c r="D466" s="32">
        <f>C466*VLOOKUP($A466,'Selector Sheet '!$B$13:$D$43,2,FALSE)</f>
        <v>0</v>
      </c>
      <c r="G466" s="32">
        <f>C466*VLOOKUP($A466,'Selector Sheet '!$B$13:$D$43,2,FALSE)</f>
        <v>0</v>
      </c>
    </row>
    <row r="467" spans="1:7">
      <c r="A467" s="31" t="s">
        <v>565</v>
      </c>
      <c r="B467" s="37" t="s">
        <v>1994</v>
      </c>
      <c r="C467" s="38">
        <v>0.021</v>
      </c>
      <c r="D467" s="32">
        <f>C467*VLOOKUP($A467,'Selector Sheet '!$B$13:$D$43,2,FALSE)</f>
        <v>0</v>
      </c>
      <c r="G467" s="32">
        <f>C467*VLOOKUP($A467,'Selector Sheet '!$B$13:$D$43,2,FALSE)</f>
        <v>0</v>
      </c>
    </row>
    <row r="468" spans="1:7">
      <c r="A468" s="31" t="s">
        <v>565</v>
      </c>
      <c r="B468" s="37" t="s">
        <v>2137</v>
      </c>
      <c r="C468" s="38">
        <v>0.024</v>
      </c>
      <c r="D468" s="32">
        <f>C468*VLOOKUP($A468,'Selector Sheet '!$B$13:$D$43,2,FALSE)</f>
        <v>0</v>
      </c>
      <c r="G468" s="32">
        <f>C468*VLOOKUP($A468,'Selector Sheet '!$B$13:$D$43,2,FALSE)</f>
        <v>0</v>
      </c>
    </row>
    <row r="469" spans="1:7">
      <c r="A469" s="31" t="s">
        <v>565</v>
      </c>
      <c r="B469" s="37" t="s">
        <v>2138</v>
      </c>
      <c r="C469" s="38">
        <v>0.021</v>
      </c>
      <c r="D469" s="32">
        <f>C469*VLOOKUP($A469,'Selector Sheet '!$B$13:$D$43,2,FALSE)</f>
        <v>0</v>
      </c>
      <c r="G469" s="32">
        <f>C469*VLOOKUP($A469,'Selector Sheet '!$B$13:$D$43,2,FALSE)</f>
        <v>0</v>
      </c>
    </row>
    <row r="470" spans="1:7">
      <c r="A470" s="31" t="s">
        <v>565</v>
      </c>
      <c r="B470" s="37" t="s">
        <v>2054</v>
      </c>
      <c r="C470" s="38">
        <v>0.021</v>
      </c>
      <c r="D470" s="32">
        <f>C470*VLOOKUP($A470,'Selector Sheet '!$B$13:$D$43,2,FALSE)</f>
        <v>0</v>
      </c>
      <c r="G470" s="32">
        <f>C470*VLOOKUP($A470,'Selector Sheet '!$B$13:$D$43,2,FALSE)</f>
        <v>0</v>
      </c>
    </row>
    <row r="471" spans="1:7">
      <c r="A471" s="31" t="s">
        <v>565</v>
      </c>
      <c r="B471" s="37" t="s">
        <v>2095</v>
      </c>
      <c r="C471" s="38">
        <v>0.015</v>
      </c>
      <c r="D471" s="32">
        <f>C471*VLOOKUP($A471,'Selector Sheet '!$B$13:$D$43,2,FALSE)</f>
        <v>0</v>
      </c>
      <c r="G471" s="32">
        <f>C471*VLOOKUP($A471,'Selector Sheet '!$B$13:$D$43,2,FALSE)</f>
        <v>0</v>
      </c>
    </row>
    <row r="472" spans="1:7">
      <c r="A472" s="31" t="s">
        <v>565</v>
      </c>
      <c r="B472" s="37" t="s">
        <v>2139</v>
      </c>
      <c r="C472" s="38">
        <v>0.018</v>
      </c>
      <c r="D472" s="32">
        <f>C472*VLOOKUP($A472,'Selector Sheet '!$B$13:$D$43,2,FALSE)</f>
        <v>0</v>
      </c>
      <c r="G472" s="32">
        <f>C472*VLOOKUP($A472,'Selector Sheet '!$B$13:$D$43,2,FALSE)</f>
        <v>0</v>
      </c>
    </row>
    <row r="473" spans="1:7">
      <c r="A473" s="31" t="s">
        <v>565</v>
      </c>
      <c r="B473" s="37" t="s">
        <v>2140</v>
      </c>
      <c r="C473" s="38">
        <v>0.006</v>
      </c>
      <c r="D473" s="32">
        <f>C473*VLOOKUP($A473,'Selector Sheet '!$B$13:$D$43,2,FALSE)</f>
        <v>0</v>
      </c>
      <c r="G473" s="32">
        <f>C473*VLOOKUP($A473,'Selector Sheet '!$B$13:$D$43,2,FALSE)</f>
        <v>0</v>
      </c>
    </row>
    <row r="474" spans="1:7">
      <c r="A474" s="31" t="s">
        <v>565</v>
      </c>
      <c r="B474" s="37" t="s">
        <v>2141</v>
      </c>
      <c r="C474" s="38">
        <v>0.024</v>
      </c>
      <c r="D474" s="32">
        <f>C474*VLOOKUP($A474,'Selector Sheet '!$B$13:$D$43,2,FALSE)</f>
        <v>0</v>
      </c>
      <c r="G474" s="32">
        <f>C474*VLOOKUP($A474,'Selector Sheet '!$B$13:$D$43,2,FALSE)</f>
        <v>0</v>
      </c>
    </row>
    <row r="475" spans="1:7">
      <c r="A475" s="31" t="s">
        <v>565</v>
      </c>
      <c r="B475" s="37" t="s">
        <v>2142</v>
      </c>
      <c r="C475" s="38">
        <v>0.016</v>
      </c>
      <c r="D475" s="32">
        <f>C475*VLOOKUP($A475,'Selector Sheet '!$B$13:$D$43,2,FALSE)</f>
        <v>0</v>
      </c>
      <c r="G475" s="32">
        <f>C475*VLOOKUP($A475,'Selector Sheet '!$B$13:$D$43,2,FALSE)</f>
        <v>0</v>
      </c>
    </row>
    <row r="476" spans="1:7">
      <c r="A476" s="31" t="s">
        <v>565</v>
      </c>
      <c r="B476" s="37" t="s">
        <v>2143</v>
      </c>
      <c r="C476" s="38">
        <v>0.008</v>
      </c>
      <c r="D476" s="32">
        <f>C476*VLOOKUP($A476,'Selector Sheet '!$B$13:$D$43,2,FALSE)</f>
        <v>0</v>
      </c>
      <c r="G476" s="32">
        <f>C476*VLOOKUP($A476,'Selector Sheet '!$B$13:$D$43,2,FALSE)</f>
        <v>0</v>
      </c>
    </row>
    <row r="477" spans="1:7">
      <c r="A477" s="31" t="s">
        <v>565</v>
      </c>
      <c r="B477" s="37" t="s">
        <v>2144</v>
      </c>
      <c r="C477" s="38">
        <v>0.015</v>
      </c>
      <c r="D477" s="32">
        <f>C477*VLOOKUP($A477,'Selector Sheet '!$B$13:$D$43,2,FALSE)</f>
        <v>0</v>
      </c>
      <c r="G477" s="32">
        <f>C477*VLOOKUP($A477,'Selector Sheet '!$B$13:$D$43,2,FALSE)</f>
        <v>0</v>
      </c>
    </row>
    <row r="478" spans="1:7">
      <c r="A478" s="31" t="s">
        <v>565</v>
      </c>
      <c r="B478" s="37" t="s">
        <v>2098</v>
      </c>
      <c r="C478" s="38">
        <v>0.021</v>
      </c>
      <c r="D478" s="32">
        <f>C478*VLOOKUP($A478,'Selector Sheet '!$B$13:$D$43,2,FALSE)</f>
        <v>0</v>
      </c>
      <c r="G478" s="32">
        <f>C478*VLOOKUP($A478,'Selector Sheet '!$B$13:$D$43,2,FALSE)</f>
        <v>0</v>
      </c>
    </row>
    <row r="479" spans="1:7">
      <c r="A479" s="31" t="s">
        <v>565</v>
      </c>
      <c r="B479" s="37" t="s">
        <v>2145</v>
      </c>
      <c r="C479" s="38">
        <v>0.013</v>
      </c>
      <c r="D479" s="32">
        <f>C479*VLOOKUP($A479,'Selector Sheet '!$B$13:$D$43,2,FALSE)</f>
        <v>0</v>
      </c>
      <c r="G479" s="32">
        <f>C479*VLOOKUP($A479,'Selector Sheet '!$B$13:$D$43,2,FALSE)</f>
        <v>0</v>
      </c>
    </row>
    <row r="480" spans="1:7">
      <c r="A480" s="31" t="s">
        <v>565</v>
      </c>
      <c r="B480" s="37" t="s">
        <v>2101</v>
      </c>
      <c r="C480" s="38">
        <v>0.014</v>
      </c>
      <c r="D480" s="32">
        <f>C480*VLOOKUP($A480,'Selector Sheet '!$B$13:$D$43,2,FALSE)</f>
        <v>0</v>
      </c>
      <c r="G480" s="32">
        <f>C480*VLOOKUP($A480,'Selector Sheet '!$B$13:$D$43,2,FALSE)</f>
        <v>0</v>
      </c>
    </row>
    <row r="481" spans="1:7">
      <c r="A481" s="31" t="s">
        <v>60</v>
      </c>
      <c r="B481" t="s">
        <v>1842</v>
      </c>
      <c r="C481" s="34">
        <v>0.063</v>
      </c>
      <c r="D481" s="32">
        <f>C481*VLOOKUP($A481,'Selector Sheet '!$B$13:$D$43,2,FALSE)</f>
        <v>0</v>
      </c>
      <c r="G481" s="32">
        <f>C481*VLOOKUP($A481,'Selector Sheet '!$B$13:$D$43,2,FALSE)</f>
        <v>0</v>
      </c>
    </row>
    <row r="482" spans="1:7">
      <c r="A482" s="31" t="s">
        <v>60</v>
      </c>
      <c r="B482" t="s">
        <v>1844</v>
      </c>
      <c r="C482" s="34">
        <v>0.0588</v>
      </c>
      <c r="D482" s="32">
        <f>C482*VLOOKUP($A482,'Selector Sheet '!$B$13:$D$43,2,FALSE)</f>
        <v>0</v>
      </c>
      <c r="G482" s="32">
        <f>C482*VLOOKUP($A482,'Selector Sheet '!$B$13:$D$43,2,FALSE)</f>
        <v>0</v>
      </c>
    </row>
    <row r="483" spans="1:7">
      <c r="A483" s="31" t="s">
        <v>60</v>
      </c>
      <c r="B483" t="s">
        <v>2146</v>
      </c>
      <c r="C483" s="34">
        <v>0.0546</v>
      </c>
      <c r="D483" s="32">
        <f>C483*VLOOKUP($A483,'Selector Sheet '!$B$13:$D$43,2,FALSE)</f>
        <v>0</v>
      </c>
      <c r="G483" s="32">
        <f>C483*VLOOKUP($A483,'Selector Sheet '!$B$13:$D$43,2,FALSE)</f>
        <v>0</v>
      </c>
    </row>
    <row r="484" spans="1:7">
      <c r="A484" s="31" t="s">
        <v>60</v>
      </c>
      <c r="B484" t="s">
        <v>2147</v>
      </c>
      <c r="C484" s="34">
        <v>0.0545</v>
      </c>
      <c r="D484" s="32">
        <f>C484*VLOOKUP($A484,'Selector Sheet '!$B$13:$D$43,2,FALSE)</f>
        <v>0</v>
      </c>
      <c r="G484" s="32">
        <f>C484*VLOOKUP($A484,'Selector Sheet '!$B$13:$D$43,2,FALSE)</f>
        <v>0</v>
      </c>
    </row>
    <row r="485" spans="1:7">
      <c r="A485" s="31" t="s">
        <v>60</v>
      </c>
      <c r="B485" t="s">
        <v>2081</v>
      </c>
      <c r="C485" s="34">
        <v>0.0517</v>
      </c>
      <c r="D485" s="32">
        <f>C485*VLOOKUP($A485,'Selector Sheet '!$B$13:$D$43,2,FALSE)</f>
        <v>0</v>
      </c>
      <c r="G485" s="32">
        <f>C485*VLOOKUP($A485,'Selector Sheet '!$B$13:$D$43,2,FALSE)</f>
        <v>0</v>
      </c>
    </row>
    <row r="486" spans="1:7">
      <c r="A486" s="31" t="s">
        <v>60</v>
      </c>
      <c r="B486" t="s">
        <v>2148</v>
      </c>
      <c r="C486" s="34">
        <v>0.0481</v>
      </c>
      <c r="D486" s="32">
        <f>C486*VLOOKUP($A486,'Selector Sheet '!$B$13:$D$43,2,FALSE)</f>
        <v>0</v>
      </c>
      <c r="G486" s="32">
        <f>C486*VLOOKUP($A486,'Selector Sheet '!$B$13:$D$43,2,FALSE)</f>
        <v>0</v>
      </c>
    </row>
    <row r="487" spans="1:7">
      <c r="A487" s="31" t="s">
        <v>60</v>
      </c>
      <c r="B487" t="s">
        <v>2149</v>
      </c>
      <c r="C487" s="34">
        <v>0.0479</v>
      </c>
      <c r="D487" s="32">
        <f>C487*VLOOKUP($A487,'Selector Sheet '!$B$13:$D$43,2,FALSE)</f>
        <v>0</v>
      </c>
      <c r="G487" s="32">
        <f>C487*VLOOKUP($A487,'Selector Sheet '!$B$13:$D$43,2,FALSE)</f>
        <v>0</v>
      </c>
    </row>
    <row r="488" spans="1:7">
      <c r="A488" s="31" t="s">
        <v>60</v>
      </c>
      <c r="B488" t="s">
        <v>2150</v>
      </c>
      <c r="C488" s="34">
        <v>0.0408</v>
      </c>
      <c r="D488" s="32">
        <f>C488*VLOOKUP($A488,'Selector Sheet '!$B$13:$D$43,2,FALSE)</f>
        <v>0</v>
      </c>
      <c r="G488" s="32">
        <f>C488*VLOOKUP($A488,'Selector Sheet '!$B$13:$D$43,2,FALSE)</f>
        <v>0</v>
      </c>
    </row>
    <row r="489" spans="1:7">
      <c r="A489" s="31" t="s">
        <v>60</v>
      </c>
      <c r="B489" t="s">
        <v>2019</v>
      </c>
      <c r="C489" s="34">
        <v>0.0393</v>
      </c>
      <c r="D489" s="32">
        <f>C489*VLOOKUP($A489,'Selector Sheet '!$B$13:$D$43,2,FALSE)</f>
        <v>0</v>
      </c>
      <c r="G489" s="32">
        <f>C489*VLOOKUP($A489,'Selector Sheet '!$B$13:$D$43,2,FALSE)</f>
        <v>0</v>
      </c>
    </row>
    <row r="490" spans="1:7">
      <c r="A490" s="31" t="s">
        <v>60</v>
      </c>
      <c r="B490" t="s">
        <v>2151</v>
      </c>
      <c r="C490" s="34">
        <v>0.0374</v>
      </c>
      <c r="D490" s="32">
        <f>C490*VLOOKUP($A490,'Selector Sheet '!$B$13:$D$43,2,FALSE)</f>
        <v>0</v>
      </c>
      <c r="G490" s="32">
        <f>C490*VLOOKUP($A490,'Selector Sheet '!$B$13:$D$43,2,FALSE)</f>
        <v>0</v>
      </c>
    </row>
    <row r="491" spans="1:7">
      <c r="A491" s="31" t="s">
        <v>60</v>
      </c>
      <c r="B491" t="s">
        <v>2075</v>
      </c>
      <c r="C491" s="34">
        <v>0.0358</v>
      </c>
      <c r="D491" s="32">
        <f>C491*VLOOKUP($A491,'Selector Sheet '!$B$13:$D$43,2,FALSE)</f>
        <v>0</v>
      </c>
      <c r="G491" s="32">
        <f>C491*VLOOKUP($A491,'Selector Sheet '!$B$13:$D$43,2,FALSE)</f>
        <v>0</v>
      </c>
    </row>
    <row r="492" spans="1:7">
      <c r="A492" s="31" t="s">
        <v>60</v>
      </c>
      <c r="B492" t="s">
        <v>1830</v>
      </c>
      <c r="C492" s="34">
        <v>0.034</v>
      </c>
      <c r="D492" s="32">
        <f>C492*VLOOKUP($A492,'Selector Sheet '!$B$13:$D$43,2,FALSE)</f>
        <v>0</v>
      </c>
      <c r="G492" s="32">
        <f>C492*VLOOKUP($A492,'Selector Sheet '!$B$13:$D$43,2,FALSE)</f>
        <v>0</v>
      </c>
    </row>
    <row r="493" spans="1:7">
      <c r="A493" s="31" t="s">
        <v>60</v>
      </c>
      <c r="B493" t="s">
        <v>2152</v>
      </c>
      <c r="C493" s="34">
        <v>0.0335</v>
      </c>
      <c r="D493" s="32">
        <f>C493*VLOOKUP($A493,'Selector Sheet '!$B$13:$D$43,2,FALSE)</f>
        <v>0</v>
      </c>
      <c r="G493" s="32">
        <f>C493*VLOOKUP($A493,'Selector Sheet '!$B$13:$D$43,2,FALSE)</f>
        <v>0</v>
      </c>
    </row>
    <row r="494" spans="1:7">
      <c r="A494" s="31" t="s">
        <v>60</v>
      </c>
      <c r="B494" t="s">
        <v>1045</v>
      </c>
      <c r="C494" s="34">
        <v>0.0311</v>
      </c>
      <c r="D494" s="32">
        <f>C494*VLOOKUP($A494,'Selector Sheet '!$B$13:$D$43,2,FALSE)</f>
        <v>0</v>
      </c>
      <c r="G494" s="32">
        <f>C494*VLOOKUP($A494,'Selector Sheet '!$B$13:$D$43,2,FALSE)</f>
        <v>0</v>
      </c>
    </row>
    <row r="495" spans="1:7">
      <c r="A495" s="31" t="s">
        <v>60</v>
      </c>
      <c r="B495" t="s">
        <v>2097</v>
      </c>
      <c r="C495" s="34">
        <v>0.0289</v>
      </c>
      <c r="D495" s="32">
        <f>C495*VLOOKUP($A495,'Selector Sheet '!$B$13:$D$43,2,FALSE)</f>
        <v>0</v>
      </c>
      <c r="G495" s="32">
        <f>C495*VLOOKUP($A495,'Selector Sheet '!$B$13:$D$43,2,FALSE)</f>
        <v>0</v>
      </c>
    </row>
    <row r="496" spans="1:7">
      <c r="A496" s="31" t="s">
        <v>60</v>
      </c>
      <c r="B496" t="s">
        <v>1965</v>
      </c>
      <c r="C496" s="34">
        <v>0.0277</v>
      </c>
      <c r="D496" s="32">
        <f>C496*VLOOKUP($A496,'Selector Sheet '!$B$13:$D$43,2,FALSE)</f>
        <v>0</v>
      </c>
      <c r="G496" s="32">
        <f>C496*VLOOKUP($A496,'Selector Sheet '!$B$13:$D$43,2,FALSE)</f>
        <v>0</v>
      </c>
    </row>
    <row r="497" spans="1:7">
      <c r="A497" s="31" t="s">
        <v>60</v>
      </c>
      <c r="B497" t="s">
        <v>2153</v>
      </c>
      <c r="C497" s="34">
        <v>0.0273</v>
      </c>
      <c r="D497" s="32">
        <f>C497*VLOOKUP($A497,'Selector Sheet '!$B$13:$D$43,2,FALSE)</f>
        <v>0</v>
      </c>
      <c r="G497" s="32">
        <f>C497*VLOOKUP($A497,'Selector Sheet '!$B$13:$D$43,2,FALSE)</f>
        <v>0</v>
      </c>
    </row>
    <row r="498" spans="1:7">
      <c r="A498" s="31" t="s">
        <v>60</v>
      </c>
      <c r="B498" t="s">
        <v>2154</v>
      </c>
      <c r="C498" s="34">
        <v>0.0261</v>
      </c>
      <c r="D498" s="32">
        <f>C498*VLOOKUP($A498,'Selector Sheet '!$B$13:$D$43,2,FALSE)</f>
        <v>0</v>
      </c>
      <c r="G498" s="32">
        <f>C498*VLOOKUP($A498,'Selector Sheet '!$B$13:$D$43,2,FALSE)</f>
        <v>0</v>
      </c>
    </row>
    <row r="499" spans="1:7">
      <c r="A499" s="31" t="s">
        <v>60</v>
      </c>
      <c r="B499" t="s">
        <v>1903</v>
      </c>
      <c r="C499" s="34">
        <v>0.0251</v>
      </c>
      <c r="D499" s="32">
        <f>C499*VLOOKUP($A499,'Selector Sheet '!$B$13:$D$43,2,FALSE)</f>
        <v>0</v>
      </c>
      <c r="G499" s="32">
        <f>C499*VLOOKUP($A499,'Selector Sheet '!$B$13:$D$43,2,FALSE)</f>
        <v>0</v>
      </c>
    </row>
    <row r="500" spans="1:7">
      <c r="A500" s="31" t="s">
        <v>60</v>
      </c>
      <c r="B500" t="s">
        <v>2155</v>
      </c>
      <c r="C500" s="34">
        <v>0.0245</v>
      </c>
      <c r="D500" s="32">
        <f>C500*VLOOKUP($A500,'Selector Sheet '!$B$13:$D$43,2,FALSE)</f>
        <v>0</v>
      </c>
      <c r="G500" s="32">
        <f>C500*VLOOKUP($A500,'Selector Sheet '!$B$13:$D$43,2,FALSE)</f>
        <v>0</v>
      </c>
    </row>
    <row r="501" spans="1:7">
      <c r="A501" s="31" t="s">
        <v>60</v>
      </c>
      <c r="B501" t="s">
        <v>2156</v>
      </c>
      <c r="C501" s="34">
        <v>0.0244</v>
      </c>
      <c r="D501" s="32">
        <f>C501*VLOOKUP($A501,'Selector Sheet '!$B$13:$D$43,2,FALSE)</f>
        <v>0</v>
      </c>
      <c r="G501" s="32">
        <f>C501*VLOOKUP($A501,'Selector Sheet '!$B$13:$D$43,2,FALSE)</f>
        <v>0</v>
      </c>
    </row>
    <row r="502" spans="1:7">
      <c r="A502" s="31" t="s">
        <v>60</v>
      </c>
      <c r="B502" t="s">
        <v>1875</v>
      </c>
      <c r="C502" s="34">
        <v>0.022</v>
      </c>
      <c r="D502" s="32">
        <f>C502*VLOOKUP($A502,'Selector Sheet '!$B$13:$D$43,2,FALSE)</f>
        <v>0</v>
      </c>
      <c r="G502" s="32">
        <f>C502*VLOOKUP($A502,'Selector Sheet '!$B$13:$D$43,2,FALSE)</f>
        <v>0</v>
      </c>
    </row>
    <row r="503" spans="1:7">
      <c r="A503" s="31" t="s">
        <v>60</v>
      </c>
      <c r="B503" t="s">
        <v>2157</v>
      </c>
      <c r="C503" s="34">
        <v>0.0219</v>
      </c>
      <c r="D503" s="32">
        <f>C503*VLOOKUP($A503,'Selector Sheet '!$B$13:$D$43,2,FALSE)</f>
        <v>0</v>
      </c>
      <c r="G503" s="32">
        <f>C503*VLOOKUP($A503,'Selector Sheet '!$B$13:$D$43,2,FALSE)</f>
        <v>0</v>
      </c>
    </row>
    <row r="504" spans="1:7">
      <c r="A504" s="31" t="s">
        <v>60</v>
      </c>
      <c r="B504" t="s">
        <v>2158</v>
      </c>
      <c r="C504" s="34">
        <v>0.018</v>
      </c>
      <c r="D504" s="32">
        <f>C504*VLOOKUP($A504,'Selector Sheet '!$B$13:$D$43,2,FALSE)</f>
        <v>0</v>
      </c>
      <c r="G504" s="32">
        <f>C504*VLOOKUP($A504,'Selector Sheet '!$B$13:$D$43,2,FALSE)</f>
        <v>0</v>
      </c>
    </row>
    <row r="505" spans="1:7">
      <c r="A505" s="31" t="s">
        <v>60</v>
      </c>
      <c r="B505" t="s">
        <v>2159</v>
      </c>
      <c r="C505" s="34">
        <v>0.0178</v>
      </c>
      <c r="D505" s="32">
        <f>C505*VLOOKUP($A505,'Selector Sheet '!$B$13:$D$43,2,FALSE)</f>
        <v>0</v>
      </c>
      <c r="G505" s="32">
        <f>C505*VLOOKUP($A505,'Selector Sheet '!$B$13:$D$43,2,FALSE)</f>
        <v>0</v>
      </c>
    </row>
    <row r="506" spans="1:7">
      <c r="A506" s="31" t="s">
        <v>60</v>
      </c>
      <c r="B506" t="s">
        <v>2122</v>
      </c>
      <c r="C506" s="34">
        <v>0.0164</v>
      </c>
      <c r="D506" s="32">
        <f>C506*VLOOKUP($A506,'Selector Sheet '!$B$13:$D$43,2,FALSE)</f>
        <v>0</v>
      </c>
      <c r="G506" s="32">
        <f>C506*VLOOKUP($A506,'Selector Sheet '!$B$13:$D$43,2,FALSE)</f>
        <v>0</v>
      </c>
    </row>
    <row r="507" spans="1:7">
      <c r="A507" s="31" t="s">
        <v>60</v>
      </c>
      <c r="B507" t="s">
        <v>2086</v>
      </c>
      <c r="C507" s="34">
        <v>0.0149</v>
      </c>
      <c r="D507" s="32">
        <f>C507*VLOOKUP($A507,'Selector Sheet '!$B$13:$D$43,2,FALSE)</f>
        <v>0</v>
      </c>
      <c r="G507" s="32">
        <f>C507*VLOOKUP($A507,'Selector Sheet '!$B$13:$D$43,2,FALSE)</f>
        <v>0</v>
      </c>
    </row>
    <row r="508" spans="1:7">
      <c r="A508" s="31" t="s">
        <v>60</v>
      </c>
      <c r="B508" t="s">
        <v>2160</v>
      </c>
      <c r="C508" s="34">
        <v>0.0145</v>
      </c>
      <c r="D508" s="32">
        <f>C508*VLOOKUP($A508,'Selector Sheet '!$B$13:$D$43,2,FALSE)</f>
        <v>0</v>
      </c>
      <c r="G508" s="32">
        <f>C508*VLOOKUP($A508,'Selector Sheet '!$B$13:$D$43,2,FALSE)</f>
        <v>0</v>
      </c>
    </row>
    <row r="509" spans="1:7">
      <c r="A509" s="31" t="s">
        <v>60</v>
      </c>
      <c r="B509" t="s">
        <v>1901</v>
      </c>
      <c r="C509" s="34">
        <v>0.0132</v>
      </c>
      <c r="D509" s="32">
        <f>C509*VLOOKUP($A509,'Selector Sheet '!$B$13:$D$43,2,FALSE)</f>
        <v>0</v>
      </c>
      <c r="G509" s="32">
        <f>C509*VLOOKUP($A509,'Selector Sheet '!$B$13:$D$43,2,FALSE)</f>
        <v>0</v>
      </c>
    </row>
    <row r="510" spans="1:7">
      <c r="A510" s="31" t="s">
        <v>60</v>
      </c>
      <c r="B510" t="s">
        <v>2161</v>
      </c>
      <c r="C510" s="34">
        <v>0.0124</v>
      </c>
      <c r="D510" s="32">
        <f>C510*VLOOKUP($A510,'Selector Sheet '!$B$13:$D$43,2,FALSE)</f>
        <v>0</v>
      </c>
      <c r="G510" s="32">
        <f>C510*VLOOKUP($A510,'Selector Sheet '!$B$13:$D$43,2,FALSE)</f>
        <v>0</v>
      </c>
    </row>
    <row r="511" spans="1:7">
      <c r="A511" s="31" t="s">
        <v>60</v>
      </c>
      <c r="B511" t="s">
        <v>2162</v>
      </c>
      <c r="C511" s="34">
        <v>0.0093</v>
      </c>
      <c r="D511" s="32">
        <f>C511*VLOOKUP($A511,'Selector Sheet '!$B$13:$D$43,2,FALSE)</f>
        <v>0</v>
      </c>
      <c r="G511" s="32">
        <f>C511*VLOOKUP($A511,'Selector Sheet '!$B$13:$D$43,2,FALSE)</f>
        <v>0</v>
      </c>
    </row>
    <row r="512" spans="1:7">
      <c r="A512" s="31" t="s">
        <v>60</v>
      </c>
      <c r="B512" t="s">
        <v>2130</v>
      </c>
      <c r="C512" s="34">
        <v>0.0082</v>
      </c>
      <c r="D512" s="32">
        <f>C512*VLOOKUP($A512,'Selector Sheet '!$B$13:$D$43,2,FALSE)</f>
        <v>0</v>
      </c>
      <c r="G512" s="32">
        <f>C512*VLOOKUP($A512,'Selector Sheet '!$B$13:$D$43,2,FALSE)</f>
        <v>0</v>
      </c>
    </row>
    <row r="513" spans="1:7">
      <c r="A513" s="31" t="s">
        <v>60</v>
      </c>
      <c r="B513" t="s">
        <v>2163</v>
      </c>
      <c r="C513" s="34">
        <v>0.0056</v>
      </c>
      <c r="D513" s="32">
        <f>C513*VLOOKUP($A513,'Selector Sheet '!$B$13:$D$43,2,FALSE)</f>
        <v>0</v>
      </c>
      <c r="G513" s="32">
        <f>C513*VLOOKUP($A513,'Selector Sheet '!$B$13:$D$43,2,FALSE)</f>
        <v>0</v>
      </c>
    </row>
    <row r="514" spans="1:7">
      <c r="A514" s="31" t="s">
        <v>60</v>
      </c>
      <c r="B514" t="s">
        <v>2101</v>
      </c>
      <c r="C514" s="34">
        <v>0.0113</v>
      </c>
      <c r="D514" s="32">
        <f>C514*VLOOKUP($A514,'Selector Sheet '!$B$13:$D$43,2,FALSE)</f>
        <v>0</v>
      </c>
      <c r="G514" s="32">
        <f>C514*VLOOKUP($A514,'Selector Sheet '!$B$13:$D$43,2,FALSE)</f>
        <v>0</v>
      </c>
    </row>
    <row r="515" spans="1:7">
      <c r="A515" s="31" t="s">
        <v>55</v>
      </c>
      <c r="B515" t="s">
        <v>1045</v>
      </c>
      <c r="C515" s="34">
        <v>0.058</v>
      </c>
      <c r="D515" s="32">
        <f>C515*VLOOKUP($A515,'Selector Sheet '!$B$13:$D$43,2,FALSE)</f>
        <v>0</v>
      </c>
      <c r="G515" s="32">
        <f>C515*VLOOKUP($A515,'Selector Sheet '!$B$13:$D$43,2,FALSE)</f>
        <v>0</v>
      </c>
    </row>
    <row r="516" spans="1:7">
      <c r="A516" s="31" t="s">
        <v>55</v>
      </c>
      <c r="B516" t="s">
        <v>2153</v>
      </c>
      <c r="C516" s="34">
        <v>0.056</v>
      </c>
      <c r="D516" s="32">
        <f>C516*VLOOKUP($A516,'Selector Sheet '!$B$13:$D$43,2,FALSE)</f>
        <v>0</v>
      </c>
      <c r="G516" s="32">
        <f>C516*VLOOKUP($A516,'Selector Sheet '!$B$13:$D$43,2,FALSE)</f>
        <v>0</v>
      </c>
    </row>
    <row r="517" spans="1:7">
      <c r="A517" s="31" t="s">
        <v>55</v>
      </c>
      <c r="B517" t="s">
        <v>2164</v>
      </c>
      <c r="C517" s="34">
        <v>0.056</v>
      </c>
      <c r="D517" s="32">
        <f>C517*VLOOKUP($A517,'Selector Sheet '!$B$13:$D$43,2,FALSE)</f>
        <v>0</v>
      </c>
      <c r="G517" s="32">
        <f>C517*VLOOKUP($A517,'Selector Sheet '!$B$13:$D$43,2,FALSE)</f>
        <v>0</v>
      </c>
    </row>
    <row r="518" spans="1:7">
      <c r="A518" s="31" t="s">
        <v>55</v>
      </c>
      <c r="B518" t="s">
        <v>1822</v>
      </c>
      <c r="C518" s="34">
        <v>0.056</v>
      </c>
      <c r="D518" s="32">
        <f>C518*VLOOKUP($A518,'Selector Sheet '!$B$13:$D$43,2,FALSE)</f>
        <v>0</v>
      </c>
      <c r="G518" s="32">
        <f>C518*VLOOKUP($A518,'Selector Sheet '!$B$13:$D$43,2,FALSE)</f>
        <v>0</v>
      </c>
    </row>
    <row r="519" spans="1:7">
      <c r="A519" s="31" t="s">
        <v>55</v>
      </c>
      <c r="B519" t="s">
        <v>1832</v>
      </c>
      <c r="C519" s="34">
        <v>0.052</v>
      </c>
      <c r="D519" s="32">
        <f>C519*VLOOKUP($A519,'Selector Sheet '!$B$13:$D$43,2,FALSE)</f>
        <v>0</v>
      </c>
      <c r="G519" s="32">
        <f>C519*VLOOKUP($A519,'Selector Sheet '!$B$13:$D$43,2,FALSE)</f>
        <v>0</v>
      </c>
    </row>
    <row r="520" spans="1:7">
      <c r="A520" s="31" t="s">
        <v>55</v>
      </c>
      <c r="B520" t="s">
        <v>2165</v>
      </c>
      <c r="C520" s="34">
        <v>0.052</v>
      </c>
      <c r="D520" s="32">
        <f>C520*VLOOKUP($A520,'Selector Sheet '!$B$13:$D$43,2,FALSE)</f>
        <v>0</v>
      </c>
      <c r="G520" s="32">
        <f>C520*VLOOKUP($A520,'Selector Sheet '!$B$13:$D$43,2,FALSE)</f>
        <v>0</v>
      </c>
    </row>
    <row r="521" spans="1:7">
      <c r="A521" s="31" t="s">
        <v>55</v>
      </c>
      <c r="B521" t="s">
        <v>2027</v>
      </c>
      <c r="C521" s="34">
        <v>0.052</v>
      </c>
      <c r="D521" s="32">
        <f>C521*VLOOKUP($A521,'Selector Sheet '!$B$13:$D$43,2,FALSE)</f>
        <v>0</v>
      </c>
      <c r="G521" s="32">
        <f>C521*VLOOKUP($A521,'Selector Sheet '!$B$13:$D$43,2,FALSE)</f>
        <v>0</v>
      </c>
    </row>
    <row r="522" spans="1:7">
      <c r="A522" s="31" t="s">
        <v>55</v>
      </c>
      <c r="B522" t="s">
        <v>1907</v>
      </c>
      <c r="C522" s="34">
        <v>0.051</v>
      </c>
      <c r="D522" s="32">
        <f>C522*VLOOKUP($A522,'Selector Sheet '!$B$13:$D$43,2,FALSE)</f>
        <v>0</v>
      </c>
      <c r="G522" s="32">
        <f>C522*VLOOKUP($A522,'Selector Sheet '!$B$13:$D$43,2,FALSE)</f>
        <v>0</v>
      </c>
    </row>
    <row r="523" spans="1:7">
      <c r="A523" s="31" t="s">
        <v>55</v>
      </c>
      <c r="B523" t="s">
        <v>1839</v>
      </c>
      <c r="C523" s="34">
        <v>0.05</v>
      </c>
      <c r="D523" s="32">
        <f>C523*VLOOKUP($A523,'Selector Sheet '!$B$13:$D$43,2,FALSE)</f>
        <v>0</v>
      </c>
      <c r="G523" s="32">
        <f>C523*VLOOKUP($A523,'Selector Sheet '!$B$13:$D$43,2,FALSE)</f>
        <v>0</v>
      </c>
    </row>
    <row r="524" spans="1:7">
      <c r="A524" s="31" t="s">
        <v>55</v>
      </c>
      <c r="B524" t="s">
        <v>2166</v>
      </c>
      <c r="C524" s="34">
        <v>0.041</v>
      </c>
      <c r="D524" s="32">
        <f>C524*VLOOKUP($A524,'Selector Sheet '!$B$13:$D$43,2,FALSE)</f>
        <v>0</v>
      </c>
      <c r="G524" s="32">
        <f>C524*VLOOKUP($A524,'Selector Sheet '!$B$13:$D$43,2,FALSE)</f>
        <v>0</v>
      </c>
    </row>
    <row r="525" spans="1:7">
      <c r="A525" s="31" t="s">
        <v>55</v>
      </c>
      <c r="B525" t="s">
        <v>2167</v>
      </c>
      <c r="C525" s="34">
        <v>0.04</v>
      </c>
      <c r="D525" s="32">
        <f>C525*VLOOKUP($A525,'Selector Sheet '!$B$13:$D$43,2,FALSE)</f>
        <v>0</v>
      </c>
      <c r="G525" s="32">
        <f>C525*VLOOKUP($A525,'Selector Sheet '!$B$13:$D$43,2,FALSE)</f>
        <v>0</v>
      </c>
    </row>
    <row r="526" spans="1:7">
      <c r="A526" s="31" t="s">
        <v>55</v>
      </c>
      <c r="B526" t="s">
        <v>2168</v>
      </c>
      <c r="C526" s="34">
        <v>0.034</v>
      </c>
      <c r="D526" s="32">
        <f>C526*VLOOKUP($A526,'Selector Sheet '!$B$13:$D$43,2,FALSE)</f>
        <v>0</v>
      </c>
      <c r="G526" s="32">
        <f>C526*VLOOKUP($A526,'Selector Sheet '!$B$13:$D$43,2,FALSE)</f>
        <v>0</v>
      </c>
    </row>
    <row r="527" spans="1:7">
      <c r="A527" s="31" t="s">
        <v>55</v>
      </c>
      <c r="B527" t="s">
        <v>2169</v>
      </c>
      <c r="C527" s="34">
        <v>0.033</v>
      </c>
      <c r="D527" s="32">
        <f>C527*VLOOKUP($A527,'Selector Sheet '!$B$13:$D$43,2,FALSE)</f>
        <v>0</v>
      </c>
      <c r="G527" s="32">
        <f>C527*VLOOKUP($A527,'Selector Sheet '!$B$13:$D$43,2,FALSE)</f>
        <v>0</v>
      </c>
    </row>
    <row r="528" spans="1:7">
      <c r="A528" s="31" t="s">
        <v>55</v>
      </c>
      <c r="B528" t="s">
        <v>1903</v>
      </c>
      <c r="C528" s="34">
        <v>0.033</v>
      </c>
      <c r="D528" s="32">
        <f>C528*VLOOKUP($A528,'Selector Sheet '!$B$13:$D$43,2,FALSE)</f>
        <v>0</v>
      </c>
      <c r="G528" s="32">
        <f>C528*VLOOKUP($A528,'Selector Sheet '!$B$13:$D$43,2,FALSE)</f>
        <v>0</v>
      </c>
    </row>
    <row r="529" spans="1:7">
      <c r="A529" s="31" t="s">
        <v>55</v>
      </c>
      <c r="B529" t="s">
        <v>2099</v>
      </c>
      <c r="C529" s="34">
        <v>0.026</v>
      </c>
      <c r="D529" s="32">
        <f>C529*VLOOKUP($A529,'Selector Sheet '!$B$13:$D$43,2,FALSE)</f>
        <v>0</v>
      </c>
      <c r="G529" s="32">
        <f>C529*VLOOKUP($A529,'Selector Sheet '!$B$13:$D$43,2,FALSE)</f>
        <v>0</v>
      </c>
    </row>
    <row r="530" spans="1:7">
      <c r="A530" s="31" t="s">
        <v>55</v>
      </c>
      <c r="B530" t="s">
        <v>2141</v>
      </c>
      <c r="C530" s="34">
        <v>0.024</v>
      </c>
      <c r="D530" s="32">
        <f>C530*VLOOKUP($A530,'Selector Sheet '!$B$13:$D$43,2,FALSE)</f>
        <v>0</v>
      </c>
      <c r="G530" s="32">
        <f>C530*VLOOKUP($A530,'Selector Sheet '!$B$13:$D$43,2,FALSE)</f>
        <v>0</v>
      </c>
    </row>
    <row r="531" spans="1:7">
      <c r="A531" s="31" t="s">
        <v>55</v>
      </c>
      <c r="B531" t="s">
        <v>1927</v>
      </c>
      <c r="C531" s="34">
        <v>0.023</v>
      </c>
      <c r="D531" s="32">
        <f>C531*VLOOKUP($A531,'Selector Sheet '!$B$13:$D$43,2,FALSE)</f>
        <v>0</v>
      </c>
      <c r="G531" s="32">
        <f>C531*VLOOKUP($A531,'Selector Sheet '!$B$13:$D$43,2,FALSE)</f>
        <v>0</v>
      </c>
    </row>
    <row r="532" spans="1:7">
      <c r="A532" s="31" t="s">
        <v>55</v>
      </c>
      <c r="B532" t="s">
        <v>2170</v>
      </c>
      <c r="C532" s="34">
        <v>0.022</v>
      </c>
      <c r="D532" s="32">
        <f>C532*VLOOKUP($A532,'Selector Sheet '!$B$13:$D$43,2,FALSE)</f>
        <v>0</v>
      </c>
      <c r="G532" s="32">
        <f>C532*VLOOKUP($A532,'Selector Sheet '!$B$13:$D$43,2,FALSE)</f>
        <v>0</v>
      </c>
    </row>
    <row r="533" spans="1:7">
      <c r="A533" s="31" t="s">
        <v>55</v>
      </c>
      <c r="B533" t="s">
        <v>2171</v>
      </c>
      <c r="C533" s="34">
        <v>0.022</v>
      </c>
      <c r="D533" s="32">
        <f>C533*VLOOKUP($A533,'Selector Sheet '!$B$13:$D$43,2,FALSE)</f>
        <v>0</v>
      </c>
      <c r="G533" s="32">
        <f>C533*VLOOKUP($A533,'Selector Sheet '!$B$13:$D$43,2,FALSE)</f>
        <v>0</v>
      </c>
    </row>
    <row r="534" spans="1:7">
      <c r="A534" s="31" t="s">
        <v>55</v>
      </c>
      <c r="B534" t="s">
        <v>1824</v>
      </c>
      <c r="C534" s="34">
        <v>0.019</v>
      </c>
      <c r="D534" s="32">
        <f>C534*VLOOKUP($A534,'Selector Sheet '!$B$13:$D$43,2,FALSE)</f>
        <v>0</v>
      </c>
      <c r="G534" s="32">
        <f>C534*VLOOKUP($A534,'Selector Sheet '!$B$13:$D$43,2,FALSE)</f>
        <v>0</v>
      </c>
    </row>
    <row r="535" spans="1:7">
      <c r="A535" s="31" t="s">
        <v>55</v>
      </c>
      <c r="B535" t="s">
        <v>1883</v>
      </c>
      <c r="C535" s="34">
        <v>0.019</v>
      </c>
      <c r="D535" s="32">
        <f>C535*VLOOKUP($A535,'Selector Sheet '!$B$13:$D$43,2,FALSE)</f>
        <v>0</v>
      </c>
      <c r="G535" s="32">
        <f>C535*VLOOKUP($A535,'Selector Sheet '!$B$13:$D$43,2,FALSE)</f>
        <v>0</v>
      </c>
    </row>
    <row r="536" spans="1:7">
      <c r="A536" s="31" t="s">
        <v>55</v>
      </c>
      <c r="B536" t="s">
        <v>2172</v>
      </c>
      <c r="C536" s="34">
        <v>0.018</v>
      </c>
      <c r="D536" s="32">
        <f>C536*VLOOKUP($A536,'Selector Sheet '!$B$13:$D$43,2,FALSE)</f>
        <v>0</v>
      </c>
      <c r="G536" s="32">
        <f>C536*VLOOKUP($A536,'Selector Sheet '!$B$13:$D$43,2,FALSE)</f>
        <v>0</v>
      </c>
    </row>
    <row r="537" spans="1:7">
      <c r="A537" s="31" t="s">
        <v>55</v>
      </c>
      <c r="B537" t="s">
        <v>2173</v>
      </c>
      <c r="C537" s="34">
        <v>0.015</v>
      </c>
      <c r="D537" s="32">
        <f>C537*VLOOKUP($A537,'Selector Sheet '!$B$13:$D$43,2,FALSE)</f>
        <v>0</v>
      </c>
      <c r="G537" s="32">
        <f>C537*VLOOKUP($A537,'Selector Sheet '!$B$13:$D$43,2,FALSE)</f>
        <v>0</v>
      </c>
    </row>
    <row r="538" spans="1:7">
      <c r="A538" s="31" t="s">
        <v>55</v>
      </c>
      <c r="B538" t="s">
        <v>2174</v>
      </c>
      <c r="C538" s="34">
        <v>0.015</v>
      </c>
      <c r="D538" s="32">
        <f>C538*VLOOKUP($A538,'Selector Sheet '!$B$13:$D$43,2,FALSE)</f>
        <v>0</v>
      </c>
      <c r="G538" s="32">
        <f>C538*VLOOKUP($A538,'Selector Sheet '!$B$13:$D$43,2,FALSE)</f>
        <v>0</v>
      </c>
    </row>
    <row r="539" spans="1:7">
      <c r="A539" s="31" t="s">
        <v>55</v>
      </c>
      <c r="B539" t="s">
        <v>2175</v>
      </c>
      <c r="C539" s="34">
        <v>0.014</v>
      </c>
      <c r="D539" s="32">
        <f>C539*VLOOKUP($A539,'Selector Sheet '!$B$13:$D$43,2,FALSE)</f>
        <v>0</v>
      </c>
      <c r="G539" s="32">
        <f>C539*VLOOKUP($A539,'Selector Sheet '!$B$13:$D$43,2,FALSE)</f>
        <v>0</v>
      </c>
    </row>
    <row r="540" spans="1:7">
      <c r="A540" s="31" t="s">
        <v>55</v>
      </c>
      <c r="B540" t="s">
        <v>2176</v>
      </c>
      <c r="C540" s="34">
        <v>0.014</v>
      </c>
      <c r="D540" s="32">
        <f>C540*VLOOKUP($A540,'Selector Sheet '!$B$13:$D$43,2,FALSE)</f>
        <v>0</v>
      </c>
      <c r="G540" s="32">
        <f>C540*VLOOKUP($A540,'Selector Sheet '!$B$13:$D$43,2,FALSE)</f>
        <v>0</v>
      </c>
    </row>
    <row r="541" spans="1:7">
      <c r="A541" s="31" t="s">
        <v>55</v>
      </c>
      <c r="B541" t="s">
        <v>2177</v>
      </c>
      <c r="C541" s="34">
        <v>0.014</v>
      </c>
      <c r="D541" s="32">
        <f>C541*VLOOKUP($A541,'Selector Sheet '!$B$13:$D$43,2,FALSE)</f>
        <v>0</v>
      </c>
      <c r="G541" s="32">
        <f>C541*VLOOKUP($A541,'Selector Sheet '!$B$13:$D$43,2,FALSE)</f>
        <v>0</v>
      </c>
    </row>
    <row r="542" spans="1:7">
      <c r="A542" s="31" t="s">
        <v>55</v>
      </c>
      <c r="B542" t="s">
        <v>2178</v>
      </c>
      <c r="C542" s="34">
        <v>0.01</v>
      </c>
      <c r="D542" s="32">
        <f>C542*VLOOKUP($A542,'Selector Sheet '!$B$13:$D$43,2,FALSE)</f>
        <v>0</v>
      </c>
      <c r="G542" s="32">
        <f>C542*VLOOKUP($A542,'Selector Sheet '!$B$13:$D$43,2,FALSE)</f>
        <v>0</v>
      </c>
    </row>
    <row r="543" spans="1:7">
      <c r="A543" s="31" t="s">
        <v>49</v>
      </c>
      <c r="B543" t="s">
        <v>1837</v>
      </c>
      <c r="C543" s="34">
        <v>0.0681</v>
      </c>
      <c r="D543" s="32">
        <f>C543*VLOOKUP($A543,'Selector Sheet '!$B$13:$D$43,2,FALSE)</f>
        <v>0</v>
      </c>
      <c r="G543" s="32">
        <f>C543*VLOOKUP($A543,'Selector Sheet '!$B$13:$D$43,2,FALSE)</f>
        <v>0</v>
      </c>
    </row>
    <row r="544" spans="1:7">
      <c r="A544" s="31" t="s">
        <v>49</v>
      </c>
      <c r="B544" t="s">
        <v>2179</v>
      </c>
      <c r="C544" s="34">
        <v>0.0429</v>
      </c>
      <c r="D544" s="32">
        <f>C544*VLOOKUP($A544,'Selector Sheet '!$B$13:$D$43,2,FALSE)</f>
        <v>0</v>
      </c>
      <c r="G544" s="32">
        <f>C544*VLOOKUP($A544,'Selector Sheet '!$B$13:$D$43,2,FALSE)</f>
        <v>0</v>
      </c>
    </row>
    <row r="545" spans="1:7">
      <c r="A545" s="31" t="s">
        <v>49</v>
      </c>
      <c r="B545" t="s">
        <v>1824</v>
      </c>
      <c r="C545" s="34">
        <v>0.0401</v>
      </c>
      <c r="D545" s="32">
        <f>C545*VLOOKUP($A545,'Selector Sheet '!$B$13:$D$43,2,FALSE)</f>
        <v>0</v>
      </c>
      <c r="G545" s="32">
        <f>C545*VLOOKUP($A545,'Selector Sheet '!$B$13:$D$43,2,FALSE)</f>
        <v>0</v>
      </c>
    </row>
    <row r="546" spans="1:7">
      <c r="A546" s="31" t="s">
        <v>49</v>
      </c>
      <c r="B546" t="s">
        <v>2180</v>
      </c>
      <c r="C546" s="34">
        <v>0.0371</v>
      </c>
      <c r="D546" s="32">
        <f>C546*VLOOKUP($A546,'Selector Sheet '!$B$13:$D$43,2,FALSE)</f>
        <v>0</v>
      </c>
      <c r="G546" s="32">
        <f>C546*VLOOKUP($A546,'Selector Sheet '!$B$13:$D$43,2,FALSE)</f>
        <v>0</v>
      </c>
    </row>
    <row r="547" spans="1:7">
      <c r="A547" s="31" t="s">
        <v>49</v>
      </c>
      <c r="B547" t="s">
        <v>2147</v>
      </c>
      <c r="C547" s="34">
        <v>0.0322</v>
      </c>
      <c r="D547" s="32">
        <f>C547*VLOOKUP($A547,'Selector Sheet '!$B$13:$D$43,2,FALSE)</f>
        <v>0</v>
      </c>
      <c r="G547" s="32">
        <f>C547*VLOOKUP($A547,'Selector Sheet '!$B$13:$D$43,2,FALSE)</f>
        <v>0</v>
      </c>
    </row>
    <row r="548" spans="1:7">
      <c r="A548" s="31" t="s">
        <v>49</v>
      </c>
      <c r="B548" t="s">
        <v>1883</v>
      </c>
      <c r="C548" s="34">
        <v>0.027</v>
      </c>
      <c r="D548" s="32">
        <f>C548*VLOOKUP($A548,'Selector Sheet '!$B$13:$D$43,2,FALSE)</f>
        <v>0</v>
      </c>
      <c r="G548" s="32">
        <f>C548*VLOOKUP($A548,'Selector Sheet '!$B$13:$D$43,2,FALSE)</f>
        <v>0</v>
      </c>
    </row>
    <row r="549" spans="1:7">
      <c r="A549" s="31" t="s">
        <v>49</v>
      </c>
      <c r="B549" t="s">
        <v>1822</v>
      </c>
      <c r="C549" s="34">
        <v>0.0268</v>
      </c>
      <c r="D549" s="32">
        <f>C549*VLOOKUP($A549,'Selector Sheet '!$B$13:$D$43,2,FALSE)</f>
        <v>0</v>
      </c>
      <c r="G549" s="32">
        <f>C549*VLOOKUP($A549,'Selector Sheet '!$B$13:$D$43,2,FALSE)</f>
        <v>0</v>
      </c>
    </row>
    <row r="550" spans="1:7">
      <c r="A550" s="31" t="s">
        <v>49</v>
      </c>
      <c r="B550" t="s">
        <v>1829</v>
      </c>
      <c r="C550" s="34">
        <v>0.0257</v>
      </c>
      <c r="D550" s="32">
        <f>C550*VLOOKUP($A550,'Selector Sheet '!$B$13:$D$43,2,FALSE)</f>
        <v>0</v>
      </c>
      <c r="G550" s="32">
        <f>C550*VLOOKUP($A550,'Selector Sheet '!$B$13:$D$43,2,FALSE)</f>
        <v>0</v>
      </c>
    </row>
    <row r="551" spans="1:7">
      <c r="A551" s="31" t="s">
        <v>49</v>
      </c>
      <c r="B551" t="s">
        <v>1896</v>
      </c>
      <c r="C551" s="34">
        <v>0.0253</v>
      </c>
      <c r="D551" s="32">
        <f>C551*VLOOKUP($A551,'Selector Sheet '!$B$13:$D$43,2,FALSE)</f>
        <v>0</v>
      </c>
      <c r="G551" s="32">
        <f>C551*VLOOKUP($A551,'Selector Sheet '!$B$13:$D$43,2,FALSE)</f>
        <v>0</v>
      </c>
    </row>
    <row r="552" spans="1:7">
      <c r="A552" s="31" t="s">
        <v>49</v>
      </c>
      <c r="B552" t="s">
        <v>1832</v>
      </c>
      <c r="C552" s="34">
        <v>0.0248</v>
      </c>
      <c r="D552" s="32">
        <f>C552*VLOOKUP($A552,'Selector Sheet '!$B$13:$D$43,2,FALSE)</f>
        <v>0</v>
      </c>
      <c r="G552" s="32">
        <f>C552*VLOOKUP($A552,'Selector Sheet '!$B$13:$D$43,2,FALSE)</f>
        <v>0</v>
      </c>
    </row>
    <row r="553" spans="1:7">
      <c r="A553" s="31" t="s">
        <v>49</v>
      </c>
      <c r="B553" t="s">
        <v>1886</v>
      </c>
      <c r="C553" s="34">
        <v>0.0233</v>
      </c>
      <c r="D553" s="32">
        <f>C553*VLOOKUP($A553,'Selector Sheet '!$B$13:$D$43,2,FALSE)</f>
        <v>0</v>
      </c>
      <c r="G553" s="32">
        <f>C553*VLOOKUP($A553,'Selector Sheet '!$B$13:$D$43,2,FALSE)</f>
        <v>0</v>
      </c>
    </row>
    <row r="554" spans="1:7">
      <c r="A554" s="31" t="s">
        <v>49</v>
      </c>
      <c r="B554" t="s">
        <v>2181</v>
      </c>
      <c r="C554" s="34">
        <v>0.0231</v>
      </c>
      <c r="D554" s="32">
        <f>C554*VLOOKUP($A554,'Selector Sheet '!$B$13:$D$43,2,FALSE)</f>
        <v>0</v>
      </c>
      <c r="G554" s="32">
        <f>C554*VLOOKUP($A554,'Selector Sheet '!$B$13:$D$43,2,FALSE)</f>
        <v>0</v>
      </c>
    </row>
    <row r="555" spans="1:7">
      <c r="A555" s="31" t="s">
        <v>49</v>
      </c>
      <c r="B555" t="s">
        <v>1905</v>
      </c>
      <c r="C555" s="34">
        <v>0.0227</v>
      </c>
      <c r="D555" s="32">
        <f>C555*VLOOKUP($A555,'Selector Sheet '!$B$13:$D$43,2,FALSE)</f>
        <v>0</v>
      </c>
      <c r="G555" s="32">
        <f>C555*VLOOKUP($A555,'Selector Sheet '!$B$13:$D$43,2,FALSE)</f>
        <v>0</v>
      </c>
    </row>
    <row r="556" spans="1:7">
      <c r="A556" s="31" t="s">
        <v>49</v>
      </c>
      <c r="B556" t="s">
        <v>2182</v>
      </c>
      <c r="C556" s="34">
        <v>0.0226</v>
      </c>
      <c r="D556" s="32">
        <f>C556*VLOOKUP($A556,'Selector Sheet '!$B$13:$D$43,2,FALSE)</f>
        <v>0</v>
      </c>
      <c r="G556" s="32">
        <f>C556*VLOOKUP($A556,'Selector Sheet '!$B$13:$D$43,2,FALSE)</f>
        <v>0</v>
      </c>
    </row>
    <row r="557" spans="1:7">
      <c r="A557" s="31" t="s">
        <v>49</v>
      </c>
      <c r="B557" t="s">
        <v>1885</v>
      </c>
      <c r="C557" s="34">
        <v>0.0216</v>
      </c>
      <c r="D557" s="32">
        <f>C557*VLOOKUP($A557,'Selector Sheet '!$B$13:$D$43,2,FALSE)</f>
        <v>0</v>
      </c>
      <c r="G557" s="32">
        <f>C557*VLOOKUP($A557,'Selector Sheet '!$B$13:$D$43,2,FALSE)</f>
        <v>0</v>
      </c>
    </row>
    <row r="558" spans="1:7">
      <c r="A558" s="31" t="s">
        <v>49</v>
      </c>
      <c r="B558" t="s">
        <v>1826</v>
      </c>
      <c r="C558" s="34">
        <v>0.0198</v>
      </c>
      <c r="D558" s="32">
        <f>C558*VLOOKUP($A558,'Selector Sheet '!$B$13:$D$43,2,FALSE)</f>
        <v>0</v>
      </c>
      <c r="G558" s="32">
        <f>C558*VLOOKUP($A558,'Selector Sheet '!$B$13:$D$43,2,FALSE)</f>
        <v>0</v>
      </c>
    </row>
    <row r="559" spans="1:7">
      <c r="A559" s="31" t="s">
        <v>49</v>
      </c>
      <c r="B559" t="s">
        <v>2183</v>
      </c>
      <c r="C559" s="34">
        <v>0.019</v>
      </c>
      <c r="D559" s="32">
        <f>C559*VLOOKUP($A559,'Selector Sheet '!$B$13:$D$43,2,FALSE)</f>
        <v>0</v>
      </c>
      <c r="G559" s="32">
        <f>C559*VLOOKUP($A559,'Selector Sheet '!$B$13:$D$43,2,FALSE)</f>
        <v>0</v>
      </c>
    </row>
    <row r="560" spans="1:7">
      <c r="A560" s="31" t="s">
        <v>49</v>
      </c>
      <c r="B560" t="s">
        <v>2061</v>
      </c>
      <c r="C560" s="34">
        <v>0.0169</v>
      </c>
      <c r="D560" s="32">
        <f>C560*VLOOKUP($A560,'Selector Sheet '!$B$13:$D$43,2,FALSE)</f>
        <v>0</v>
      </c>
      <c r="G560" s="32">
        <f>C560*VLOOKUP($A560,'Selector Sheet '!$B$13:$D$43,2,FALSE)</f>
        <v>0</v>
      </c>
    </row>
    <row r="561" spans="1:7">
      <c r="A561" s="31" t="s">
        <v>49</v>
      </c>
      <c r="B561" t="s">
        <v>1995</v>
      </c>
      <c r="C561" s="34">
        <v>0.0168</v>
      </c>
      <c r="D561" s="32">
        <f>C561*VLOOKUP($A561,'Selector Sheet '!$B$13:$D$43,2,FALSE)</f>
        <v>0</v>
      </c>
      <c r="G561" s="32">
        <f>C561*VLOOKUP($A561,'Selector Sheet '!$B$13:$D$43,2,FALSE)</f>
        <v>0</v>
      </c>
    </row>
    <row r="562" spans="1:7">
      <c r="A562" s="31" t="s">
        <v>49</v>
      </c>
      <c r="B562" t="s">
        <v>1827</v>
      </c>
      <c r="C562" s="34">
        <v>0.0148</v>
      </c>
      <c r="D562" s="32">
        <f>C562*VLOOKUP($A562,'Selector Sheet '!$B$13:$D$43,2,FALSE)</f>
        <v>0</v>
      </c>
      <c r="G562" s="32">
        <f>C562*VLOOKUP($A562,'Selector Sheet '!$B$13:$D$43,2,FALSE)</f>
        <v>0</v>
      </c>
    </row>
    <row r="563" spans="1:7">
      <c r="A563" s="31" t="s">
        <v>49</v>
      </c>
      <c r="B563" t="s">
        <v>940</v>
      </c>
      <c r="C563" s="34">
        <v>0.0148</v>
      </c>
      <c r="D563" s="32">
        <f>C563*VLOOKUP($A563,'Selector Sheet '!$B$13:$D$43,2,FALSE)</f>
        <v>0</v>
      </c>
      <c r="G563" s="32">
        <f>C563*VLOOKUP($A563,'Selector Sheet '!$B$13:$D$43,2,FALSE)</f>
        <v>0</v>
      </c>
    </row>
    <row r="564" spans="1:7">
      <c r="A564" s="31" t="s">
        <v>49</v>
      </c>
      <c r="B564" t="s">
        <v>2184</v>
      </c>
      <c r="C564" s="34">
        <v>0.0147</v>
      </c>
      <c r="D564" s="32">
        <f>C564*VLOOKUP($A564,'Selector Sheet '!$B$13:$D$43,2,FALSE)</f>
        <v>0</v>
      </c>
      <c r="G564" s="32">
        <f>C564*VLOOKUP($A564,'Selector Sheet '!$B$13:$D$43,2,FALSE)</f>
        <v>0</v>
      </c>
    </row>
    <row r="565" spans="1:7">
      <c r="A565" s="31" t="s">
        <v>49</v>
      </c>
      <c r="B565" t="s">
        <v>1842</v>
      </c>
      <c r="C565" s="34">
        <v>0.0146</v>
      </c>
      <c r="D565" s="32">
        <f>C565*VLOOKUP($A565,'Selector Sheet '!$B$13:$D$43,2,FALSE)</f>
        <v>0</v>
      </c>
      <c r="G565" s="32">
        <f>C565*VLOOKUP($A565,'Selector Sheet '!$B$13:$D$43,2,FALSE)</f>
        <v>0</v>
      </c>
    </row>
    <row r="566" spans="1:7">
      <c r="A566" s="31" t="s">
        <v>49</v>
      </c>
      <c r="B566" t="s">
        <v>1877</v>
      </c>
      <c r="C566" s="34">
        <v>0.0145</v>
      </c>
      <c r="D566" s="32">
        <f>C566*VLOOKUP($A566,'Selector Sheet '!$B$13:$D$43,2,FALSE)</f>
        <v>0</v>
      </c>
      <c r="G566" s="32">
        <f>C566*VLOOKUP($A566,'Selector Sheet '!$B$13:$D$43,2,FALSE)</f>
        <v>0</v>
      </c>
    </row>
    <row r="567" spans="1:7">
      <c r="A567" s="31" t="s">
        <v>49</v>
      </c>
      <c r="B567" t="s">
        <v>1884</v>
      </c>
      <c r="C567" s="34">
        <v>0.0133</v>
      </c>
      <c r="D567" s="32">
        <f>C567*VLOOKUP($A567,'Selector Sheet '!$B$13:$D$43,2,FALSE)</f>
        <v>0</v>
      </c>
      <c r="G567" s="32">
        <f>C567*VLOOKUP($A567,'Selector Sheet '!$B$13:$D$43,2,FALSE)</f>
        <v>0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2"/>
  <sheetViews>
    <sheetView tabSelected="1" workbookViewId="0">
      <selection activeCell="H19" sqref="H19"/>
    </sheetView>
  </sheetViews>
  <sheetFormatPr defaultColWidth="8.89166666666667" defaultRowHeight="13.8"/>
  <cols>
    <col min="1" max="1" width="19.3" customWidth="1"/>
  </cols>
  <sheetData>
    <row r="1" ht="14.55" spans="1:20">
      <c r="A1" t="s">
        <v>2185</v>
      </c>
      <c r="B1" s="1"/>
      <c r="C1" s="1"/>
      <c r="D1" s="2"/>
      <c r="E1" s="2" t="s">
        <v>17</v>
      </c>
      <c r="F1" s="3" t="s">
        <v>18</v>
      </c>
      <c r="G1" s="3" t="s">
        <v>19</v>
      </c>
      <c r="H1" s="3" t="s">
        <v>20</v>
      </c>
      <c r="I1" s="3" t="s">
        <v>22</v>
      </c>
      <c r="J1" s="3" t="s">
        <v>23</v>
      </c>
      <c r="K1" s="15" t="s">
        <v>24</v>
      </c>
      <c r="L1" s="16"/>
      <c r="M1" s="16" t="s">
        <v>25</v>
      </c>
      <c r="N1" s="17">
        <v>2024</v>
      </c>
      <c r="O1" s="17">
        <v>2023</v>
      </c>
      <c r="P1" s="18">
        <v>2022</v>
      </c>
      <c r="Q1" s="18">
        <v>2021</v>
      </c>
      <c r="R1" s="18">
        <v>2020</v>
      </c>
      <c r="S1" s="18">
        <v>2019</v>
      </c>
      <c r="T1" s="18">
        <v>2018</v>
      </c>
    </row>
    <row r="2" spans="1:20">
      <c r="A2" s="4" t="s">
        <v>138</v>
      </c>
      <c r="B2" s="5"/>
      <c r="C2" s="5"/>
      <c r="D2" s="5"/>
      <c r="E2" s="6">
        <v>-0.029931</v>
      </c>
      <c r="F2" s="7">
        <v>0.023115</v>
      </c>
      <c r="G2" s="7">
        <v>0.054214</v>
      </c>
      <c r="H2" s="7">
        <v>-0.018044</v>
      </c>
      <c r="I2" s="7">
        <v>0.139445</v>
      </c>
      <c r="J2" s="7">
        <v>0.183864</v>
      </c>
      <c r="K2" s="19">
        <v>0.11603</v>
      </c>
      <c r="L2" s="20"/>
      <c r="M2" s="21">
        <v>0.035912</v>
      </c>
      <c r="N2" s="22">
        <v>0.119583343943169</v>
      </c>
      <c r="O2" s="22">
        <v>0.21490819352006</v>
      </c>
      <c r="P2" s="22">
        <v>0.045369467323215</v>
      </c>
      <c r="Q2" s="22">
        <v>0.249994503729308</v>
      </c>
      <c r="R2" s="22">
        <v>0.152357882641574</v>
      </c>
      <c r="S2" s="22">
        <v>0.0963325932576055</v>
      </c>
      <c r="T2" s="22">
        <v>0.0118986960755337</v>
      </c>
    </row>
    <row r="3" spans="1:20">
      <c r="A3" s="8" t="s">
        <v>140</v>
      </c>
      <c r="B3" s="5"/>
      <c r="C3" s="5"/>
      <c r="D3" s="5"/>
      <c r="E3" s="9">
        <v>-0.028956</v>
      </c>
      <c r="F3" s="10">
        <v>0.011756</v>
      </c>
      <c r="G3" s="10">
        <v>0.047548</v>
      </c>
      <c r="H3" s="10">
        <v>-0.006799</v>
      </c>
      <c r="I3" s="10">
        <v>0.121048</v>
      </c>
      <c r="J3" s="10">
        <v>0.166288</v>
      </c>
      <c r="K3" s="23">
        <v>0.111775</v>
      </c>
      <c r="L3" s="20"/>
      <c r="M3" s="24">
        <v>0.038989</v>
      </c>
      <c r="N3" s="25">
        <v>0.0816546064479834</v>
      </c>
      <c r="O3" s="25">
        <v>0.187366557342991</v>
      </c>
      <c r="P3" s="25">
        <v>0.0444077315444721</v>
      </c>
      <c r="Q3" s="25">
        <v>0.219941308441042</v>
      </c>
      <c r="R3" s="25">
        <v>0.157503053056523</v>
      </c>
      <c r="S3" s="25">
        <v>0.143766290260736</v>
      </c>
      <c r="T3" s="25">
        <v>0.0590630425673793</v>
      </c>
    </row>
    <row r="4" spans="1:20">
      <c r="A4" s="8" t="s">
        <v>142</v>
      </c>
      <c r="B4" s="5"/>
      <c r="C4" s="5"/>
      <c r="D4" s="5"/>
      <c r="E4" s="9">
        <v>-0.029341</v>
      </c>
      <c r="F4" s="10">
        <v>0.017841</v>
      </c>
      <c r="G4" s="10">
        <v>0.053596</v>
      </c>
      <c r="H4" s="10">
        <v>-0.007326</v>
      </c>
      <c r="I4" s="10">
        <v>0.129786</v>
      </c>
      <c r="J4" s="10">
        <v>0.174585</v>
      </c>
      <c r="K4" s="23">
        <v>0.112352</v>
      </c>
      <c r="L4" s="20"/>
      <c r="M4" s="24">
        <v>0.047518</v>
      </c>
      <c r="N4" s="25">
        <v>0.0880476902077809</v>
      </c>
      <c r="O4" s="25">
        <v>0.200278393101744</v>
      </c>
      <c r="P4" s="25">
        <v>0.0432896067488569</v>
      </c>
      <c r="Q4" s="25">
        <v>0.241192983710909</v>
      </c>
      <c r="R4" s="25">
        <v>0.149016514017808</v>
      </c>
      <c r="S4" s="25">
        <v>0.120220390239861</v>
      </c>
      <c r="T4" s="25">
        <v>0.0315126249916908</v>
      </c>
    </row>
    <row r="5" ht="14.55" spans="1:20">
      <c r="A5" s="11" t="s">
        <v>144</v>
      </c>
      <c r="B5" s="5"/>
      <c r="C5" s="5"/>
      <c r="D5" s="5"/>
      <c r="E5" s="9">
        <v>-0.027567</v>
      </c>
      <c r="F5" s="10">
        <v>0.040108</v>
      </c>
      <c r="G5" s="10">
        <v>0.06287</v>
      </c>
      <c r="H5" s="10">
        <v>-0.10285</v>
      </c>
      <c r="I5" s="10">
        <v>0.178801</v>
      </c>
      <c r="J5" s="10">
        <v>0.200799</v>
      </c>
      <c r="K5" s="23">
        <v>0.124071</v>
      </c>
      <c r="L5" s="20"/>
      <c r="M5" s="26">
        <v>-0.013123</v>
      </c>
      <c r="N5" s="27">
        <v>0.274507524712643</v>
      </c>
      <c r="O5" s="27">
        <v>0.264464855976808</v>
      </c>
      <c r="P5" s="27">
        <v>-0.000716520717515556</v>
      </c>
      <c r="Q5" s="27">
        <v>0.298670657411666</v>
      </c>
      <c r="R5" s="27">
        <v>0.148405637365297</v>
      </c>
      <c r="S5" s="27">
        <v>0.00456903771629736</v>
      </c>
      <c r="T5" s="27">
        <v>-0.0899687223979603</v>
      </c>
    </row>
    <row r="6" ht="14.55" spans="1:21">
      <c r="A6" s="12" t="s">
        <v>185</v>
      </c>
      <c r="B6" s="5"/>
      <c r="C6" s="5"/>
      <c r="D6" s="5"/>
      <c r="E6" s="13">
        <v>-0.02971</v>
      </c>
      <c r="F6" s="14">
        <v>0.026524</v>
      </c>
      <c r="G6" s="14">
        <v>0.054662</v>
      </c>
      <c r="H6" s="14">
        <v>-0.02863</v>
      </c>
      <c r="I6" s="14">
        <v>0.145994</v>
      </c>
      <c r="J6" s="14">
        <v>0.192965</v>
      </c>
      <c r="K6" s="28">
        <v>0.120911</v>
      </c>
      <c r="L6" s="20"/>
      <c r="M6" s="29">
        <v>0.02902</v>
      </c>
      <c r="N6" s="30">
        <v>0.13404855498046</v>
      </c>
      <c r="O6" s="30">
        <v>0.227583071297849</v>
      </c>
      <c r="P6" s="30">
        <v>0.0418381062193249</v>
      </c>
      <c r="Q6" s="30">
        <v>0.275916009663324</v>
      </c>
      <c r="R6" s="30">
        <v>0.163126865730421</v>
      </c>
      <c r="S6" s="30">
        <v>0.0912740025098415</v>
      </c>
      <c r="T6" s="30">
        <v>-0.00538165279576636</v>
      </c>
      <c r="U6" s="30"/>
    </row>
    <row r="7" spans="1:21">
      <c r="A7" s="4" t="s">
        <v>296</v>
      </c>
      <c r="B7" s="5"/>
      <c r="C7" s="5"/>
      <c r="D7" s="5"/>
      <c r="E7" s="6">
        <v>-0.022897</v>
      </c>
      <c r="F7" s="7">
        <v>0.067576</v>
      </c>
      <c r="G7" s="7">
        <v>0.062307</v>
      </c>
      <c r="H7" s="7">
        <v>-0.058658</v>
      </c>
      <c r="I7" s="7">
        <v>0.238603</v>
      </c>
      <c r="J7" s="7">
        <v>0.271637</v>
      </c>
      <c r="K7" s="19">
        <v>0.150311</v>
      </c>
      <c r="L7" s="20"/>
      <c r="M7" s="21">
        <v>-0.014275</v>
      </c>
      <c r="N7" s="22">
        <v>0.260739505342404</v>
      </c>
      <c r="O7" s="22">
        <v>0.455261608959292</v>
      </c>
      <c r="P7" s="22">
        <v>0.0137933078308118</v>
      </c>
      <c r="Q7" s="22">
        <v>0.391755283720417</v>
      </c>
      <c r="R7" s="22">
        <v>0.198666072503496</v>
      </c>
      <c r="S7" s="22">
        <v>-0.0304836301571726</v>
      </c>
      <c r="T7" s="22">
        <v>-0.133761446269863</v>
      </c>
      <c r="U7" s="22"/>
    </row>
    <row r="8" spans="1:21">
      <c r="A8" s="8" t="s">
        <v>298</v>
      </c>
      <c r="B8" s="5"/>
      <c r="C8" s="5"/>
      <c r="D8" s="5"/>
      <c r="E8" s="9">
        <v>-0.03918</v>
      </c>
      <c r="F8" s="10">
        <v>0.06052</v>
      </c>
      <c r="G8" s="10">
        <v>0.068669</v>
      </c>
      <c r="H8" s="10">
        <v>-0.026959</v>
      </c>
      <c r="I8" s="10">
        <v>0.245793</v>
      </c>
      <c r="J8" s="10">
        <v>0.299617</v>
      </c>
      <c r="K8" s="23">
        <v>0.15366</v>
      </c>
      <c r="L8" s="20"/>
      <c r="M8" s="24">
        <v>0.003516</v>
      </c>
      <c r="N8" s="25">
        <v>0.238575320181802</v>
      </c>
      <c r="O8" s="25">
        <v>0.465660664300155</v>
      </c>
      <c r="P8" s="25">
        <v>0.0350229445946344</v>
      </c>
      <c r="Q8" s="25">
        <v>0.46061652872736</v>
      </c>
      <c r="R8" s="25">
        <v>0.21868147931589</v>
      </c>
      <c r="S8" s="25">
        <v>-0.0432435456350871</v>
      </c>
      <c r="T8" s="25">
        <v>-0.154162822059763</v>
      </c>
      <c r="U8" s="25"/>
    </row>
    <row r="9" ht="14.55" spans="1:21">
      <c r="A9" s="11" t="s">
        <v>300</v>
      </c>
      <c r="B9" s="5"/>
      <c r="C9" s="5"/>
      <c r="D9" s="5"/>
      <c r="E9" s="9">
        <v>-0.028531</v>
      </c>
      <c r="F9" s="10">
        <v>0.074882</v>
      </c>
      <c r="G9" s="10">
        <v>0.076085</v>
      </c>
      <c r="H9" s="10">
        <v>-0.022856</v>
      </c>
      <c r="I9" s="10">
        <v>0.239604</v>
      </c>
      <c r="J9" s="10">
        <v>0.294748</v>
      </c>
      <c r="K9" s="23" t="s">
        <v>113</v>
      </c>
      <c r="L9" s="20"/>
      <c r="M9" s="26">
        <v>0.010411</v>
      </c>
      <c r="N9" s="27">
        <v>0.237988996928627</v>
      </c>
      <c r="O9" s="27">
        <v>0.436766716446164</v>
      </c>
      <c r="P9" s="27">
        <v>0.0296442602145788</v>
      </c>
      <c r="Q9" s="27">
        <v>0.468103371529588</v>
      </c>
      <c r="R9" s="27">
        <v>0.243814856998228</v>
      </c>
      <c r="S9" s="27">
        <v>-0.00279210638398558</v>
      </c>
      <c r="T9" s="27">
        <v>-0.133283931442572</v>
      </c>
      <c r="U9" s="27"/>
    </row>
    <row r="10" spans="1:20">
      <c r="A10" s="4" t="s">
        <v>330</v>
      </c>
      <c r="B10" s="5"/>
      <c r="C10" s="5"/>
      <c r="D10" s="5"/>
      <c r="E10" s="6">
        <v>-0.023141</v>
      </c>
      <c r="F10" s="7">
        <v>0.127108</v>
      </c>
      <c r="G10" s="7">
        <v>0.069396</v>
      </c>
      <c r="H10" s="7">
        <v>-0.034464</v>
      </c>
      <c r="I10" s="7">
        <v>0.253786</v>
      </c>
      <c r="J10" s="7">
        <v>0.326015</v>
      </c>
      <c r="K10" s="19">
        <v>0.162571</v>
      </c>
      <c r="L10" s="20"/>
      <c r="M10" s="21">
        <v>-0.03181</v>
      </c>
      <c r="N10" s="22">
        <v>0.293080337893825</v>
      </c>
      <c r="O10" s="22">
        <v>0.475233166210285</v>
      </c>
      <c r="P10" s="22">
        <v>-0.018024792109108</v>
      </c>
      <c r="Q10" s="22">
        <v>0.627670513661371</v>
      </c>
      <c r="R10" s="22">
        <v>0.321090677892487</v>
      </c>
      <c r="S10" s="22">
        <v>-0.0684939983096128</v>
      </c>
      <c r="T10" s="22">
        <v>-0.235250162240415</v>
      </c>
    </row>
    <row r="11" spans="1:20">
      <c r="A11" s="8" t="s">
        <v>332</v>
      </c>
      <c r="B11" s="5"/>
      <c r="C11" s="5"/>
      <c r="D11" s="5"/>
      <c r="E11" s="9">
        <v>-0.058099</v>
      </c>
      <c r="F11" s="10">
        <v>0.092286</v>
      </c>
      <c r="G11" s="10">
        <v>0.062467</v>
      </c>
      <c r="H11" s="10">
        <v>-0.061178</v>
      </c>
      <c r="I11" s="10">
        <v>0.250497</v>
      </c>
      <c r="J11" s="10">
        <v>0.29079</v>
      </c>
      <c r="K11" s="23">
        <v>0.121101</v>
      </c>
      <c r="L11" s="20"/>
      <c r="M11" s="24">
        <v>-0.042748</v>
      </c>
      <c r="N11" s="25">
        <v>0.239410546060907</v>
      </c>
      <c r="O11" s="25">
        <v>0.55617958449796</v>
      </c>
      <c r="P11" s="25">
        <v>-0.137983878111436</v>
      </c>
      <c r="Q11" s="25">
        <v>0.592781759692985</v>
      </c>
      <c r="R11" s="25">
        <v>0.214722138909122</v>
      </c>
      <c r="S11" s="25">
        <v>-0.0952683686997511</v>
      </c>
      <c r="T11" s="25">
        <v>-0.290776125147774</v>
      </c>
    </row>
    <row r="12" ht="14.55" spans="1:20">
      <c r="A12" s="11" t="s">
        <v>334</v>
      </c>
      <c r="B12" s="5"/>
      <c r="C12" s="5"/>
      <c r="D12" s="5"/>
      <c r="E12" s="9">
        <v>-0.036721</v>
      </c>
      <c r="F12" s="10">
        <v>0.116202</v>
      </c>
      <c r="G12" s="10">
        <v>0.081585</v>
      </c>
      <c r="H12" s="10">
        <v>-0.044782</v>
      </c>
      <c r="I12" s="10">
        <v>0.248638</v>
      </c>
      <c r="J12" s="10">
        <v>0.317205</v>
      </c>
      <c r="K12" s="23" t="s">
        <v>113</v>
      </c>
      <c r="L12" s="20"/>
      <c r="M12" s="26">
        <v>-0.034249</v>
      </c>
      <c r="N12" s="27">
        <v>0.264288206932407</v>
      </c>
      <c r="O12" s="27">
        <v>0.480954515491101</v>
      </c>
      <c r="P12" s="27">
        <v>-0.0364583333333333</v>
      </c>
      <c r="Q12" s="27">
        <v>0.619433198380567</v>
      </c>
      <c r="R12" s="27">
        <v>0.250916127969696</v>
      </c>
      <c r="S12" s="27">
        <v>-0.0827271559896364</v>
      </c>
      <c r="T12" s="27">
        <v>-0.268007862500242</v>
      </c>
    </row>
  </sheetData>
  <conditionalFormatting sqref="E6:J6">
    <cfRule type="cellIs" dxfId="0" priority="16" operator="lessThan">
      <formula>0</formula>
    </cfRule>
  </conditionalFormatting>
  <conditionalFormatting sqref="M6:O6">
    <cfRule type="cellIs" dxfId="0" priority="18" operator="lessThan">
      <formula>0</formula>
    </cfRule>
    <cfRule type="cellIs" dxfId="1" priority="17" stopIfTrue="1" operator="greaterThan">
      <formula>0</formula>
    </cfRule>
  </conditionalFormatting>
  <conditionalFormatting sqref="M6:U6">
    <cfRule type="cellIs" dxfId="0" priority="15" operator="lessThan">
      <formula>0</formula>
    </cfRule>
    <cfRule type="cellIs" dxfId="1" priority="14" stopIfTrue="1" operator="greaterThan">
      <formula>0</formula>
    </cfRule>
  </conditionalFormatting>
  <conditionalFormatting sqref="T10:T12">
    <cfRule type="cellIs" dxfId="0" priority="6" operator="lessThan">
      <formula>0</formula>
    </cfRule>
    <cfRule type="cellIs" dxfId="1" priority="5" stopIfTrue="1" operator="greaterThan">
      <formula>0</formula>
    </cfRule>
  </conditionalFormatting>
  <conditionalFormatting sqref="P2:Q5 M2:O5 E2:J5">
    <cfRule type="cellIs" dxfId="0" priority="21" operator="lessThan">
      <formula>0</formula>
    </cfRule>
  </conditionalFormatting>
  <conditionalFormatting sqref="M2:O5">
    <cfRule type="cellIs" dxfId="1" priority="19" stopIfTrue="1" operator="greaterThan">
      <formula>0</formula>
    </cfRule>
  </conditionalFormatting>
  <conditionalFormatting sqref="P2:Q5">
    <cfRule type="cellIs" dxfId="1" priority="20" stopIfTrue="1" operator="greaterThan">
      <formula>0</formula>
    </cfRule>
  </conditionalFormatting>
  <conditionalFormatting sqref="R2:T5">
    <cfRule type="cellIs" dxfId="0" priority="23" operator="lessThan">
      <formula>0</formula>
    </cfRule>
    <cfRule type="cellIs" dxfId="1" priority="22" stopIfTrue="1" operator="greaterThan">
      <formula>0</formula>
    </cfRule>
  </conditionalFormatting>
  <conditionalFormatting sqref="P7:U9 E7:J9">
    <cfRule type="cellIs" dxfId="0" priority="13" operator="lessThan">
      <formula>0</formula>
    </cfRule>
  </conditionalFormatting>
  <conditionalFormatting sqref="M7:O9">
    <cfRule type="cellIs" dxfId="0" priority="12" operator="lessThan">
      <formula>0</formula>
    </cfRule>
    <cfRule type="cellIs" dxfId="1" priority="11" stopIfTrue="1" operator="greaterThan">
      <formula>0</formula>
    </cfRule>
    <cfRule type="cellIs" dxfId="0" priority="8" operator="lessThan">
      <formula>0</formula>
    </cfRule>
  </conditionalFormatting>
  <conditionalFormatting sqref="M7:U9">
    <cfRule type="cellIs" dxfId="1" priority="7" stopIfTrue="1" operator="greaterThan">
      <formula>0</formula>
    </cfRule>
  </conditionalFormatting>
  <conditionalFormatting sqref="P8:S9">
    <cfRule type="cellIs" dxfId="0" priority="10" operator="lessThan">
      <formula>0</formula>
    </cfRule>
    <cfRule type="cellIs" dxfId="1" priority="9" stopIfTrue="1" operator="greaterThan">
      <formula>0</formula>
    </cfRule>
  </conditionalFormatting>
  <conditionalFormatting sqref="P10:S12 E10:J12">
    <cfRule type="cellIs" dxfId="0" priority="4" operator="lessThan">
      <formula>0</formula>
    </cfRule>
  </conditionalFormatting>
  <conditionalFormatting sqref="M10:O12">
    <cfRule type="cellIs" dxfId="0" priority="3" operator="lessThan">
      <formula>0</formula>
    </cfRule>
  </conditionalFormatting>
  <conditionalFormatting sqref="M10:S12">
    <cfRule type="cellIs" dxfId="1" priority="1" stopIfTrue="1" operator="greaterThan">
      <formula>0</formula>
    </cfRule>
  </conditionalFormatting>
  <conditionalFormatting sqref="P10:T12">
    <cfRule type="cellIs" dxfId="0" priority="2" operator="lessThan">
      <formula>0</formula>
    </cfRule>
  </conditionalFormatting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75262230-656F-4A25-B009-338D4776A157}">
  <ds:schemaRefs/>
</ds:datastoreItem>
</file>

<file path=customXml/itemProps2.xml><?xml version="1.0" encoding="utf-8"?>
<ds:datastoreItem xmlns:ds="http://schemas.openxmlformats.org/officeDocument/2006/customXml" ds:itemID="{A3B84AB7-E5AE-4C98-B20F-98B4C6BA4EEE}">
  <ds:schemaRefs/>
</ds:datastoreItem>
</file>

<file path=customXml/itemProps3.xml><?xml version="1.0" encoding="utf-8"?>
<ds:datastoreItem xmlns:ds="http://schemas.openxmlformats.org/officeDocument/2006/customXml" ds:itemID="{1A21B384-B21D-4D27-973D-17B646BF869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Output Dashboard (option 1)</vt:lpstr>
      <vt:lpstr>selector</vt:lpstr>
      <vt:lpstr>Output Dashboard Debt</vt:lpstr>
      <vt:lpstr>Macro1</vt:lpstr>
      <vt:lpstr>PPT Attributes</vt:lpstr>
      <vt:lpstr>performace_data</vt:lpstr>
      <vt:lpstr>Drop Downs</vt:lpstr>
      <vt:lpstr>sheet_2</vt:lpstr>
      <vt:lpstr>Output Dashboard </vt:lpstr>
      <vt:lpstr>Selector Sheet </vt:lpstr>
      <vt:lpstr>source_data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Mrigank Shekhar Sahi</dc:creator>
  <cp:lastModifiedBy>bot noob</cp:lastModifiedBy>
  <dcterms:created xsi:type="dcterms:W3CDTF">2025-02-19T05:15:00Z</dcterms:created>
  <dcterms:modified xsi:type="dcterms:W3CDTF">2025-10-17T11:29:15Z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0x010100A7F7E11DD8037D41ADC47C3CA758E69E</vt:lpwstr>
  </property>
  <property fmtid="{D5CDD505-2E9C-101B-9397-08002B2CF9AE}" pid="3" name="ICV">
    <vt:lpwstr>CAA63A67EE6B47929BC4FFFAD8ED1CF1_13</vt:lpwstr>
  </property>
  <property fmtid="{D5CDD505-2E9C-101B-9397-08002B2CF9AE}" pid="4" name="KSOProductBuildVer">
    <vt:lpwstr>2057-12.2.0.23147</vt:lpwstr>
  </property>
</Properties>
</file>